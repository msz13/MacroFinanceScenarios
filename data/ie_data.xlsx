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mszczecinski\Downloads\"/>
    </mc:Choice>
  </mc:AlternateContent>
  <xr:revisionPtr revIDLastSave="0" documentId="13_ncr:1_{3A7BAED9-409B-4EDF-ABC8-D904CDDC9351}" xr6:coauthVersionLast="47" xr6:coauthVersionMax="47" xr10:uidLastSave="{00000000-0000-0000-0000-000000000000}"/>
  <bookViews>
    <workbookView xWindow="-110" yWindow="-110" windowWidth="19420" windowHeight="10300" activeTab="1" xr2:uid="{326B40A3-2FAB-490A-BE03-1289FCF625E2}"/>
  </bookViews>
  <sheets>
    <sheet name="Disclaimer" sheetId="9" r:id="rId1"/>
    <sheet name="Data" sheetId="1" r:id="rId2"/>
  </sheets>
  <definedNames>
    <definedName name="_Regression_Int">1</definedName>
    <definedName name="CIQWBGuid" hidden="1">"d5c96f1c-0b8a-4f1d-9499-e87469d8b72c"</definedName>
    <definedName name="IQ_ADDIN" hidden="1">"AUTO"</definedName>
    <definedName name="IQ_CH">110000</definedName>
    <definedName name="IQ_CONV_RATE" hidden="1">"c2192"</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43637.646724537</definedName>
    <definedName name="IQ_NTM">6000</definedName>
    <definedName name="IQ_OG_TOTAL_OIL_PRODUCTON" hidden="1">"c2059"</definedName>
    <definedName name="IQ_QTD" hidden="1">750000</definedName>
    <definedName name="IQ_SHAREOUTSTANDING" hidden="1">"c1347"</definedName>
    <definedName name="IQ_TODAY" hidden="1">0</definedName>
    <definedName name="IQ_WEEK">50000</definedName>
    <definedName name="IQ_YTD">3000</definedName>
    <definedName name="IQ_YTDMONTH" hidden="1">130000</definedName>
    <definedName name="_xlnm.Print_Area">Data!$A$1539:$M$1550</definedName>
    <definedName name="Print_Area_MI">Data!$A$1539:$M$1550</definedName>
    <definedName name="SPWS_WBID">"D59E1A16-371E-4D0F-A93D-481B765CD67C"</definedName>
  </definedNames>
  <calcPr calcId="191029"/>
</workbook>
</file>

<file path=xl/calcChain.xml><?xml version="1.0" encoding="utf-8"?>
<calcChain xmlns="http://schemas.openxmlformats.org/spreadsheetml/2006/main">
  <c r="G3" i="1" l="1"/>
  <c r="G4" i="1"/>
  <c r="G5" i="1"/>
  <c r="G6" i="1"/>
  <c r="G7" i="1"/>
  <c r="G8" i="1"/>
  <c r="G9" i="1"/>
  <c r="G10" i="1"/>
  <c r="G11" i="1"/>
  <c r="G12" i="1"/>
  <c r="G13" i="1"/>
  <c r="G15" i="1"/>
  <c r="G16" i="1"/>
  <c r="G17" i="1"/>
  <c r="G18" i="1"/>
  <c r="G19" i="1"/>
  <c r="G20" i="1"/>
  <c r="G21" i="1"/>
  <c r="G22" i="1"/>
  <c r="G23" i="1"/>
  <c r="G24" i="1"/>
  <c r="G25" i="1"/>
  <c r="G27" i="1"/>
  <c r="G28" i="1"/>
  <c r="G29" i="1"/>
  <c r="G30" i="1"/>
  <c r="G31" i="1"/>
  <c r="G32" i="1"/>
  <c r="G33" i="1"/>
  <c r="G34" i="1"/>
  <c r="G35" i="1"/>
  <c r="G36" i="1"/>
  <c r="G37" i="1"/>
  <c r="G39" i="1"/>
  <c r="G40" i="1"/>
  <c r="G41" i="1"/>
  <c r="G42" i="1"/>
  <c r="G43" i="1"/>
  <c r="G44" i="1"/>
  <c r="G45" i="1"/>
  <c r="G46" i="1"/>
  <c r="G47" i="1"/>
  <c r="G48" i="1"/>
  <c r="G49" i="1"/>
  <c r="G51" i="1"/>
  <c r="G52" i="1"/>
  <c r="G53" i="1"/>
  <c r="G54" i="1"/>
  <c r="G55" i="1"/>
  <c r="G56" i="1"/>
  <c r="G57" i="1"/>
  <c r="G58" i="1"/>
  <c r="G59" i="1"/>
  <c r="G60" i="1"/>
  <c r="G61" i="1"/>
  <c r="G63" i="1"/>
  <c r="G64" i="1"/>
  <c r="G65" i="1"/>
  <c r="G66" i="1"/>
  <c r="G67" i="1"/>
  <c r="G68" i="1"/>
  <c r="G69" i="1"/>
  <c r="G70" i="1"/>
  <c r="G71" i="1"/>
  <c r="G72" i="1"/>
  <c r="G73" i="1"/>
  <c r="G75" i="1"/>
  <c r="G76" i="1"/>
  <c r="G77" i="1"/>
  <c r="G78" i="1"/>
  <c r="G79" i="1"/>
  <c r="G80" i="1"/>
  <c r="G81" i="1"/>
  <c r="G82" i="1"/>
  <c r="G83" i="1"/>
  <c r="G84" i="1"/>
  <c r="G85" i="1"/>
  <c r="G87" i="1"/>
  <c r="G88" i="1"/>
  <c r="G89" i="1"/>
  <c r="G90" i="1"/>
  <c r="G91" i="1"/>
  <c r="G92" i="1"/>
  <c r="G93" i="1"/>
  <c r="G94" i="1"/>
  <c r="G95" i="1"/>
  <c r="G96" i="1"/>
  <c r="G97" i="1"/>
  <c r="G99" i="1"/>
  <c r="G100" i="1"/>
  <c r="G101" i="1"/>
  <c r="G102" i="1"/>
  <c r="G103" i="1"/>
  <c r="G104" i="1"/>
  <c r="G105" i="1"/>
  <c r="G106" i="1"/>
  <c r="G107" i="1"/>
  <c r="G108" i="1"/>
  <c r="G109" i="1"/>
  <c r="G111" i="1"/>
  <c r="G112" i="1"/>
  <c r="G113" i="1"/>
  <c r="G114" i="1"/>
  <c r="G115" i="1"/>
  <c r="G116" i="1"/>
  <c r="G117" i="1"/>
  <c r="G118" i="1"/>
  <c r="G119" i="1"/>
  <c r="G120" i="1"/>
  <c r="G121" i="1"/>
  <c r="G123" i="1"/>
  <c r="G124" i="1"/>
  <c r="G125" i="1"/>
  <c r="G126" i="1"/>
  <c r="G127" i="1"/>
  <c r="G128" i="1"/>
  <c r="G129" i="1"/>
  <c r="G130" i="1"/>
  <c r="G131" i="1"/>
  <c r="G132" i="1"/>
  <c r="G133" i="1"/>
  <c r="G135" i="1"/>
  <c r="G136" i="1"/>
  <c r="G137" i="1"/>
  <c r="G138" i="1"/>
  <c r="G139" i="1"/>
  <c r="G140" i="1"/>
  <c r="G141" i="1"/>
  <c r="G142" i="1"/>
  <c r="G143" i="1"/>
  <c r="G144" i="1"/>
  <c r="G145" i="1"/>
  <c r="G147" i="1"/>
  <c r="G148" i="1"/>
  <c r="G149" i="1"/>
  <c r="G150" i="1"/>
  <c r="G151" i="1"/>
  <c r="G152" i="1"/>
  <c r="G153" i="1"/>
  <c r="G154" i="1"/>
  <c r="G155" i="1"/>
  <c r="G156" i="1"/>
  <c r="G157" i="1"/>
  <c r="G159" i="1"/>
  <c r="G160" i="1"/>
  <c r="G161" i="1"/>
  <c r="G162" i="1"/>
  <c r="G163" i="1"/>
  <c r="G164" i="1"/>
  <c r="G165" i="1"/>
  <c r="G166" i="1"/>
  <c r="G167" i="1"/>
  <c r="G168" i="1"/>
  <c r="G169" i="1"/>
  <c r="G171" i="1"/>
  <c r="G172" i="1"/>
  <c r="G173" i="1"/>
  <c r="G174" i="1"/>
  <c r="G175" i="1"/>
  <c r="G176" i="1"/>
  <c r="G177" i="1"/>
  <c r="G178" i="1"/>
  <c r="G179" i="1"/>
  <c r="G180" i="1"/>
  <c r="G181" i="1"/>
  <c r="G183" i="1"/>
  <c r="G184" i="1"/>
  <c r="G185" i="1"/>
  <c r="G186" i="1"/>
  <c r="G187" i="1"/>
  <c r="G188" i="1"/>
  <c r="G189" i="1"/>
  <c r="G190" i="1"/>
  <c r="G191" i="1"/>
  <c r="G192" i="1"/>
  <c r="G193" i="1"/>
  <c r="G195" i="1"/>
  <c r="G196" i="1"/>
  <c r="G197" i="1"/>
  <c r="G198" i="1"/>
  <c r="G199" i="1"/>
  <c r="G200" i="1"/>
  <c r="G201" i="1"/>
  <c r="G202" i="1"/>
  <c r="G203" i="1"/>
  <c r="G204" i="1"/>
  <c r="G205" i="1"/>
  <c r="G207" i="1"/>
  <c r="G208" i="1"/>
  <c r="G209" i="1"/>
  <c r="G210" i="1"/>
  <c r="G211" i="1"/>
  <c r="G212" i="1"/>
  <c r="G213" i="1"/>
  <c r="G214" i="1"/>
  <c r="G215" i="1"/>
  <c r="G216" i="1"/>
  <c r="G217" i="1"/>
  <c r="G219" i="1"/>
  <c r="G220" i="1"/>
  <c r="G221" i="1"/>
  <c r="G222" i="1"/>
  <c r="G223" i="1"/>
  <c r="G224" i="1"/>
  <c r="G225" i="1"/>
  <c r="G226" i="1"/>
  <c r="G227" i="1"/>
  <c r="G228" i="1"/>
  <c r="G229" i="1"/>
  <c r="G231" i="1"/>
  <c r="G232" i="1"/>
  <c r="G233" i="1"/>
  <c r="G234" i="1"/>
  <c r="G235" i="1"/>
  <c r="G236" i="1"/>
  <c r="G237" i="1"/>
  <c r="G238" i="1"/>
  <c r="G239" i="1"/>
  <c r="G240" i="1"/>
  <c r="G241" i="1"/>
  <c r="G243" i="1"/>
  <c r="G244" i="1"/>
  <c r="G245" i="1"/>
  <c r="G246" i="1"/>
  <c r="G247" i="1"/>
  <c r="G248" i="1"/>
  <c r="G249" i="1"/>
  <c r="G250" i="1"/>
  <c r="G251" i="1"/>
  <c r="G252" i="1"/>
  <c r="G253" i="1"/>
  <c r="G255" i="1"/>
  <c r="G256" i="1"/>
  <c r="G257" i="1"/>
  <c r="G258" i="1"/>
  <c r="G259" i="1"/>
  <c r="G260" i="1"/>
  <c r="G261" i="1"/>
  <c r="G262" i="1"/>
  <c r="G263" i="1"/>
  <c r="G264" i="1"/>
  <c r="G265" i="1"/>
  <c r="G267" i="1"/>
  <c r="G268" i="1"/>
  <c r="G269" i="1"/>
  <c r="G270" i="1"/>
  <c r="G271" i="1"/>
  <c r="G272" i="1"/>
  <c r="G273" i="1"/>
  <c r="G274" i="1"/>
  <c r="G275" i="1"/>
  <c r="G276" i="1"/>
  <c r="G277" i="1"/>
  <c r="G279" i="1"/>
  <c r="G280" i="1"/>
  <c r="G281" i="1"/>
  <c r="G282" i="1"/>
  <c r="G283" i="1"/>
  <c r="G284" i="1"/>
  <c r="G285" i="1"/>
  <c r="G286" i="1"/>
  <c r="G287" i="1"/>
  <c r="G288" i="1"/>
  <c r="G289" i="1"/>
  <c r="G291" i="1"/>
  <c r="G292" i="1"/>
  <c r="G293" i="1"/>
  <c r="G294" i="1"/>
  <c r="G295" i="1"/>
  <c r="G296" i="1"/>
  <c r="G297" i="1"/>
  <c r="G298" i="1"/>
  <c r="G299" i="1"/>
  <c r="G300" i="1"/>
  <c r="G301" i="1"/>
  <c r="G303" i="1"/>
  <c r="G304" i="1"/>
  <c r="G305" i="1"/>
  <c r="G306" i="1"/>
  <c r="G307" i="1"/>
  <c r="G308" i="1"/>
  <c r="G309" i="1"/>
  <c r="G310" i="1"/>
  <c r="G311" i="1"/>
  <c r="G312" i="1"/>
  <c r="G313" i="1"/>
  <c r="G315" i="1"/>
  <c r="G316" i="1"/>
  <c r="G317" i="1"/>
  <c r="G318" i="1"/>
  <c r="G319" i="1"/>
  <c r="G320" i="1"/>
  <c r="G321" i="1"/>
  <c r="G322" i="1"/>
  <c r="G323" i="1"/>
  <c r="G324" i="1"/>
  <c r="G325" i="1"/>
  <c r="G327" i="1"/>
  <c r="G328" i="1"/>
  <c r="G329" i="1"/>
  <c r="G330" i="1"/>
  <c r="G331" i="1"/>
  <c r="G332" i="1"/>
  <c r="G333" i="1"/>
  <c r="G334" i="1"/>
  <c r="G335" i="1"/>
  <c r="G336" i="1"/>
  <c r="G337" i="1"/>
  <c r="G339" i="1"/>
  <c r="G340" i="1"/>
  <c r="G341" i="1"/>
  <c r="G342" i="1"/>
  <c r="G343" i="1"/>
  <c r="G344" i="1"/>
  <c r="G345" i="1"/>
  <c r="G346" i="1"/>
  <c r="G347" i="1"/>
  <c r="G348" i="1"/>
  <c r="G349" i="1"/>
  <c r="G351" i="1"/>
  <c r="G352" i="1"/>
  <c r="G353" i="1"/>
  <c r="G354" i="1"/>
  <c r="G355" i="1"/>
  <c r="G356" i="1"/>
  <c r="G357" i="1"/>
  <c r="G358" i="1"/>
  <c r="G359" i="1"/>
  <c r="G360" i="1"/>
  <c r="G361" i="1"/>
  <c r="G363" i="1"/>
  <c r="G364" i="1"/>
  <c r="G365" i="1"/>
  <c r="G366" i="1"/>
  <c r="G367" i="1"/>
  <c r="G368" i="1"/>
  <c r="G369" i="1"/>
  <c r="G370" i="1"/>
  <c r="G371" i="1"/>
  <c r="G372" i="1"/>
  <c r="G373" i="1"/>
  <c r="G375" i="1"/>
  <c r="G376" i="1"/>
  <c r="G377" i="1"/>
  <c r="G378" i="1"/>
  <c r="G379" i="1"/>
  <c r="G380" i="1"/>
  <c r="G381" i="1"/>
  <c r="G382" i="1"/>
  <c r="G383" i="1"/>
  <c r="G384" i="1"/>
  <c r="G385" i="1"/>
  <c r="G387" i="1"/>
  <c r="G388" i="1"/>
  <c r="G389" i="1"/>
  <c r="G390" i="1"/>
  <c r="G391" i="1"/>
  <c r="G392" i="1"/>
  <c r="G393" i="1"/>
  <c r="G394" i="1"/>
  <c r="G395" i="1"/>
  <c r="G396" i="1"/>
  <c r="G397" i="1"/>
  <c r="G399" i="1"/>
  <c r="G400" i="1"/>
  <c r="G401" i="1"/>
  <c r="G402" i="1"/>
  <c r="G403" i="1"/>
  <c r="G404" i="1"/>
  <c r="G405" i="1"/>
  <c r="G406" i="1"/>
  <c r="G407" i="1"/>
  <c r="G408" i="1"/>
  <c r="G409" i="1"/>
  <c r="G411" i="1"/>
  <c r="G412" i="1"/>
  <c r="G413" i="1"/>
  <c r="G414" i="1"/>
  <c r="G415" i="1"/>
  <c r="G416" i="1"/>
  <c r="G417" i="1"/>
  <c r="G418" i="1"/>
  <c r="G419" i="1"/>
  <c r="G420" i="1"/>
  <c r="G421" i="1"/>
  <c r="G423" i="1"/>
  <c r="G424" i="1"/>
  <c r="G425" i="1"/>
  <c r="G426" i="1"/>
  <c r="G427" i="1"/>
  <c r="G428" i="1"/>
  <c r="G429" i="1"/>
  <c r="G430" i="1"/>
  <c r="G431" i="1"/>
  <c r="G432" i="1"/>
  <c r="G433" i="1"/>
  <c r="G435" i="1"/>
  <c r="G436" i="1"/>
  <c r="G437" i="1"/>
  <c r="G438" i="1"/>
  <c r="G439" i="1"/>
  <c r="G440" i="1"/>
  <c r="G441" i="1"/>
  <c r="G442" i="1"/>
  <c r="G443" i="1"/>
  <c r="G444" i="1"/>
  <c r="G445" i="1"/>
  <c r="G447" i="1"/>
  <c r="G448" i="1"/>
  <c r="G449" i="1"/>
  <c r="G450" i="1"/>
  <c r="G451" i="1"/>
  <c r="G452" i="1"/>
  <c r="G453" i="1"/>
  <c r="G454" i="1"/>
  <c r="G455" i="1"/>
  <c r="G456" i="1"/>
  <c r="G457" i="1"/>
  <c r="G459" i="1"/>
  <c r="G460" i="1"/>
  <c r="G461" i="1"/>
  <c r="G462" i="1"/>
  <c r="G463" i="1"/>
  <c r="G464" i="1"/>
  <c r="G465" i="1"/>
  <c r="G466" i="1"/>
  <c r="G467" i="1"/>
  <c r="G468" i="1"/>
  <c r="G469" i="1"/>
  <c r="G471" i="1"/>
  <c r="G472" i="1"/>
  <c r="G473" i="1"/>
  <c r="G474" i="1"/>
  <c r="G475" i="1"/>
  <c r="G476" i="1"/>
  <c r="G477" i="1"/>
  <c r="G478" i="1"/>
  <c r="G479" i="1"/>
  <c r="G480" i="1"/>
  <c r="G481" i="1"/>
  <c r="G483" i="1"/>
  <c r="G484" i="1"/>
  <c r="G485" i="1"/>
  <c r="G486" i="1"/>
  <c r="G487" i="1"/>
  <c r="G488" i="1"/>
  <c r="G489" i="1"/>
  <c r="G490" i="1"/>
  <c r="G491" i="1"/>
  <c r="G492" i="1"/>
  <c r="G493" i="1"/>
  <c r="G495" i="1"/>
  <c r="G496" i="1"/>
  <c r="G497" i="1"/>
  <c r="G498" i="1"/>
  <c r="G499" i="1"/>
  <c r="G500" i="1"/>
  <c r="G501" i="1"/>
  <c r="G502" i="1"/>
  <c r="G503" i="1"/>
  <c r="G504" i="1"/>
  <c r="G505" i="1"/>
  <c r="G507" i="1"/>
  <c r="G508" i="1"/>
  <c r="G509" i="1"/>
  <c r="G510" i="1"/>
  <c r="G511" i="1"/>
  <c r="G512" i="1"/>
  <c r="G513" i="1"/>
  <c r="G514" i="1"/>
  <c r="G515" i="1"/>
  <c r="G516" i="1"/>
  <c r="G517" i="1"/>
  <c r="G519" i="1"/>
  <c r="G520" i="1"/>
  <c r="G521" i="1"/>
  <c r="G522" i="1"/>
  <c r="G523" i="1"/>
  <c r="G524" i="1"/>
  <c r="G525" i="1"/>
  <c r="G526" i="1"/>
  <c r="G527" i="1"/>
  <c r="G528" i="1"/>
  <c r="G529" i="1"/>
  <c r="G531" i="1"/>
  <c r="G532" i="1"/>
  <c r="G533" i="1"/>
  <c r="G534" i="1"/>
  <c r="G535" i="1"/>
  <c r="G536" i="1"/>
  <c r="G537" i="1"/>
  <c r="G538" i="1"/>
  <c r="G539" i="1"/>
  <c r="G540" i="1"/>
  <c r="G541" i="1"/>
  <c r="G543" i="1"/>
  <c r="G544" i="1"/>
  <c r="G545" i="1"/>
  <c r="G546" i="1"/>
  <c r="G547" i="1"/>
  <c r="G548" i="1"/>
  <c r="G549" i="1"/>
  <c r="G550" i="1"/>
  <c r="G551" i="1"/>
  <c r="G552" i="1"/>
  <c r="G553" i="1"/>
  <c r="G555" i="1"/>
  <c r="G556" i="1"/>
  <c r="G557" i="1"/>
  <c r="G558" i="1"/>
  <c r="G559" i="1"/>
  <c r="G560" i="1"/>
  <c r="G561" i="1"/>
  <c r="G562" i="1"/>
  <c r="G563" i="1"/>
  <c r="G564" i="1"/>
  <c r="G565" i="1"/>
  <c r="G567" i="1"/>
  <c r="G568" i="1"/>
  <c r="G569" i="1"/>
  <c r="G570" i="1"/>
  <c r="G571" i="1"/>
  <c r="G572" i="1"/>
  <c r="G573" i="1"/>
  <c r="G574" i="1"/>
  <c r="G575" i="1"/>
  <c r="G576" i="1"/>
  <c r="G577" i="1"/>
  <c r="G579" i="1"/>
  <c r="G580" i="1"/>
  <c r="G581" i="1"/>
  <c r="G582" i="1"/>
  <c r="G583" i="1"/>
  <c r="G584" i="1"/>
  <c r="G585" i="1"/>
  <c r="G586" i="1"/>
  <c r="G587" i="1"/>
  <c r="G588" i="1"/>
  <c r="G589" i="1"/>
  <c r="G591" i="1"/>
  <c r="G592" i="1"/>
  <c r="G593" i="1"/>
  <c r="G594" i="1"/>
  <c r="G595" i="1"/>
  <c r="G596" i="1"/>
  <c r="G597" i="1"/>
  <c r="G598" i="1"/>
  <c r="G599" i="1"/>
  <c r="G600" i="1"/>
  <c r="G601" i="1"/>
  <c r="G603" i="1"/>
  <c r="G604" i="1"/>
  <c r="G605" i="1"/>
  <c r="G606" i="1"/>
  <c r="G607" i="1"/>
  <c r="G608" i="1"/>
  <c r="G609" i="1"/>
  <c r="G610" i="1"/>
  <c r="G611" i="1"/>
  <c r="G612" i="1"/>
  <c r="G613" i="1"/>
  <c r="G615" i="1"/>
  <c r="G616" i="1"/>
  <c r="G617" i="1"/>
  <c r="G618" i="1"/>
  <c r="G619" i="1"/>
  <c r="G620" i="1"/>
  <c r="G621" i="1"/>
  <c r="G622" i="1"/>
  <c r="G623" i="1"/>
  <c r="G624" i="1"/>
  <c r="G625" i="1"/>
  <c r="G627" i="1"/>
  <c r="G628" i="1"/>
  <c r="G629" i="1"/>
  <c r="G630" i="1"/>
  <c r="G631" i="1"/>
  <c r="G632" i="1"/>
  <c r="G633" i="1"/>
  <c r="G634" i="1"/>
  <c r="G635" i="1"/>
  <c r="G636" i="1"/>
  <c r="G637" i="1"/>
  <c r="G639" i="1"/>
  <c r="G640" i="1"/>
  <c r="G641" i="1"/>
  <c r="G642" i="1"/>
  <c r="G643" i="1"/>
  <c r="G644" i="1"/>
  <c r="G645" i="1"/>
  <c r="G646" i="1"/>
  <c r="G647" i="1"/>
  <c r="G648" i="1"/>
  <c r="G649" i="1"/>
  <c r="G651" i="1"/>
  <c r="G652" i="1"/>
  <c r="G653" i="1"/>
  <c r="G654" i="1"/>
  <c r="G655" i="1"/>
  <c r="G656" i="1"/>
  <c r="G657" i="1"/>
  <c r="G658" i="1"/>
  <c r="G659" i="1"/>
  <c r="G660" i="1"/>
  <c r="G661" i="1"/>
  <c r="G663" i="1"/>
  <c r="G664" i="1"/>
  <c r="G665" i="1"/>
  <c r="G666" i="1"/>
  <c r="G667" i="1"/>
  <c r="G668" i="1"/>
  <c r="G669" i="1"/>
  <c r="G670" i="1"/>
  <c r="G671" i="1"/>
  <c r="G672" i="1"/>
  <c r="G673" i="1"/>
  <c r="G675" i="1"/>
  <c r="G676" i="1"/>
  <c r="G677" i="1"/>
  <c r="G678" i="1"/>
  <c r="G679" i="1"/>
  <c r="G680" i="1"/>
  <c r="G681" i="1"/>
  <c r="G682" i="1"/>
  <c r="G683" i="1"/>
  <c r="G684" i="1"/>
  <c r="G685" i="1"/>
  <c r="G687" i="1"/>
  <c r="G688" i="1"/>
  <c r="G689" i="1"/>
  <c r="G690" i="1"/>
  <c r="G691" i="1"/>
  <c r="G692" i="1"/>
  <c r="G693" i="1"/>
  <c r="G694" i="1"/>
  <c r="G695" i="1"/>
  <c r="G696" i="1"/>
  <c r="G697" i="1"/>
  <c r="G699" i="1"/>
  <c r="G700" i="1"/>
  <c r="G701" i="1"/>
  <c r="G702" i="1"/>
  <c r="G703" i="1"/>
  <c r="G704" i="1"/>
  <c r="G705" i="1"/>
  <c r="G706" i="1"/>
  <c r="G707" i="1"/>
  <c r="G708" i="1"/>
  <c r="G709" i="1"/>
  <c r="G711" i="1"/>
  <c r="G712" i="1"/>
  <c r="G713" i="1"/>
  <c r="G714" i="1"/>
  <c r="G715" i="1"/>
  <c r="G716" i="1"/>
  <c r="G717" i="1"/>
  <c r="G718" i="1"/>
  <c r="G719" i="1"/>
  <c r="G720" i="1"/>
  <c r="G721" i="1"/>
  <c r="G723" i="1"/>
  <c r="G724" i="1"/>
  <c r="G725" i="1"/>
  <c r="G726" i="1"/>
  <c r="G727" i="1"/>
  <c r="G728" i="1"/>
  <c r="G729" i="1"/>
  <c r="G730" i="1"/>
  <c r="G731" i="1"/>
  <c r="G732" i="1"/>
  <c r="G733" i="1"/>
  <c r="G735" i="1"/>
  <c r="G736" i="1"/>
  <c r="G737" i="1"/>
  <c r="G738" i="1"/>
  <c r="G739" i="1"/>
  <c r="G740" i="1"/>
  <c r="G741" i="1"/>
  <c r="G742" i="1"/>
  <c r="G743" i="1"/>
  <c r="G744" i="1"/>
  <c r="G745" i="1"/>
  <c r="G747" i="1"/>
  <c r="G748" i="1"/>
  <c r="G749" i="1"/>
  <c r="G750" i="1"/>
  <c r="G751" i="1"/>
  <c r="G752" i="1"/>
  <c r="G753" i="1"/>
  <c r="G754" i="1"/>
  <c r="G755" i="1"/>
  <c r="G756" i="1"/>
  <c r="G757" i="1"/>
  <c r="G759" i="1"/>
  <c r="G760" i="1"/>
  <c r="G761" i="1"/>
  <c r="G762" i="1"/>
  <c r="G763" i="1"/>
  <c r="G764" i="1"/>
  <c r="G765" i="1"/>
  <c r="G766" i="1"/>
  <c r="G767" i="1"/>
  <c r="G768" i="1"/>
  <c r="G769" i="1"/>
  <c r="G771" i="1"/>
  <c r="G772" i="1"/>
  <c r="G773" i="1"/>
  <c r="G774" i="1"/>
  <c r="G775" i="1"/>
  <c r="G776" i="1"/>
  <c r="G777" i="1"/>
  <c r="G778" i="1"/>
  <c r="G779" i="1"/>
  <c r="G780" i="1"/>
  <c r="G781" i="1"/>
  <c r="G783" i="1"/>
  <c r="G784" i="1"/>
  <c r="G785" i="1"/>
  <c r="G786" i="1"/>
  <c r="G787" i="1"/>
  <c r="G788" i="1"/>
  <c r="G789" i="1"/>
  <c r="G790" i="1"/>
  <c r="G791" i="1"/>
  <c r="G792" i="1"/>
  <c r="G793" i="1"/>
  <c r="G795" i="1"/>
  <c r="G796" i="1"/>
  <c r="G797" i="1"/>
  <c r="G798" i="1"/>
  <c r="G799" i="1"/>
  <c r="G800" i="1"/>
  <c r="G801" i="1"/>
  <c r="G802" i="1"/>
  <c r="G803" i="1"/>
  <c r="G804" i="1"/>
  <c r="G805" i="1"/>
  <c r="G807" i="1"/>
  <c r="G808" i="1"/>
  <c r="G809" i="1"/>
  <c r="G810" i="1"/>
  <c r="G811" i="1"/>
  <c r="G812" i="1"/>
  <c r="G813" i="1"/>
  <c r="G814" i="1"/>
  <c r="G815" i="1"/>
  <c r="G816" i="1"/>
  <c r="G817" i="1"/>
  <c r="G819" i="1"/>
  <c r="G820" i="1"/>
  <c r="G821" i="1"/>
  <c r="G822" i="1"/>
  <c r="G823" i="1"/>
  <c r="G824" i="1"/>
  <c r="G825" i="1"/>
  <c r="G826" i="1"/>
  <c r="G827" i="1"/>
  <c r="G828" i="1"/>
  <c r="G829" i="1"/>
  <c r="G831" i="1"/>
  <c r="G832" i="1"/>
  <c r="G833" i="1"/>
  <c r="G834" i="1"/>
  <c r="G835" i="1"/>
  <c r="G836" i="1"/>
  <c r="G837" i="1"/>
  <c r="G838" i="1"/>
  <c r="G839" i="1"/>
  <c r="G840" i="1"/>
  <c r="G841" i="1"/>
  <c r="G843" i="1"/>
  <c r="G844" i="1"/>
  <c r="G845" i="1"/>
  <c r="G846" i="1"/>
  <c r="G847" i="1"/>
  <c r="G848" i="1"/>
  <c r="G849" i="1"/>
  <c r="G850" i="1"/>
  <c r="G851" i="1"/>
  <c r="G852" i="1"/>
  <c r="G853" i="1"/>
  <c r="G855" i="1"/>
  <c r="G856" i="1"/>
  <c r="G857" i="1"/>
  <c r="G858" i="1"/>
  <c r="G859" i="1"/>
  <c r="G860" i="1"/>
  <c r="G861" i="1"/>
  <c r="G862" i="1"/>
  <c r="G863" i="1"/>
  <c r="G864" i="1"/>
  <c r="G865" i="1"/>
  <c r="G867" i="1"/>
  <c r="G868" i="1"/>
  <c r="G869" i="1"/>
  <c r="G870" i="1"/>
  <c r="G871" i="1"/>
  <c r="G872" i="1"/>
  <c r="G873" i="1"/>
  <c r="G874" i="1"/>
  <c r="G875" i="1"/>
  <c r="G876" i="1"/>
  <c r="G877" i="1"/>
  <c r="G879" i="1"/>
  <c r="G880" i="1"/>
  <c r="G881" i="1"/>
  <c r="G882" i="1"/>
  <c r="G883" i="1"/>
  <c r="G884" i="1"/>
  <c r="G885" i="1"/>
  <c r="G886" i="1"/>
  <c r="G887" i="1"/>
  <c r="G888" i="1"/>
  <c r="G889" i="1"/>
  <c r="G891" i="1"/>
  <c r="G892" i="1"/>
  <c r="G893" i="1"/>
  <c r="G894" i="1"/>
  <c r="G895" i="1"/>
  <c r="G896" i="1"/>
  <c r="G897" i="1"/>
  <c r="G898" i="1"/>
  <c r="G899" i="1"/>
  <c r="G900" i="1"/>
  <c r="G901" i="1"/>
  <c r="G903" i="1"/>
  <c r="G904" i="1"/>
  <c r="G905" i="1"/>
  <c r="G906" i="1"/>
  <c r="G907" i="1"/>
  <c r="G908" i="1"/>
  <c r="G909" i="1"/>
  <c r="G910" i="1"/>
  <c r="G911" i="1"/>
  <c r="G912" i="1"/>
  <c r="G913" i="1"/>
  <c r="G915" i="1"/>
  <c r="G916" i="1"/>
  <c r="G917" i="1"/>
  <c r="G918" i="1"/>
  <c r="G919" i="1"/>
  <c r="G920" i="1"/>
  <c r="G921" i="1"/>
  <c r="G922" i="1"/>
  <c r="G923" i="1"/>
  <c r="G924" i="1"/>
  <c r="G925" i="1"/>
  <c r="G927" i="1"/>
  <c r="G928" i="1"/>
  <c r="G929" i="1"/>
  <c r="G930" i="1"/>
  <c r="G931" i="1"/>
  <c r="G932" i="1"/>
  <c r="G933" i="1"/>
  <c r="G934" i="1"/>
  <c r="G935" i="1"/>
  <c r="G936" i="1"/>
  <c r="G937" i="1"/>
  <c r="G939" i="1"/>
  <c r="G940" i="1"/>
  <c r="G941" i="1"/>
  <c r="G942" i="1"/>
  <c r="G943" i="1"/>
  <c r="G944" i="1"/>
  <c r="G945" i="1"/>
  <c r="G946" i="1"/>
  <c r="G947" i="1"/>
  <c r="G948" i="1"/>
  <c r="G949" i="1"/>
  <c r="G951" i="1"/>
  <c r="G952" i="1"/>
  <c r="G953" i="1"/>
  <c r="G954" i="1"/>
  <c r="G955" i="1"/>
  <c r="G956" i="1"/>
  <c r="G957" i="1"/>
  <c r="G958" i="1"/>
  <c r="G959" i="1"/>
  <c r="G960" i="1"/>
  <c r="G961" i="1"/>
  <c r="G963" i="1"/>
  <c r="G964" i="1"/>
  <c r="G965" i="1"/>
  <c r="G966" i="1"/>
  <c r="G967" i="1"/>
  <c r="G968" i="1"/>
  <c r="G969" i="1"/>
  <c r="G970" i="1"/>
  <c r="G971" i="1"/>
  <c r="G972" i="1"/>
  <c r="G973" i="1"/>
  <c r="G975" i="1"/>
  <c r="G976" i="1"/>
  <c r="G977" i="1"/>
  <c r="G978" i="1"/>
  <c r="G979" i="1"/>
  <c r="G980" i="1"/>
  <c r="G981" i="1"/>
  <c r="G982" i="1"/>
  <c r="G983" i="1"/>
  <c r="G984" i="1"/>
  <c r="G985" i="1"/>
  <c r="F2" i="1"/>
  <c r="F3" i="1"/>
  <c r="F4" i="1" s="1"/>
  <c r="F5" i="1" s="1"/>
  <c r="F6" i="1" s="1"/>
  <c r="F7" i="1" s="1"/>
  <c r="F8" i="1" s="1"/>
  <c r="F9" i="1" s="1"/>
  <c r="F10" i="1" s="1"/>
  <c r="F11" i="1" s="1"/>
  <c r="F12" i="1" s="1"/>
  <c r="F13" i="1" s="1"/>
  <c r="F14" i="1" s="1"/>
  <c r="F15" i="1" s="1"/>
  <c r="F16" i="1" s="1"/>
  <c r="F17" i="1" s="1"/>
  <c r="F18" i="1" s="1"/>
  <c r="F19" i="1" s="1"/>
  <c r="F20" i="1" s="1"/>
  <c r="F21" i="1" s="1"/>
  <c r="F22" i="1" s="1"/>
  <c r="F23" i="1" s="1"/>
  <c r="F24" i="1" s="1"/>
  <c r="F25" i="1" s="1"/>
  <c r="F26" i="1" s="1"/>
  <c r="F27" i="1" s="1"/>
  <c r="F28" i="1" s="1"/>
  <c r="F29" i="1" s="1"/>
  <c r="F30" i="1" s="1"/>
  <c r="F31" i="1" s="1"/>
  <c r="F32" i="1" s="1"/>
  <c r="F33" i="1" s="1"/>
  <c r="F34" i="1" s="1"/>
  <c r="F35" i="1" s="1"/>
  <c r="F36" i="1" s="1"/>
  <c r="F37" i="1" s="1"/>
  <c r="F38" i="1" s="1"/>
  <c r="F39" i="1" s="1"/>
  <c r="F40" i="1" s="1"/>
  <c r="F41" i="1" s="1"/>
  <c r="F42" i="1" s="1"/>
  <c r="F43" i="1" s="1"/>
  <c r="F44" i="1" s="1"/>
  <c r="F45" i="1" s="1"/>
  <c r="F46" i="1" s="1"/>
  <c r="F47" i="1" s="1"/>
  <c r="F48" i="1" s="1"/>
  <c r="F49" i="1" s="1"/>
  <c r="F50" i="1" s="1"/>
  <c r="F51" i="1" s="1"/>
  <c r="F52" i="1" s="1"/>
  <c r="F53" i="1" s="1"/>
  <c r="F54" i="1" s="1"/>
  <c r="F55" i="1" s="1"/>
  <c r="F56" i="1" s="1"/>
  <c r="F57" i="1" s="1"/>
  <c r="F58" i="1" s="1"/>
  <c r="F59" i="1" s="1"/>
  <c r="F60" i="1" s="1"/>
  <c r="F61" i="1" s="1"/>
  <c r="F62" i="1" s="1"/>
  <c r="F63" i="1" s="1"/>
  <c r="F64" i="1" s="1"/>
  <c r="F65" i="1" s="1"/>
  <c r="F66" i="1" s="1"/>
  <c r="F67" i="1" s="1"/>
  <c r="F68" i="1" s="1"/>
  <c r="F69" i="1" s="1"/>
  <c r="F70" i="1" s="1"/>
  <c r="F71" i="1" s="1"/>
  <c r="F72" i="1" s="1"/>
  <c r="F73" i="1" s="1"/>
  <c r="F74" i="1" s="1"/>
  <c r="F75" i="1" s="1"/>
  <c r="F76" i="1" s="1"/>
  <c r="F77" i="1" s="1"/>
  <c r="F78" i="1" s="1"/>
  <c r="F79" i="1" s="1"/>
  <c r="F80" i="1" s="1"/>
  <c r="F81" i="1" s="1"/>
  <c r="F82" i="1" s="1"/>
  <c r="F83" i="1" s="1"/>
  <c r="F84" i="1" s="1"/>
  <c r="F85" i="1" s="1"/>
  <c r="F86" i="1" s="1"/>
  <c r="F87" i="1" s="1"/>
  <c r="F88" i="1" s="1"/>
  <c r="F89" i="1" s="1"/>
  <c r="F90" i="1" s="1"/>
  <c r="F91" i="1" s="1"/>
  <c r="F92" i="1" s="1"/>
  <c r="F93" i="1" s="1"/>
  <c r="F94" i="1" s="1"/>
  <c r="F95" i="1" s="1"/>
  <c r="F96" i="1" s="1"/>
  <c r="F97" i="1" s="1"/>
  <c r="F98" i="1" s="1"/>
  <c r="F99" i="1" s="1"/>
  <c r="F100" i="1" s="1"/>
  <c r="F101" i="1" s="1"/>
  <c r="F102" i="1" s="1"/>
  <c r="F103" i="1" s="1"/>
  <c r="F104" i="1" s="1"/>
  <c r="F105" i="1" s="1"/>
  <c r="F106" i="1" s="1"/>
  <c r="F107" i="1" s="1"/>
  <c r="F108" i="1" s="1"/>
  <c r="F109" i="1" s="1"/>
  <c r="F110" i="1" s="1"/>
  <c r="F111" i="1" s="1"/>
  <c r="F112" i="1" s="1"/>
  <c r="F113" i="1" s="1"/>
  <c r="F114" i="1" s="1"/>
  <c r="F115" i="1" s="1"/>
  <c r="F116" i="1" s="1"/>
  <c r="F117" i="1" s="1"/>
  <c r="F118" i="1" s="1"/>
  <c r="F119" i="1" s="1"/>
  <c r="F120" i="1" s="1"/>
  <c r="F121" i="1" s="1"/>
  <c r="F122" i="1" s="1"/>
  <c r="F123" i="1" s="1"/>
  <c r="F124" i="1" s="1"/>
  <c r="F125" i="1" s="1"/>
  <c r="F126" i="1" s="1"/>
  <c r="F127" i="1" s="1"/>
  <c r="F128" i="1" s="1"/>
  <c r="F129" i="1" s="1"/>
  <c r="F130" i="1" s="1"/>
  <c r="F131" i="1" s="1"/>
  <c r="F132" i="1" s="1"/>
  <c r="F133" i="1" s="1"/>
  <c r="F134" i="1" s="1"/>
  <c r="F135" i="1" s="1"/>
  <c r="F136" i="1" s="1"/>
  <c r="F137" i="1" s="1"/>
  <c r="F138" i="1" s="1"/>
  <c r="F139" i="1" s="1"/>
  <c r="F140" i="1" s="1"/>
  <c r="F141" i="1" s="1"/>
  <c r="F142" i="1" s="1"/>
  <c r="F143" i="1" s="1"/>
  <c r="F144" i="1" s="1"/>
  <c r="F145" i="1" s="1"/>
  <c r="F146" i="1" s="1"/>
  <c r="F147" i="1" s="1"/>
  <c r="F148" i="1" s="1"/>
  <c r="F149" i="1" s="1"/>
  <c r="F150" i="1" s="1"/>
  <c r="F151" i="1" s="1"/>
  <c r="F152" i="1" s="1"/>
  <c r="F153" i="1" s="1"/>
  <c r="F154" i="1" s="1"/>
  <c r="F155" i="1" s="1"/>
  <c r="F156" i="1" s="1"/>
  <c r="F157" i="1" s="1"/>
  <c r="F158" i="1" s="1"/>
  <c r="F159" i="1" s="1"/>
  <c r="F160" i="1" s="1"/>
  <c r="F161" i="1" s="1"/>
  <c r="F162" i="1" s="1"/>
  <c r="F163" i="1" s="1"/>
  <c r="F164" i="1" s="1"/>
  <c r="F165" i="1" s="1"/>
  <c r="F166" i="1" s="1"/>
  <c r="F167" i="1" s="1"/>
  <c r="F168" i="1" s="1"/>
  <c r="F169" i="1" s="1"/>
  <c r="F170" i="1" s="1"/>
  <c r="F171" i="1" s="1"/>
  <c r="F172" i="1" s="1"/>
  <c r="F173" i="1" s="1"/>
  <c r="F174" i="1" s="1"/>
  <c r="F175" i="1" s="1"/>
  <c r="F176" i="1" s="1"/>
  <c r="F177" i="1" s="1"/>
  <c r="F178" i="1" s="1"/>
  <c r="F179" i="1" s="1"/>
  <c r="F180" i="1" s="1"/>
  <c r="F181" i="1" s="1"/>
  <c r="F182" i="1" s="1"/>
  <c r="F183" i="1" s="1"/>
  <c r="F184" i="1" s="1"/>
  <c r="F185" i="1" s="1"/>
  <c r="F186" i="1" s="1"/>
  <c r="F187" i="1" s="1"/>
  <c r="F188" i="1" s="1"/>
  <c r="F189" i="1" s="1"/>
  <c r="F190" i="1" s="1"/>
  <c r="F191" i="1" s="1"/>
  <c r="F192" i="1" s="1"/>
  <c r="F193" i="1" s="1"/>
  <c r="F194" i="1" s="1"/>
  <c r="F195" i="1" s="1"/>
  <c r="F196" i="1" s="1"/>
  <c r="F197" i="1" s="1"/>
  <c r="F198" i="1" s="1"/>
  <c r="F199" i="1" s="1"/>
  <c r="F200" i="1" s="1"/>
  <c r="F201" i="1" s="1"/>
  <c r="F202" i="1" s="1"/>
  <c r="F203" i="1" s="1"/>
  <c r="F204" i="1" s="1"/>
  <c r="F205" i="1" s="1"/>
  <c r="F206" i="1" s="1"/>
  <c r="F207" i="1" s="1"/>
  <c r="F208" i="1" s="1"/>
  <c r="F209" i="1" s="1"/>
  <c r="F210" i="1" s="1"/>
  <c r="F211" i="1" s="1"/>
  <c r="F212" i="1" s="1"/>
  <c r="F213" i="1" s="1"/>
  <c r="F214" i="1" s="1"/>
  <c r="F215" i="1" s="1"/>
  <c r="F216" i="1" s="1"/>
  <c r="F217" i="1" s="1"/>
  <c r="F218" i="1" s="1"/>
  <c r="F219" i="1" s="1"/>
  <c r="F220" i="1" s="1"/>
  <c r="F221" i="1" s="1"/>
  <c r="F222" i="1" s="1"/>
  <c r="F223" i="1" s="1"/>
  <c r="F224" i="1" s="1"/>
  <c r="F225" i="1" s="1"/>
  <c r="F226" i="1" s="1"/>
  <c r="F227" i="1" s="1"/>
  <c r="F228" i="1" s="1"/>
  <c r="F229" i="1" s="1"/>
  <c r="F230" i="1" s="1"/>
  <c r="F231" i="1" s="1"/>
  <c r="F232" i="1" s="1"/>
  <c r="F233" i="1" s="1"/>
  <c r="F234" i="1" s="1"/>
  <c r="F235" i="1" s="1"/>
  <c r="F236" i="1" s="1"/>
  <c r="F237" i="1" s="1"/>
  <c r="F238" i="1" s="1"/>
  <c r="F239" i="1" s="1"/>
  <c r="F240" i="1" s="1"/>
  <c r="F241" i="1" s="1"/>
  <c r="F242" i="1" s="1"/>
  <c r="F243" i="1" s="1"/>
  <c r="F244" i="1" s="1"/>
  <c r="F245" i="1" s="1"/>
  <c r="F246" i="1" s="1"/>
  <c r="F247" i="1" s="1"/>
  <c r="F248" i="1" s="1"/>
  <c r="F249" i="1" s="1"/>
  <c r="F250" i="1" s="1"/>
  <c r="F251" i="1" s="1"/>
  <c r="F252" i="1" s="1"/>
  <c r="F253" i="1" s="1"/>
  <c r="F254" i="1" s="1"/>
  <c r="F255" i="1" s="1"/>
  <c r="F256" i="1" s="1"/>
  <c r="F257" i="1" s="1"/>
  <c r="F258" i="1" s="1"/>
  <c r="F259" i="1" s="1"/>
  <c r="F260" i="1" s="1"/>
  <c r="F261" i="1" s="1"/>
  <c r="F262" i="1" s="1"/>
  <c r="F263" i="1" s="1"/>
  <c r="F264" i="1" s="1"/>
  <c r="F265" i="1" s="1"/>
  <c r="F266" i="1" s="1"/>
  <c r="F267" i="1" s="1"/>
  <c r="F268" i="1" s="1"/>
  <c r="F269" i="1" s="1"/>
  <c r="F270" i="1" s="1"/>
  <c r="F271" i="1" s="1"/>
  <c r="F272" i="1" s="1"/>
  <c r="F273" i="1" s="1"/>
  <c r="F274" i="1" s="1"/>
  <c r="F275" i="1" s="1"/>
  <c r="F276" i="1" s="1"/>
  <c r="F277" i="1" s="1"/>
  <c r="F278" i="1" s="1"/>
  <c r="F279" i="1" s="1"/>
  <c r="F280" i="1" s="1"/>
  <c r="F281" i="1" s="1"/>
  <c r="F282" i="1" s="1"/>
  <c r="F283" i="1" s="1"/>
  <c r="F284" i="1" s="1"/>
  <c r="F285" i="1" s="1"/>
  <c r="F286" i="1" s="1"/>
  <c r="F287" i="1" s="1"/>
  <c r="F288" i="1" s="1"/>
  <c r="F289" i="1" s="1"/>
  <c r="F290" i="1" s="1"/>
  <c r="F291" i="1" s="1"/>
  <c r="F292" i="1" s="1"/>
  <c r="F293" i="1" s="1"/>
  <c r="F294" i="1" s="1"/>
  <c r="F295" i="1" s="1"/>
  <c r="F296" i="1" s="1"/>
  <c r="F297" i="1" s="1"/>
  <c r="F298" i="1" s="1"/>
  <c r="F299" i="1" s="1"/>
  <c r="F300" i="1" s="1"/>
  <c r="F301" i="1" s="1"/>
  <c r="F302" i="1" s="1"/>
  <c r="F303" i="1" s="1"/>
  <c r="F304" i="1" s="1"/>
  <c r="F305" i="1" s="1"/>
  <c r="F306" i="1" s="1"/>
  <c r="F307" i="1" s="1"/>
  <c r="F308" i="1" s="1"/>
  <c r="F309" i="1" s="1"/>
  <c r="F310" i="1" s="1"/>
  <c r="F311" i="1" s="1"/>
  <c r="F312" i="1" s="1"/>
  <c r="F313" i="1" s="1"/>
  <c r="F314" i="1" s="1"/>
  <c r="F315" i="1" s="1"/>
  <c r="F316" i="1" s="1"/>
  <c r="F317" i="1" s="1"/>
  <c r="F318" i="1" s="1"/>
  <c r="F319" i="1" s="1"/>
  <c r="F320" i="1" s="1"/>
  <c r="F321" i="1" s="1"/>
  <c r="F322" i="1" s="1"/>
  <c r="F323" i="1" s="1"/>
  <c r="F324" i="1" s="1"/>
  <c r="F325" i="1" s="1"/>
  <c r="F326" i="1" s="1"/>
  <c r="F327" i="1" s="1"/>
  <c r="F328" i="1" s="1"/>
  <c r="F329" i="1" s="1"/>
  <c r="F330" i="1" s="1"/>
  <c r="F331" i="1" s="1"/>
  <c r="F332" i="1" s="1"/>
  <c r="F333" i="1" s="1"/>
  <c r="F334" i="1" s="1"/>
  <c r="F335" i="1" s="1"/>
  <c r="F336" i="1" s="1"/>
  <c r="F337" i="1" s="1"/>
  <c r="F338" i="1" s="1"/>
  <c r="F339" i="1" s="1"/>
  <c r="F340" i="1" s="1"/>
  <c r="F341" i="1" s="1"/>
  <c r="F342" i="1" s="1"/>
  <c r="F343" i="1" s="1"/>
  <c r="F344" i="1" s="1"/>
  <c r="F345" i="1" s="1"/>
  <c r="F346" i="1" s="1"/>
  <c r="F347" i="1" s="1"/>
  <c r="F348" i="1" s="1"/>
  <c r="F349" i="1" s="1"/>
  <c r="F350" i="1" s="1"/>
  <c r="F351" i="1" s="1"/>
  <c r="F352" i="1" s="1"/>
  <c r="F353" i="1" s="1"/>
  <c r="F354" i="1" s="1"/>
  <c r="F355" i="1" s="1"/>
  <c r="F356" i="1" s="1"/>
  <c r="F357" i="1" s="1"/>
  <c r="F358" i="1" s="1"/>
  <c r="F359" i="1" s="1"/>
  <c r="F360" i="1" s="1"/>
  <c r="F361" i="1" s="1"/>
  <c r="F362" i="1" s="1"/>
  <c r="F363" i="1" s="1"/>
  <c r="F364" i="1" s="1"/>
  <c r="F365" i="1" s="1"/>
  <c r="F366" i="1" s="1"/>
  <c r="F367" i="1" s="1"/>
  <c r="F368" i="1" s="1"/>
  <c r="F369" i="1" s="1"/>
  <c r="F370" i="1" s="1"/>
  <c r="F371" i="1" s="1"/>
  <c r="F372" i="1" s="1"/>
  <c r="F373" i="1" s="1"/>
  <c r="F374" i="1" s="1"/>
  <c r="F375" i="1" s="1"/>
  <c r="F376" i="1" s="1"/>
  <c r="F377" i="1" s="1"/>
  <c r="F378" i="1" s="1"/>
  <c r="F379" i="1" s="1"/>
  <c r="F380" i="1" s="1"/>
  <c r="F381" i="1" s="1"/>
  <c r="F382" i="1" s="1"/>
  <c r="F383" i="1" s="1"/>
  <c r="F384" i="1" s="1"/>
  <c r="F385" i="1" s="1"/>
  <c r="F386" i="1" s="1"/>
  <c r="F387" i="1" s="1"/>
  <c r="F388" i="1" s="1"/>
  <c r="F389" i="1" s="1"/>
  <c r="F390" i="1" s="1"/>
  <c r="F391" i="1" s="1"/>
  <c r="F392" i="1" s="1"/>
  <c r="F393" i="1" s="1"/>
  <c r="F394" i="1" s="1"/>
  <c r="F395" i="1" s="1"/>
  <c r="F396" i="1" s="1"/>
  <c r="F397" i="1" s="1"/>
  <c r="F398" i="1" s="1"/>
  <c r="F399" i="1" s="1"/>
  <c r="F400" i="1" s="1"/>
  <c r="F401" i="1" s="1"/>
  <c r="F402" i="1" s="1"/>
  <c r="F403" i="1" s="1"/>
  <c r="F404" i="1" s="1"/>
  <c r="F405" i="1" s="1"/>
  <c r="F406" i="1" s="1"/>
  <c r="F407" i="1" s="1"/>
  <c r="F408" i="1" s="1"/>
  <c r="F409" i="1" s="1"/>
  <c r="F410" i="1" s="1"/>
  <c r="F411" i="1" s="1"/>
  <c r="F412" i="1" s="1"/>
  <c r="F413" i="1" s="1"/>
  <c r="F414" i="1" s="1"/>
  <c r="F415" i="1" s="1"/>
  <c r="F416" i="1" s="1"/>
  <c r="F417" i="1" s="1"/>
  <c r="F418" i="1" s="1"/>
  <c r="F419" i="1" s="1"/>
  <c r="F420" i="1" s="1"/>
  <c r="F421" i="1" s="1"/>
  <c r="F422" i="1" s="1"/>
  <c r="F423" i="1" s="1"/>
  <c r="F424" i="1" s="1"/>
  <c r="F425" i="1" s="1"/>
  <c r="F426" i="1" s="1"/>
  <c r="F427" i="1" s="1"/>
  <c r="F428" i="1" s="1"/>
  <c r="F429" i="1" s="1"/>
  <c r="F430" i="1" s="1"/>
  <c r="F431" i="1" s="1"/>
  <c r="F432" i="1" s="1"/>
  <c r="F433" i="1" s="1"/>
  <c r="F434" i="1" s="1"/>
  <c r="F435" i="1" s="1"/>
  <c r="F436" i="1" s="1"/>
  <c r="F437" i="1" s="1"/>
  <c r="F438" i="1" s="1"/>
  <c r="F439" i="1" s="1"/>
  <c r="F440" i="1" s="1"/>
  <c r="F441" i="1" s="1"/>
  <c r="F442" i="1" s="1"/>
  <c r="F443" i="1" s="1"/>
  <c r="F444" i="1" s="1"/>
  <c r="F445" i="1" s="1"/>
  <c r="F446" i="1" s="1"/>
  <c r="F447" i="1" s="1"/>
  <c r="F448" i="1" s="1"/>
  <c r="F449" i="1" s="1"/>
  <c r="F450" i="1" s="1"/>
  <c r="F451" i="1" s="1"/>
  <c r="F452" i="1" s="1"/>
  <c r="F453" i="1" s="1"/>
  <c r="F454" i="1" s="1"/>
  <c r="F455" i="1" s="1"/>
  <c r="F456" i="1" s="1"/>
  <c r="F457" i="1" s="1"/>
  <c r="F458" i="1" s="1"/>
  <c r="F459" i="1" s="1"/>
  <c r="F460" i="1" s="1"/>
  <c r="F461" i="1" s="1"/>
  <c r="F462" i="1" s="1"/>
  <c r="F463" i="1" s="1"/>
  <c r="F464" i="1" s="1"/>
  <c r="F465" i="1" s="1"/>
  <c r="F466" i="1" s="1"/>
  <c r="F467" i="1" s="1"/>
  <c r="F468" i="1" s="1"/>
  <c r="F469" i="1" s="1"/>
  <c r="F470" i="1" s="1"/>
  <c r="F471" i="1" s="1"/>
  <c r="F472" i="1" s="1"/>
  <c r="F473" i="1" s="1"/>
  <c r="F474" i="1" s="1"/>
  <c r="F475" i="1" s="1"/>
  <c r="F476" i="1" s="1"/>
  <c r="F477" i="1" s="1"/>
  <c r="F478" i="1" s="1"/>
  <c r="F479" i="1" s="1"/>
  <c r="F480" i="1" s="1"/>
  <c r="F481" i="1" s="1"/>
  <c r="F482" i="1" s="1"/>
  <c r="F483" i="1" s="1"/>
  <c r="F484" i="1" s="1"/>
  <c r="F485" i="1" s="1"/>
  <c r="F486" i="1" s="1"/>
  <c r="F487" i="1" s="1"/>
  <c r="F488" i="1" s="1"/>
  <c r="F489" i="1" s="1"/>
  <c r="F490" i="1" s="1"/>
  <c r="F491" i="1" s="1"/>
  <c r="F492" i="1" s="1"/>
  <c r="F493" i="1" s="1"/>
  <c r="F494" i="1" s="1"/>
  <c r="F495" i="1" s="1"/>
  <c r="F496" i="1" s="1"/>
  <c r="F497" i="1" s="1"/>
  <c r="F498" i="1" s="1"/>
  <c r="F499" i="1" s="1"/>
  <c r="F500" i="1" s="1"/>
  <c r="F501" i="1" s="1"/>
  <c r="F502" i="1" s="1"/>
  <c r="F503" i="1" s="1"/>
  <c r="F504" i="1" s="1"/>
  <c r="F505" i="1" s="1"/>
  <c r="F506" i="1" s="1"/>
  <c r="F507" i="1" s="1"/>
  <c r="F508" i="1" s="1"/>
  <c r="F509" i="1" s="1"/>
  <c r="F510" i="1" s="1"/>
  <c r="F511" i="1" s="1"/>
  <c r="F512" i="1" s="1"/>
  <c r="F513" i="1" s="1"/>
  <c r="F514" i="1" s="1"/>
  <c r="F515" i="1" s="1"/>
  <c r="F516" i="1" s="1"/>
  <c r="F517" i="1" s="1"/>
  <c r="F518" i="1" s="1"/>
  <c r="F519" i="1" s="1"/>
  <c r="F520" i="1" s="1"/>
  <c r="F521" i="1" s="1"/>
  <c r="F522" i="1" s="1"/>
  <c r="F523" i="1" s="1"/>
  <c r="F524" i="1" s="1"/>
  <c r="F525" i="1" s="1"/>
  <c r="F526" i="1" s="1"/>
  <c r="F527" i="1" s="1"/>
  <c r="F528" i="1" s="1"/>
  <c r="F529" i="1" s="1"/>
  <c r="F530" i="1" s="1"/>
  <c r="F531" i="1" s="1"/>
  <c r="F532" i="1" s="1"/>
  <c r="F533" i="1" s="1"/>
  <c r="F534" i="1" s="1"/>
  <c r="F535" i="1" s="1"/>
  <c r="F536" i="1" s="1"/>
  <c r="F537" i="1" s="1"/>
  <c r="F538" i="1" s="1"/>
  <c r="F539" i="1" s="1"/>
  <c r="F540" i="1" s="1"/>
  <c r="F541" i="1" s="1"/>
  <c r="F542" i="1" s="1"/>
  <c r="F543" i="1" s="1"/>
  <c r="F544" i="1" s="1"/>
  <c r="F545" i="1" s="1"/>
  <c r="F546" i="1" s="1"/>
  <c r="F547" i="1" s="1"/>
  <c r="F548" i="1" s="1"/>
  <c r="F549" i="1" s="1"/>
  <c r="F550" i="1" s="1"/>
  <c r="F551" i="1" s="1"/>
  <c r="F552" i="1" s="1"/>
  <c r="F553" i="1" s="1"/>
  <c r="F554" i="1" s="1"/>
  <c r="F555" i="1" s="1"/>
  <c r="F556" i="1" s="1"/>
  <c r="F557" i="1" s="1"/>
  <c r="F558" i="1" s="1"/>
  <c r="F559" i="1" s="1"/>
  <c r="F560" i="1" s="1"/>
  <c r="F561" i="1" s="1"/>
  <c r="F562" i="1" s="1"/>
  <c r="F563" i="1" s="1"/>
  <c r="F564" i="1" s="1"/>
  <c r="F565" i="1" s="1"/>
  <c r="F566" i="1" s="1"/>
  <c r="F567" i="1" s="1"/>
  <c r="F568" i="1" s="1"/>
  <c r="F569" i="1" s="1"/>
  <c r="F570" i="1" s="1"/>
  <c r="F571" i="1" s="1"/>
  <c r="F572" i="1" s="1"/>
  <c r="F573" i="1" s="1"/>
  <c r="F574" i="1" s="1"/>
  <c r="F575" i="1" s="1"/>
  <c r="F576" i="1" s="1"/>
  <c r="F577" i="1" s="1"/>
  <c r="F578" i="1" s="1"/>
  <c r="F579" i="1" s="1"/>
  <c r="F580" i="1" s="1"/>
  <c r="F581" i="1" s="1"/>
  <c r="F582" i="1" s="1"/>
  <c r="F583" i="1" s="1"/>
  <c r="F584" i="1" s="1"/>
  <c r="F585" i="1" s="1"/>
  <c r="F586" i="1" s="1"/>
  <c r="F587" i="1" s="1"/>
  <c r="F588" i="1" s="1"/>
  <c r="F589" i="1" s="1"/>
  <c r="F590" i="1" s="1"/>
  <c r="F591" i="1" s="1"/>
  <c r="F592" i="1" s="1"/>
  <c r="F593" i="1" s="1"/>
  <c r="F594" i="1" s="1"/>
  <c r="F595" i="1" s="1"/>
  <c r="F596" i="1" s="1"/>
  <c r="F597" i="1" s="1"/>
  <c r="F598" i="1" s="1"/>
  <c r="F599" i="1" s="1"/>
  <c r="F600" i="1" s="1"/>
  <c r="F601" i="1" s="1"/>
  <c r="F602" i="1" s="1"/>
  <c r="F603" i="1" s="1"/>
  <c r="F604" i="1" s="1"/>
  <c r="F605" i="1" s="1"/>
  <c r="F606" i="1" s="1"/>
  <c r="F607" i="1" s="1"/>
  <c r="F608" i="1" s="1"/>
  <c r="F609" i="1" s="1"/>
  <c r="F610" i="1" s="1"/>
  <c r="F611" i="1" s="1"/>
  <c r="F612" i="1" s="1"/>
  <c r="F613" i="1" s="1"/>
  <c r="F614" i="1" s="1"/>
  <c r="F615" i="1" s="1"/>
  <c r="F616" i="1" s="1"/>
  <c r="F617" i="1" s="1"/>
  <c r="F618" i="1" s="1"/>
  <c r="F619" i="1" s="1"/>
  <c r="F620" i="1" s="1"/>
  <c r="F621" i="1" s="1"/>
  <c r="F622" i="1" s="1"/>
  <c r="F623" i="1" s="1"/>
  <c r="F624" i="1" s="1"/>
  <c r="F625" i="1" s="1"/>
  <c r="F626" i="1" s="1"/>
  <c r="F627" i="1" s="1"/>
  <c r="F628" i="1" s="1"/>
  <c r="F629" i="1" s="1"/>
  <c r="F630" i="1" s="1"/>
  <c r="F631" i="1" s="1"/>
  <c r="F632" i="1" s="1"/>
  <c r="F633" i="1" s="1"/>
  <c r="F634" i="1" s="1"/>
  <c r="F635" i="1" s="1"/>
  <c r="F636" i="1" s="1"/>
  <c r="F637" i="1" s="1"/>
  <c r="F638" i="1" s="1"/>
  <c r="F639" i="1" s="1"/>
  <c r="F640" i="1" s="1"/>
  <c r="F641" i="1" s="1"/>
  <c r="F642" i="1" s="1"/>
  <c r="F643" i="1" s="1"/>
  <c r="F644" i="1" s="1"/>
  <c r="F645" i="1" s="1"/>
  <c r="F646" i="1" s="1"/>
  <c r="F647" i="1" s="1"/>
  <c r="F648" i="1" s="1"/>
  <c r="F649" i="1" s="1"/>
  <c r="F650" i="1" s="1"/>
  <c r="F651" i="1" s="1"/>
  <c r="F652" i="1" s="1"/>
  <c r="F653" i="1" s="1"/>
  <c r="F654" i="1" s="1"/>
  <c r="F655" i="1" s="1"/>
  <c r="F656" i="1" s="1"/>
  <c r="F657" i="1" s="1"/>
  <c r="F658" i="1" s="1"/>
  <c r="F659" i="1" s="1"/>
  <c r="F660" i="1" s="1"/>
  <c r="F661" i="1" s="1"/>
  <c r="F662" i="1" s="1"/>
  <c r="F663" i="1" s="1"/>
  <c r="F664" i="1" s="1"/>
  <c r="F665" i="1" s="1"/>
  <c r="F666" i="1" s="1"/>
  <c r="F667" i="1" s="1"/>
  <c r="F668" i="1" s="1"/>
  <c r="F669" i="1" s="1"/>
  <c r="F670" i="1" s="1"/>
  <c r="F671" i="1" s="1"/>
  <c r="F672" i="1" s="1"/>
  <c r="F673" i="1" s="1"/>
  <c r="F674" i="1" s="1"/>
  <c r="F675" i="1" s="1"/>
  <c r="F676" i="1" s="1"/>
  <c r="F677" i="1" s="1"/>
  <c r="F678" i="1" s="1"/>
  <c r="F679" i="1" s="1"/>
  <c r="F680" i="1" s="1"/>
  <c r="F681" i="1" s="1"/>
  <c r="F682" i="1" s="1"/>
  <c r="F683" i="1" s="1"/>
  <c r="F684" i="1" s="1"/>
  <c r="F685" i="1" s="1"/>
  <c r="F686" i="1" s="1"/>
  <c r="F687" i="1" s="1"/>
  <c r="F688" i="1" s="1"/>
  <c r="F689" i="1" s="1"/>
  <c r="F690" i="1" s="1"/>
  <c r="F691" i="1" s="1"/>
  <c r="F692" i="1" s="1"/>
  <c r="F693" i="1" s="1"/>
  <c r="F694" i="1" s="1"/>
  <c r="F695" i="1" s="1"/>
  <c r="F696" i="1" s="1"/>
  <c r="F697" i="1" s="1"/>
  <c r="F698" i="1" s="1"/>
  <c r="F699" i="1" s="1"/>
  <c r="F700" i="1" s="1"/>
  <c r="F701" i="1" s="1"/>
  <c r="F702" i="1" s="1"/>
  <c r="F703" i="1" s="1"/>
  <c r="F704" i="1" s="1"/>
  <c r="F705" i="1" s="1"/>
  <c r="F706" i="1" s="1"/>
  <c r="F707" i="1" s="1"/>
  <c r="F708" i="1" s="1"/>
  <c r="F709" i="1" s="1"/>
  <c r="F710" i="1" s="1"/>
  <c r="F711" i="1" s="1"/>
  <c r="F712" i="1" s="1"/>
  <c r="F713" i="1" s="1"/>
  <c r="F714" i="1" s="1"/>
  <c r="F715" i="1" s="1"/>
  <c r="F716" i="1" s="1"/>
  <c r="F717" i="1" s="1"/>
  <c r="F718" i="1" s="1"/>
  <c r="F719" i="1" s="1"/>
  <c r="F720" i="1" s="1"/>
  <c r="F721" i="1" s="1"/>
  <c r="F722" i="1" s="1"/>
  <c r="F723" i="1" s="1"/>
  <c r="F724" i="1" s="1"/>
  <c r="F725" i="1" s="1"/>
  <c r="F726" i="1" s="1"/>
  <c r="F727" i="1" s="1"/>
  <c r="F728" i="1" s="1"/>
  <c r="F729" i="1" s="1"/>
  <c r="F730" i="1" s="1"/>
  <c r="F731" i="1" s="1"/>
  <c r="F732" i="1" s="1"/>
  <c r="F733" i="1" s="1"/>
  <c r="F734" i="1" s="1"/>
  <c r="F735" i="1" s="1"/>
  <c r="F736" i="1" s="1"/>
  <c r="F737" i="1" s="1"/>
  <c r="F738" i="1" s="1"/>
  <c r="F739" i="1" s="1"/>
  <c r="F740" i="1" s="1"/>
  <c r="F741" i="1" s="1"/>
  <c r="F742" i="1" s="1"/>
  <c r="F743" i="1" s="1"/>
  <c r="F744" i="1" s="1"/>
  <c r="F745" i="1" s="1"/>
  <c r="F746" i="1" s="1"/>
  <c r="F747" i="1" s="1"/>
  <c r="F748" i="1" s="1"/>
  <c r="F749" i="1" s="1"/>
  <c r="F750" i="1" s="1"/>
  <c r="F751" i="1" s="1"/>
  <c r="F752" i="1" s="1"/>
  <c r="F753" i="1" s="1"/>
  <c r="F754" i="1" s="1"/>
  <c r="F755" i="1" s="1"/>
  <c r="F756" i="1" s="1"/>
  <c r="F757" i="1" s="1"/>
  <c r="F758" i="1" s="1"/>
  <c r="F759" i="1" s="1"/>
  <c r="F760" i="1" s="1"/>
  <c r="F761" i="1" s="1"/>
  <c r="F762" i="1" s="1"/>
  <c r="F763" i="1" s="1"/>
  <c r="F764" i="1" s="1"/>
  <c r="F765" i="1" s="1"/>
  <c r="F766" i="1" s="1"/>
  <c r="F767" i="1" s="1"/>
  <c r="F768" i="1" s="1"/>
  <c r="F769" i="1" s="1"/>
  <c r="F770" i="1" s="1"/>
  <c r="F771" i="1" s="1"/>
  <c r="F772" i="1" s="1"/>
  <c r="F773" i="1" s="1"/>
  <c r="F774" i="1" s="1"/>
  <c r="F775" i="1" s="1"/>
  <c r="F776" i="1" s="1"/>
  <c r="F777" i="1" s="1"/>
  <c r="F778" i="1" s="1"/>
  <c r="F779" i="1" s="1"/>
  <c r="F780" i="1" s="1"/>
  <c r="F781" i="1" s="1"/>
  <c r="F782" i="1" s="1"/>
  <c r="F783" i="1" s="1"/>
  <c r="F784" i="1" s="1"/>
  <c r="F785" i="1" s="1"/>
  <c r="F786" i="1" s="1"/>
  <c r="F787" i="1" s="1"/>
  <c r="F788" i="1" s="1"/>
  <c r="F789" i="1" s="1"/>
  <c r="F790" i="1" s="1"/>
  <c r="F791" i="1" s="1"/>
  <c r="F792" i="1" s="1"/>
  <c r="F793" i="1" s="1"/>
  <c r="F794" i="1" s="1"/>
  <c r="F795" i="1" s="1"/>
  <c r="F796" i="1" s="1"/>
  <c r="F797" i="1" s="1"/>
  <c r="F798" i="1" s="1"/>
  <c r="F799" i="1" s="1"/>
  <c r="F800" i="1" s="1"/>
  <c r="F801" i="1" s="1"/>
  <c r="F802" i="1" s="1"/>
  <c r="F803" i="1" s="1"/>
  <c r="F804" i="1" s="1"/>
  <c r="F805" i="1" s="1"/>
  <c r="F806" i="1" s="1"/>
  <c r="F807" i="1" s="1"/>
  <c r="F808" i="1" s="1"/>
  <c r="F809" i="1" s="1"/>
  <c r="F810" i="1" s="1"/>
  <c r="F811" i="1" s="1"/>
  <c r="F812" i="1" s="1"/>
  <c r="F813" i="1" s="1"/>
  <c r="F814" i="1" s="1"/>
  <c r="F815" i="1" s="1"/>
  <c r="F816" i="1" s="1"/>
  <c r="F817" i="1" s="1"/>
  <c r="F818" i="1" s="1"/>
  <c r="F819" i="1" s="1"/>
  <c r="F820" i="1" s="1"/>
  <c r="F821" i="1" s="1"/>
  <c r="F822" i="1" s="1"/>
  <c r="F823" i="1" s="1"/>
  <c r="F824" i="1" s="1"/>
  <c r="F825" i="1" s="1"/>
  <c r="F826" i="1" s="1"/>
  <c r="F827" i="1" s="1"/>
  <c r="F828" i="1" s="1"/>
  <c r="F829" i="1" s="1"/>
  <c r="F830" i="1" s="1"/>
  <c r="F831" i="1" s="1"/>
  <c r="F832" i="1" s="1"/>
  <c r="F833" i="1" s="1"/>
  <c r="F834" i="1" s="1"/>
  <c r="F835" i="1" s="1"/>
  <c r="F836" i="1" s="1"/>
  <c r="F837" i="1" s="1"/>
  <c r="F838" i="1" s="1"/>
  <c r="F839" i="1" s="1"/>
  <c r="F840" i="1" s="1"/>
  <c r="F841" i="1" s="1"/>
  <c r="F842" i="1" s="1"/>
  <c r="F843" i="1" s="1"/>
  <c r="F844" i="1" s="1"/>
  <c r="F845" i="1" s="1"/>
  <c r="F846" i="1" s="1"/>
  <c r="F847" i="1" s="1"/>
  <c r="F848" i="1" s="1"/>
  <c r="F849" i="1" s="1"/>
  <c r="F850" i="1" s="1"/>
  <c r="F851" i="1" s="1"/>
  <c r="F852" i="1" s="1"/>
  <c r="F853" i="1" s="1"/>
  <c r="F854" i="1" s="1"/>
  <c r="F855" i="1" s="1"/>
  <c r="F856" i="1" s="1"/>
  <c r="F857" i="1" s="1"/>
  <c r="F858" i="1" s="1"/>
  <c r="F859" i="1" s="1"/>
  <c r="F860" i="1" s="1"/>
  <c r="F861" i="1" s="1"/>
  <c r="F862" i="1" s="1"/>
  <c r="F863" i="1" s="1"/>
  <c r="F864" i="1" s="1"/>
  <c r="F865" i="1" s="1"/>
  <c r="F866" i="1" s="1"/>
  <c r="F867" i="1" s="1"/>
  <c r="F868" i="1" s="1"/>
  <c r="F869" i="1" s="1"/>
  <c r="F870" i="1" s="1"/>
  <c r="F871" i="1" s="1"/>
  <c r="F872" i="1" s="1"/>
  <c r="F873" i="1" s="1"/>
  <c r="F874" i="1" s="1"/>
  <c r="F875" i="1" s="1"/>
  <c r="F876" i="1" s="1"/>
  <c r="F877" i="1" s="1"/>
  <c r="F878" i="1" s="1"/>
  <c r="F879" i="1" s="1"/>
  <c r="F880" i="1" s="1"/>
  <c r="F881" i="1" s="1"/>
  <c r="F882" i="1" s="1"/>
  <c r="F883" i="1" s="1"/>
  <c r="F884" i="1" s="1"/>
  <c r="F885" i="1" s="1"/>
  <c r="F886" i="1" s="1"/>
  <c r="F887" i="1" s="1"/>
  <c r="F888" i="1" s="1"/>
  <c r="F889" i="1" s="1"/>
  <c r="F890" i="1" s="1"/>
  <c r="F891" i="1" s="1"/>
  <c r="F892" i="1" s="1"/>
  <c r="F893" i="1" s="1"/>
  <c r="F894" i="1" s="1"/>
  <c r="F895" i="1" s="1"/>
  <c r="F896" i="1" s="1"/>
  <c r="F897" i="1" s="1"/>
  <c r="F898" i="1" s="1"/>
  <c r="F899" i="1" s="1"/>
  <c r="F900" i="1" s="1"/>
  <c r="F901" i="1" s="1"/>
  <c r="F902" i="1" s="1"/>
  <c r="F903" i="1" s="1"/>
  <c r="F904" i="1" s="1"/>
  <c r="F905" i="1" s="1"/>
  <c r="F906" i="1" s="1"/>
  <c r="F907" i="1" s="1"/>
  <c r="F908" i="1" s="1"/>
  <c r="F909" i="1" s="1"/>
  <c r="F910" i="1" s="1"/>
  <c r="F911" i="1" s="1"/>
  <c r="F912" i="1" s="1"/>
  <c r="F913" i="1" s="1"/>
  <c r="F914" i="1" s="1"/>
  <c r="F915" i="1" s="1"/>
  <c r="F916" i="1" s="1"/>
  <c r="F917" i="1" s="1"/>
  <c r="F918" i="1" s="1"/>
  <c r="F919" i="1" s="1"/>
  <c r="F920" i="1" s="1"/>
  <c r="F921" i="1" s="1"/>
  <c r="F922" i="1" s="1"/>
  <c r="F923" i="1" s="1"/>
  <c r="F924" i="1" s="1"/>
  <c r="F925" i="1" s="1"/>
  <c r="F926" i="1" s="1"/>
  <c r="F927" i="1" s="1"/>
  <c r="F928" i="1" s="1"/>
  <c r="F929" i="1" s="1"/>
  <c r="F930" i="1" s="1"/>
  <c r="F931" i="1" s="1"/>
  <c r="F932" i="1" s="1"/>
  <c r="F933" i="1" s="1"/>
  <c r="F934" i="1" s="1"/>
  <c r="F935" i="1" s="1"/>
  <c r="F936" i="1" s="1"/>
  <c r="F937" i="1" s="1"/>
  <c r="F938" i="1" s="1"/>
  <c r="F939" i="1" s="1"/>
  <c r="F940" i="1" s="1"/>
  <c r="F941" i="1" s="1"/>
  <c r="F942" i="1" s="1"/>
  <c r="F943" i="1" s="1"/>
  <c r="F944" i="1" s="1"/>
  <c r="F945" i="1" s="1"/>
  <c r="F946" i="1" s="1"/>
  <c r="F947" i="1" s="1"/>
  <c r="F948" i="1" s="1"/>
  <c r="F949" i="1" s="1"/>
  <c r="F950" i="1" s="1"/>
  <c r="F951" i="1" s="1"/>
  <c r="F952" i="1" s="1"/>
  <c r="F953" i="1" s="1"/>
  <c r="F954" i="1" s="1"/>
  <c r="F955" i="1" s="1"/>
  <c r="F956" i="1" s="1"/>
  <c r="F957" i="1" s="1"/>
  <c r="F958" i="1" s="1"/>
  <c r="F959" i="1" s="1"/>
  <c r="F960" i="1" s="1"/>
  <c r="F961" i="1" s="1"/>
  <c r="F962" i="1" s="1"/>
  <c r="F963" i="1" s="1"/>
  <c r="F964" i="1" s="1"/>
  <c r="F965" i="1" s="1"/>
  <c r="F966" i="1" s="1"/>
  <c r="F967" i="1" s="1"/>
  <c r="F968" i="1" s="1"/>
  <c r="F969" i="1" s="1"/>
  <c r="F970" i="1" s="1"/>
  <c r="F971" i="1" s="1"/>
  <c r="F972" i="1" s="1"/>
  <c r="F973" i="1" s="1"/>
  <c r="F974" i="1" s="1"/>
  <c r="F975" i="1" s="1"/>
  <c r="F976" i="1" s="1"/>
  <c r="F977" i="1" s="1"/>
  <c r="F978" i="1" s="1"/>
  <c r="F979" i="1" s="1"/>
  <c r="F980" i="1" s="1"/>
  <c r="F981" i="1" s="1"/>
  <c r="F982" i="1" s="1"/>
  <c r="F983" i="1" s="1"/>
  <c r="F984" i="1" s="1"/>
  <c r="F985" i="1" s="1"/>
  <c r="F986" i="1" s="1"/>
  <c r="F987" i="1" s="1"/>
  <c r="F988" i="1" s="1"/>
  <c r="F989" i="1" s="1"/>
  <c r="F990" i="1" s="1"/>
  <c r="F991" i="1" s="1"/>
  <c r="F992" i="1" s="1"/>
  <c r="F993" i="1" s="1"/>
  <c r="F994" i="1" s="1"/>
  <c r="F995" i="1" s="1"/>
  <c r="F996" i="1" s="1"/>
  <c r="F997" i="1" s="1"/>
  <c r="F998" i="1" s="1"/>
  <c r="F999" i="1" s="1"/>
  <c r="F1000" i="1" s="1"/>
  <c r="F1001" i="1" s="1"/>
  <c r="F1002" i="1" s="1"/>
  <c r="F1003" i="1" s="1"/>
  <c r="F1004" i="1" s="1"/>
  <c r="F1005" i="1" s="1"/>
  <c r="F1006" i="1" s="1"/>
  <c r="F1007" i="1" s="1"/>
  <c r="F1008" i="1" s="1"/>
  <c r="F1009" i="1" s="1"/>
  <c r="F1010" i="1" s="1"/>
  <c r="F1011" i="1" s="1"/>
  <c r="F1012" i="1" s="1"/>
  <c r="F1013" i="1" s="1"/>
  <c r="F1014" i="1" s="1"/>
  <c r="F1015" i="1" s="1"/>
  <c r="F1016" i="1" s="1"/>
  <c r="F1017" i="1" s="1"/>
  <c r="F1018" i="1" s="1"/>
  <c r="F1019" i="1" s="1"/>
  <c r="F1020" i="1" s="1"/>
  <c r="F1021" i="1" s="1"/>
  <c r="F1022" i="1" s="1"/>
  <c r="F1023" i="1" s="1"/>
  <c r="F1024" i="1" s="1"/>
  <c r="F1025" i="1" s="1"/>
  <c r="F1026" i="1" s="1"/>
  <c r="F1027" i="1" s="1"/>
  <c r="F1028" i="1" s="1"/>
  <c r="F1029" i="1" s="1"/>
  <c r="F1030" i="1" s="1"/>
  <c r="F1031" i="1" s="1"/>
  <c r="F1032" i="1" s="1"/>
  <c r="F1033" i="1" s="1"/>
  <c r="F1034" i="1" s="1"/>
  <c r="F1035" i="1" s="1"/>
  <c r="F1036" i="1" s="1"/>
  <c r="F1037" i="1" s="1"/>
  <c r="F1038" i="1" s="1"/>
  <c r="F1039" i="1" s="1"/>
  <c r="F1040" i="1" s="1"/>
  <c r="F1041" i="1" s="1"/>
  <c r="F1042" i="1" s="1"/>
  <c r="F1043" i="1" s="1"/>
  <c r="F1044" i="1" s="1"/>
  <c r="F1045" i="1" s="1"/>
  <c r="F1046" i="1" s="1"/>
  <c r="F1047" i="1" s="1"/>
  <c r="F1048" i="1" s="1"/>
  <c r="F1049" i="1" s="1"/>
  <c r="F1050" i="1" s="1"/>
  <c r="F1051" i="1" s="1"/>
  <c r="F1052" i="1" s="1"/>
  <c r="F1053" i="1" s="1"/>
  <c r="F1054" i="1" s="1"/>
  <c r="F1055" i="1" s="1"/>
  <c r="F1056" i="1" s="1"/>
  <c r="F1057" i="1" s="1"/>
  <c r="F1058" i="1" s="1"/>
  <c r="F1059" i="1" s="1"/>
  <c r="F1060" i="1" s="1"/>
  <c r="F1061" i="1" s="1"/>
  <c r="F1062" i="1" s="1"/>
  <c r="F1063" i="1" s="1"/>
  <c r="F1064" i="1" s="1"/>
  <c r="F1065" i="1" s="1"/>
  <c r="F1066" i="1" s="1"/>
  <c r="F1067" i="1" s="1"/>
  <c r="F1068" i="1" s="1"/>
  <c r="F1069" i="1" s="1"/>
  <c r="F1070" i="1" s="1"/>
  <c r="F1071" i="1" s="1"/>
  <c r="F1072" i="1" s="1"/>
  <c r="F1073" i="1" s="1"/>
  <c r="F1074" i="1" s="1"/>
  <c r="F1075" i="1" s="1"/>
  <c r="F1076" i="1" s="1"/>
  <c r="F1077" i="1" s="1"/>
  <c r="F1078" i="1" s="1"/>
  <c r="F1079" i="1" s="1"/>
  <c r="F1080" i="1" s="1"/>
  <c r="F1081" i="1" s="1"/>
  <c r="F1082" i="1" s="1"/>
  <c r="F1083" i="1" s="1"/>
  <c r="F1084" i="1" s="1"/>
  <c r="F1085" i="1" s="1"/>
  <c r="F1086" i="1" s="1"/>
  <c r="F1087" i="1" s="1"/>
  <c r="F1088" i="1" s="1"/>
  <c r="F1089" i="1" s="1"/>
  <c r="F1090" i="1" s="1"/>
  <c r="F1091" i="1" s="1"/>
  <c r="F1092" i="1" s="1"/>
  <c r="F1093" i="1" s="1"/>
  <c r="F1094" i="1" s="1"/>
  <c r="F1095" i="1" s="1"/>
  <c r="F1096" i="1" s="1"/>
  <c r="F1097" i="1" s="1"/>
  <c r="F1098" i="1" s="1"/>
  <c r="F1099" i="1" s="1"/>
  <c r="F1100" i="1" s="1"/>
  <c r="F1101" i="1" s="1"/>
  <c r="F1102" i="1" s="1"/>
  <c r="F1103" i="1" s="1"/>
  <c r="F1104" i="1" s="1"/>
  <c r="F1105" i="1" s="1"/>
  <c r="F1106" i="1" s="1"/>
  <c r="F1107" i="1" s="1"/>
  <c r="F1108" i="1" s="1"/>
  <c r="F1109" i="1" s="1"/>
  <c r="F1110" i="1" s="1"/>
  <c r="F1111" i="1" s="1"/>
  <c r="F1112" i="1" s="1"/>
  <c r="F1113" i="1" s="1"/>
  <c r="F1114" i="1" s="1"/>
  <c r="F1115" i="1" s="1"/>
  <c r="F1116" i="1" s="1"/>
  <c r="F1117" i="1" s="1"/>
  <c r="F1118" i="1" s="1"/>
  <c r="F1119" i="1" s="1"/>
  <c r="F1120" i="1" s="1"/>
  <c r="F1121" i="1" s="1"/>
  <c r="F1122" i="1" s="1"/>
  <c r="F1123" i="1" s="1"/>
  <c r="F1124" i="1" s="1"/>
  <c r="F1125" i="1" s="1"/>
  <c r="F1126" i="1" s="1"/>
  <c r="F1127" i="1" s="1"/>
  <c r="F1128" i="1" s="1"/>
  <c r="F1129" i="1" s="1"/>
  <c r="F1130" i="1" s="1"/>
  <c r="F1131" i="1" s="1"/>
  <c r="F1132" i="1" s="1"/>
  <c r="F1133" i="1" s="1"/>
  <c r="F1134" i="1" s="1"/>
  <c r="F1135" i="1" s="1"/>
  <c r="F1136" i="1" s="1"/>
  <c r="F1137" i="1" s="1"/>
  <c r="F1138" i="1" s="1"/>
  <c r="F1139" i="1" s="1"/>
  <c r="F1140" i="1" s="1"/>
  <c r="F1141" i="1" s="1"/>
  <c r="F1142" i="1" s="1"/>
  <c r="F1143" i="1" s="1"/>
  <c r="F1144" i="1" s="1"/>
  <c r="F1145" i="1" s="1"/>
  <c r="F1146" i="1" s="1"/>
  <c r="F1147" i="1" s="1"/>
  <c r="F1148" i="1" s="1"/>
  <c r="F1149" i="1" s="1"/>
  <c r="F1150" i="1" s="1"/>
  <c r="F1151" i="1" s="1"/>
  <c r="F1152" i="1" s="1"/>
  <c r="F1153" i="1" s="1"/>
  <c r="F1154" i="1" s="1"/>
  <c r="F1155" i="1" s="1"/>
  <c r="F1156" i="1" s="1"/>
  <c r="F1157" i="1" s="1"/>
  <c r="F1158" i="1" s="1"/>
  <c r="F1159" i="1" s="1"/>
  <c r="F1160" i="1" s="1"/>
  <c r="F1161" i="1" s="1"/>
  <c r="F1162" i="1" s="1"/>
  <c r="F1163" i="1" s="1"/>
  <c r="F1164" i="1" s="1"/>
  <c r="F1165" i="1" s="1"/>
  <c r="F1166" i="1" s="1"/>
  <c r="F1167" i="1" s="1"/>
  <c r="F1168" i="1" s="1"/>
  <c r="F1169" i="1" s="1"/>
  <c r="F1170" i="1" s="1"/>
  <c r="F1171" i="1" s="1"/>
  <c r="F1172" i="1" s="1"/>
  <c r="F1173" i="1" s="1"/>
  <c r="F1174" i="1" s="1"/>
  <c r="F1175" i="1" s="1"/>
  <c r="F1176" i="1" s="1"/>
  <c r="F1177" i="1" s="1"/>
  <c r="F1178" i="1" s="1"/>
  <c r="F1179" i="1" s="1"/>
  <c r="F1180" i="1" s="1"/>
  <c r="F1181" i="1" s="1"/>
  <c r="F1182" i="1" s="1"/>
  <c r="F1183" i="1" s="1"/>
  <c r="F1184" i="1" s="1"/>
  <c r="F1185" i="1" s="1"/>
  <c r="F1186" i="1" s="1"/>
  <c r="F1187" i="1" s="1"/>
  <c r="F1188" i="1" s="1"/>
  <c r="F1189" i="1" s="1"/>
  <c r="F1190" i="1" s="1"/>
  <c r="F1191" i="1" s="1"/>
  <c r="F1192" i="1" s="1"/>
  <c r="F1193" i="1" s="1"/>
  <c r="F1194" i="1" s="1"/>
  <c r="F1195" i="1" s="1"/>
  <c r="F1196" i="1" s="1"/>
  <c r="F1197" i="1" s="1"/>
  <c r="F1198" i="1" s="1"/>
  <c r="F1199" i="1" s="1"/>
  <c r="F1200" i="1" s="1"/>
  <c r="F1201" i="1" s="1"/>
  <c r="F1202" i="1" s="1"/>
  <c r="F1203" i="1" s="1"/>
  <c r="F1204" i="1" s="1"/>
  <c r="F1205" i="1" s="1"/>
  <c r="F1206" i="1" s="1"/>
  <c r="F1207" i="1" s="1"/>
  <c r="F1208" i="1" s="1"/>
  <c r="F1209" i="1" s="1"/>
  <c r="F1210" i="1" s="1"/>
  <c r="F1211" i="1" s="1"/>
  <c r="F1212" i="1" s="1"/>
  <c r="F1213" i="1" s="1"/>
  <c r="F1214" i="1" s="1"/>
  <c r="F1215" i="1" s="1"/>
  <c r="F1216" i="1" s="1"/>
  <c r="F1217" i="1" s="1"/>
  <c r="F1218" i="1" s="1"/>
  <c r="F1219" i="1" s="1"/>
  <c r="F1220" i="1" s="1"/>
  <c r="F1221" i="1" s="1"/>
  <c r="F1222" i="1" s="1"/>
  <c r="F1223" i="1" s="1"/>
  <c r="F1224" i="1" s="1"/>
  <c r="F1225" i="1" s="1"/>
  <c r="F1226" i="1" s="1"/>
  <c r="F1227" i="1" s="1"/>
  <c r="F1228" i="1" s="1"/>
  <c r="F1229" i="1" s="1"/>
  <c r="F1230" i="1" s="1"/>
  <c r="F1231" i="1" s="1"/>
  <c r="F1232" i="1" s="1"/>
  <c r="F1233" i="1" s="1"/>
  <c r="F1234" i="1" s="1"/>
  <c r="F1235" i="1" s="1"/>
  <c r="F1236" i="1" s="1"/>
  <c r="F1237" i="1" s="1"/>
  <c r="F1238" i="1" s="1"/>
  <c r="F1239" i="1" s="1"/>
  <c r="F1240" i="1" s="1"/>
  <c r="F1241" i="1" s="1"/>
  <c r="F1242" i="1" s="1"/>
  <c r="F1243" i="1" s="1"/>
  <c r="F1244" i="1" s="1"/>
  <c r="F1245" i="1" s="1"/>
  <c r="F1246" i="1" s="1"/>
  <c r="F1247" i="1" s="1"/>
  <c r="F1248" i="1" s="1"/>
  <c r="F1249" i="1" s="1"/>
  <c r="F1250" i="1" s="1"/>
  <c r="F1251" i="1" s="1"/>
  <c r="F1252" i="1" s="1"/>
  <c r="F1253" i="1" s="1"/>
  <c r="F1254" i="1" s="1"/>
  <c r="F1255" i="1" s="1"/>
  <c r="F1256" i="1" s="1"/>
  <c r="F1257" i="1" s="1"/>
  <c r="F1258" i="1" s="1"/>
  <c r="F1259" i="1" s="1"/>
  <c r="F1260" i="1" s="1"/>
  <c r="F1261" i="1" s="1"/>
  <c r="F1262" i="1" s="1"/>
  <c r="F1263" i="1" s="1"/>
  <c r="F1264" i="1" s="1"/>
  <c r="F1265" i="1" s="1"/>
  <c r="F1266" i="1" s="1"/>
  <c r="F1267" i="1" s="1"/>
  <c r="F1268" i="1" s="1"/>
  <c r="F1269" i="1" s="1"/>
  <c r="F1270" i="1" s="1"/>
  <c r="F1271" i="1" s="1"/>
  <c r="F1272" i="1" s="1"/>
  <c r="F1273" i="1" s="1"/>
  <c r="F1274" i="1" s="1"/>
  <c r="F1275" i="1" s="1"/>
  <c r="F1276" i="1" s="1"/>
  <c r="F1277" i="1" s="1"/>
  <c r="F1278" i="1" s="1"/>
  <c r="F1279" i="1" s="1"/>
  <c r="F1280" i="1" s="1"/>
  <c r="F1281" i="1" s="1"/>
  <c r="F1282" i="1" s="1"/>
  <c r="F1283" i="1" s="1"/>
  <c r="F1284" i="1" s="1"/>
  <c r="F1285" i="1" s="1"/>
  <c r="F1286" i="1" s="1"/>
  <c r="F1287" i="1" s="1"/>
  <c r="F1288" i="1" s="1"/>
  <c r="F1289" i="1" s="1"/>
  <c r="F1290" i="1" s="1"/>
  <c r="F1291" i="1" s="1"/>
  <c r="F1292" i="1" s="1"/>
  <c r="F1293" i="1" s="1"/>
  <c r="F1294" i="1" s="1"/>
  <c r="F1295" i="1" s="1"/>
  <c r="F1296" i="1" s="1"/>
  <c r="F1297" i="1" s="1"/>
  <c r="F1298" i="1" s="1"/>
  <c r="F1299" i="1" s="1"/>
  <c r="F1300" i="1" s="1"/>
  <c r="F1301" i="1" s="1"/>
  <c r="F1302" i="1" s="1"/>
  <c r="F1303" i="1" s="1"/>
  <c r="F1304" i="1" s="1"/>
  <c r="F1305" i="1" s="1"/>
  <c r="F1306" i="1" s="1"/>
  <c r="F1307" i="1" s="1"/>
  <c r="F1308" i="1" s="1"/>
  <c r="F1309" i="1" s="1"/>
  <c r="F1310" i="1" s="1"/>
  <c r="F1311" i="1" s="1"/>
  <c r="F1312" i="1" s="1"/>
  <c r="F1313" i="1" s="1"/>
  <c r="F1314" i="1" s="1"/>
  <c r="F1315" i="1" s="1"/>
  <c r="F1316" i="1" s="1"/>
  <c r="F1317" i="1" s="1"/>
  <c r="F1318" i="1" s="1"/>
  <c r="F1319" i="1" s="1"/>
  <c r="F1320" i="1" s="1"/>
  <c r="F1321" i="1" s="1"/>
  <c r="F1322" i="1" s="1"/>
  <c r="F1323" i="1" s="1"/>
  <c r="F1324" i="1" s="1"/>
  <c r="F1325" i="1" s="1"/>
  <c r="F1326" i="1" s="1"/>
  <c r="F1327" i="1" s="1"/>
  <c r="F1328" i="1" s="1"/>
  <c r="F1329" i="1" s="1"/>
  <c r="F1330" i="1" s="1"/>
  <c r="F1331" i="1" s="1"/>
  <c r="F1332" i="1" s="1"/>
  <c r="F1333" i="1" s="1"/>
  <c r="F1334" i="1" s="1"/>
  <c r="F1335" i="1" s="1"/>
  <c r="F1336" i="1" s="1"/>
  <c r="F1337" i="1" s="1"/>
  <c r="F1338" i="1" s="1"/>
  <c r="F1339" i="1" s="1"/>
  <c r="F1340" i="1" s="1"/>
  <c r="F1341" i="1" s="1"/>
  <c r="F1342" i="1" s="1"/>
  <c r="F1343" i="1" s="1"/>
  <c r="F1344" i="1" s="1"/>
  <c r="F1345" i="1" s="1"/>
  <c r="F1346" i="1" s="1"/>
  <c r="F1347" i="1" s="1"/>
  <c r="F1348" i="1" s="1"/>
  <c r="F1349" i="1" s="1"/>
  <c r="F1350" i="1" s="1"/>
  <c r="F1351" i="1" s="1"/>
  <c r="F1352" i="1" s="1"/>
  <c r="F1353" i="1" s="1"/>
  <c r="F1354" i="1" s="1"/>
  <c r="F1355" i="1" s="1"/>
  <c r="F1356" i="1" s="1"/>
  <c r="F1357" i="1" s="1"/>
  <c r="F1358" i="1" s="1"/>
  <c r="F1359" i="1" s="1"/>
  <c r="F1360" i="1" s="1"/>
  <c r="F1361" i="1" s="1"/>
  <c r="F1362" i="1" s="1"/>
  <c r="F1363" i="1" s="1"/>
  <c r="F1364" i="1" s="1"/>
  <c r="F1365" i="1" s="1"/>
  <c r="F1366" i="1" s="1"/>
  <c r="F1367" i="1" s="1"/>
  <c r="F1368" i="1" s="1"/>
  <c r="F1369" i="1" s="1"/>
  <c r="F1370" i="1" s="1"/>
  <c r="F1371" i="1" s="1"/>
  <c r="F1372" i="1" s="1"/>
  <c r="F1373" i="1" s="1"/>
  <c r="F1374" i="1" s="1"/>
  <c r="F1375" i="1" s="1"/>
  <c r="F1376" i="1" s="1"/>
  <c r="F1377" i="1" s="1"/>
  <c r="F1378" i="1" s="1"/>
  <c r="F1379" i="1" s="1"/>
  <c r="F1380" i="1" s="1"/>
  <c r="F1381" i="1" s="1"/>
  <c r="F1382" i="1" s="1"/>
  <c r="F1383" i="1" s="1"/>
  <c r="F1384" i="1" s="1"/>
  <c r="F1385" i="1" s="1"/>
  <c r="F1386" i="1" s="1"/>
  <c r="F1387" i="1" s="1"/>
  <c r="F1388" i="1" s="1"/>
  <c r="F1389" i="1" s="1"/>
  <c r="F1390" i="1" s="1"/>
  <c r="F1391" i="1" s="1"/>
  <c r="F1392" i="1" s="1"/>
  <c r="F1393" i="1" s="1"/>
  <c r="F1394" i="1" s="1"/>
  <c r="F1395" i="1" s="1"/>
  <c r="F1396" i="1" s="1"/>
  <c r="F1397" i="1" s="1"/>
  <c r="F1398" i="1" s="1"/>
  <c r="F1399" i="1" s="1"/>
  <c r="F1400" i="1" s="1"/>
  <c r="F1401" i="1" s="1"/>
  <c r="F1402" i="1" s="1"/>
  <c r="F1403" i="1" s="1"/>
  <c r="F1404" i="1" s="1"/>
  <c r="F1405" i="1" s="1"/>
  <c r="F1406" i="1" s="1"/>
  <c r="F1407" i="1" s="1"/>
  <c r="F1408" i="1" s="1"/>
  <c r="F1409" i="1" s="1"/>
  <c r="F1410" i="1" s="1"/>
  <c r="F1411" i="1" s="1"/>
  <c r="F1412" i="1" s="1"/>
  <c r="F1413" i="1" s="1"/>
  <c r="F1414" i="1" s="1"/>
  <c r="F1415" i="1" s="1"/>
  <c r="F1416" i="1" s="1"/>
  <c r="F1417" i="1" s="1"/>
  <c r="F1418" i="1" s="1"/>
  <c r="F1419" i="1" s="1"/>
  <c r="F1420" i="1" s="1"/>
  <c r="F1421" i="1" s="1"/>
  <c r="F1422" i="1" s="1"/>
  <c r="F1423" i="1" s="1"/>
  <c r="F1424" i="1" s="1"/>
  <c r="F1425" i="1" s="1"/>
  <c r="F1426" i="1" s="1"/>
  <c r="F1427" i="1" s="1"/>
  <c r="F1428" i="1" s="1"/>
  <c r="F1429" i="1" s="1"/>
  <c r="F1430" i="1" s="1"/>
  <c r="F1431" i="1" s="1"/>
  <c r="F1432" i="1" s="1"/>
  <c r="F1433" i="1" s="1"/>
  <c r="F1434" i="1" s="1"/>
  <c r="F1435" i="1" s="1"/>
  <c r="F1436" i="1" s="1"/>
  <c r="F1437" i="1" s="1"/>
  <c r="F1438" i="1" s="1"/>
  <c r="F1439" i="1" s="1"/>
  <c r="F1440" i="1" s="1"/>
  <c r="F1441" i="1" s="1"/>
  <c r="F1442" i="1" s="1"/>
  <c r="F1443" i="1" s="1"/>
  <c r="F1444" i="1" s="1"/>
  <c r="F1445" i="1" s="1"/>
  <c r="F1446" i="1" s="1"/>
  <c r="F1447" i="1" s="1"/>
  <c r="F1448" i="1" s="1"/>
  <c r="F1449" i="1" s="1"/>
  <c r="F1450" i="1" s="1"/>
  <c r="F1451" i="1" s="1"/>
  <c r="F1452" i="1" s="1"/>
  <c r="F1453" i="1" s="1"/>
  <c r="F1454" i="1" s="1"/>
  <c r="F1455" i="1" s="1"/>
  <c r="F1456" i="1" s="1"/>
  <c r="F1457" i="1" s="1"/>
  <c r="F1458" i="1" s="1"/>
  <c r="F1459" i="1" s="1"/>
  <c r="F1460" i="1" s="1"/>
  <c r="F1461" i="1" s="1"/>
  <c r="F1462" i="1" s="1"/>
  <c r="F1463" i="1" s="1"/>
  <c r="F1464" i="1" s="1"/>
  <c r="F1465" i="1" s="1"/>
  <c r="F1466" i="1" s="1"/>
  <c r="F1467" i="1" s="1"/>
  <c r="F1468" i="1" s="1"/>
  <c r="F1469" i="1" s="1"/>
  <c r="F1470" i="1" s="1"/>
  <c r="F1471" i="1" s="1"/>
  <c r="F1472" i="1" s="1"/>
  <c r="F1473" i="1" s="1"/>
  <c r="F1474" i="1" s="1"/>
  <c r="F1475" i="1" s="1"/>
  <c r="F1476" i="1" s="1"/>
  <c r="F1477" i="1" s="1"/>
  <c r="F1478" i="1" s="1"/>
  <c r="F1479" i="1" s="1"/>
  <c r="F1480" i="1" s="1"/>
  <c r="F1481" i="1" s="1"/>
  <c r="F1482" i="1" s="1"/>
  <c r="F1483" i="1" s="1"/>
  <c r="F1484" i="1" s="1"/>
  <c r="F1485" i="1" s="1"/>
  <c r="F1486" i="1" s="1"/>
  <c r="F1487" i="1" s="1"/>
  <c r="F1488" i="1" s="1"/>
  <c r="F1489" i="1" s="1"/>
  <c r="F1490" i="1" s="1"/>
  <c r="F1491" i="1" s="1"/>
  <c r="F1492" i="1" s="1"/>
  <c r="F1493" i="1" s="1"/>
  <c r="F1494" i="1" s="1"/>
  <c r="F1495" i="1" s="1"/>
  <c r="F1496" i="1" s="1"/>
  <c r="F1497" i="1" s="1"/>
  <c r="F1498" i="1" s="1"/>
  <c r="F1499" i="1" s="1"/>
  <c r="F1500" i="1" s="1"/>
  <c r="F1501" i="1" s="1"/>
  <c r="F1502" i="1" s="1"/>
  <c r="F1503" i="1" s="1"/>
  <c r="F1504" i="1" s="1"/>
  <c r="F1505" i="1" s="1"/>
  <c r="F1506" i="1" s="1"/>
  <c r="F1507" i="1" s="1"/>
  <c r="F1508" i="1" s="1"/>
  <c r="F1509" i="1" s="1"/>
  <c r="F1510" i="1" s="1"/>
  <c r="F1511" i="1" s="1"/>
  <c r="F1512" i="1" s="1"/>
  <c r="F1513" i="1" s="1"/>
  <c r="F1514" i="1" s="1"/>
  <c r="F1515" i="1" s="1"/>
  <c r="F1516" i="1" s="1"/>
  <c r="F1517" i="1" s="1"/>
  <c r="F1518" i="1" s="1"/>
  <c r="F1519" i="1" s="1"/>
  <c r="F1520" i="1" s="1"/>
  <c r="F1521" i="1" s="1"/>
  <c r="F1522" i="1" s="1"/>
  <c r="F1523" i="1" s="1"/>
  <c r="F1524" i="1" s="1"/>
  <c r="F1525" i="1" s="1"/>
  <c r="F1526" i="1" s="1"/>
  <c r="F1527" i="1" s="1"/>
  <c r="F1528" i="1" s="1"/>
  <c r="F1529" i="1" s="1"/>
  <c r="F1530" i="1" s="1"/>
  <c r="F1531" i="1" s="1"/>
  <c r="F1532" i="1" s="1"/>
  <c r="F1533" i="1" s="1"/>
  <c r="F1534" i="1" s="1"/>
  <c r="F1535" i="1" s="1"/>
  <c r="F1536" i="1" s="1"/>
  <c r="F1537" i="1" s="1"/>
  <c r="F1538" i="1" s="1"/>
  <c r="F1539" i="1" s="1"/>
  <c r="F1540" i="1" s="1"/>
  <c r="F1541" i="1" s="1"/>
  <c r="F1542" i="1" s="1"/>
  <c r="F1543" i="1" s="1"/>
  <c r="F1544" i="1" s="1"/>
  <c r="F1545" i="1" s="1"/>
  <c r="F1546" i="1" s="1"/>
  <c r="F1547" i="1" s="1"/>
  <c r="F1548" i="1" s="1"/>
  <c r="F1549" i="1" s="1"/>
  <c r="F1550" i="1" s="1"/>
  <c r="F1551" i="1" s="1"/>
  <c r="F1552" i="1" s="1"/>
  <c r="F1553" i="1" s="1"/>
  <c r="F1554" i="1" s="1"/>
  <c r="F1555" i="1" s="1"/>
  <c r="F1556" i="1" s="1"/>
  <c r="F1557" i="1" s="1"/>
  <c r="F1558" i="1" s="1"/>
  <c r="F1559" i="1" s="1"/>
  <c r="F1560" i="1" s="1"/>
  <c r="F1561" i="1" s="1"/>
  <c r="F1562" i="1" s="1"/>
  <c r="F1563" i="1" s="1"/>
  <c r="F1564" i="1" s="1"/>
  <c r="F1565" i="1" s="1"/>
  <c r="F1566" i="1" s="1"/>
  <c r="F1567" i="1" s="1"/>
  <c r="F1568" i="1" s="1"/>
  <c r="F1569" i="1" s="1"/>
  <c r="F1570" i="1" s="1"/>
  <c r="F1571" i="1" s="1"/>
  <c r="F1572" i="1" s="1"/>
  <c r="F1573" i="1" s="1"/>
  <c r="F1574" i="1" s="1"/>
  <c r="F1575" i="1" s="1"/>
  <c r="F1576" i="1" s="1"/>
  <c r="F1577" i="1" s="1"/>
  <c r="F1578" i="1" s="1"/>
  <c r="F1579" i="1" s="1"/>
  <c r="F1580" i="1" s="1"/>
  <c r="F1581" i="1" s="1"/>
  <c r="F1582" i="1" s="1"/>
  <c r="F1583" i="1" s="1"/>
  <c r="F1584" i="1" s="1"/>
  <c r="F1585" i="1" s="1"/>
  <c r="F1586" i="1" s="1"/>
  <c r="F1587" i="1" s="1"/>
  <c r="F1588" i="1" s="1"/>
  <c r="F1589" i="1" s="1"/>
  <c r="F1590" i="1" s="1"/>
  <c r="F1591" i="1" s="1"/>
  <c r="F1592" i="1" s="1"/>
  <c r="F1593" i="1" s="1"/>
  <c r="F1594" i="1" s="1"/>
  <c r="F1595" i="1" s="1"/>
  <c r="F1596" i="1" s="1"/>
  <c r="F1597" i="1" s="1"/>
  <c r="F1598" i="1" s="1"/>
  <c r="F1599" i="1" s="1"/>
  <c r="F1600" i="1" s="1"/>
  <c r="F1601" i="1" s="1"/>
  <c r="F1602" i="1" s="1"/>
  <c r="F1603" i="1" s="1"/>
  <c r="F1604" i="1" s="1"/>
  <c r="F1605" i="1" s="1"/>
  <c r="F1606" i="1" s="1"/>
  <c r="F1607" i="1" s="1"/>
  <c r="F1608" i="1" s="1"/>
  <c r="F1609" i="1" s="1"/>
  <c r="F1610" i="1" s="1"/>
  <c r="F1611" i="1" s="1"/>
  <c r="F1612" i="1" s="1"/>
  <c r="F1613" i="1" s="1"/>
  <c r="F1614" i="1" s="1"/>
  <c r="F1615" i="1" s="1"/>
  <c r="F1616" i="1" s="1"/>
  <c r="F1617" i="1" s="1"/>
  <c r="F1618" i="1" s="1"/>
  <c r="F1619" i="1" s="1"/>
  <c r="F1620" i="1" s="1"/>
  <c r="F1621" i="1" s="1"/>
  <c r="F1622" i="1" s="1"/>
  <c r="F1623" i="1" s="1"/>
  <c r="F1624" i="1" s="1"/>
  <c r="F1625" i="1" s="1"/>
  <c r="F1626" i="1" s="1"/>
  <c r="F1627" i="1" s="1"/>
  <c r="F1628" i="1" s="1"/>
  <c r="F1629" i="1" s="1"/>
  <c r="F1630" i="1" s="1"/>
  <c r="F1631" i="1" s="1"/>
  <c r="F1632" i="1" s="1"/>
  <c r="F1633" i="1" s="1"/>
  <c r="F1634" i="1" s="1"/>
  <c r="F1635" i="1" s="1"/>
  <c r="F1636" i="1" s="1"/>
  <c r="F1637" i="1" s="1"/>
  <c r="F1638" i="1" s="1"/>
  <c r="F1639" i="1" s="1"/>
  <c r="F1640" i="1" s="1"/>
  <c r="F1641" i="1" s="1"/>
  <c r="F1642" i="1" s="1"/>
  <c r="F1643" i="1" s="1"/>
  <c r="F1644" i="1" s="1"/>
  <c r="F1645" i="1" s="1"/>
  <c r="F1646" i="1" s="1"/>
  <c r="F1647" i="1" s="1"/>
  <c r="F1648" i="1" s="1"/>
  <c r="F1649" i="1" s="1"/>
  <c r="F1650" i="1" s="1"/>
  <c r="F1651" i="1" s="1"/>
  <c r="F1652" i="1" s="1"/>
  <c r="F1653" i="1" s="1"/>
  <c r="F1654" i="1" s="1"/>
  <c r="F1655" i="1" s="1"/>
  <c r="F1656" i="1" s="1"/>
  <c r="F1657" i="1" s="1"/>
  <c r="F1658" i="1" s="1"/>
  <c r="F1659" i="1" s="1"/>
  <c r="F1660" i="1" s="1"/>
  <c r="F1661" i="1" s="1"/>
  <c r="F1662" i="1" s="1"/>
  <c r="F1663" i="1" s="1"/>
  <c r="F1664" i="1" s="1"/>
  <c r="F1665" i="1" s="1"/>
  <c r="F1666" i="1" s="1"/>
  <c r="F1667" i="1" s="1"/>
  <c r="F1668" i="1" s="1"/>
  <c r="F1669" i="1" s="1"/>
  <c r="F1670" i="1" s="1"/>
  <c r="F1671" i="1" s="1"/>
  <c r="F1672" i="1" s="1"/>
  <c r="F1673" i="1" s="1"/>
  <c r="F1674" i="1" s="1"/>
  <c r="F1675" i="1" s="1"/>
  <c r="F1676" i="1" s="1"/>
  <c r="F1677" i="1" s="1"/>
  <c r="F1678" i="1" s="1"/>
  <c r="F1679" i="1" s="1"/>
  <c r="F1680" i="1" s="1"/>
  <c r="F1681" i="1" s="1"/>
  <c r="F1682" i="1" s="1"/>
  <c r="F1683" i="1" s="1"/>
  <c r="F1684" i="1" s="1"/>
  <c r="F1685" i="1" s="1"/>
  <c r="F1686" i="1" s="1"/>
  <c r="F1687" i="1" s="1"/>
  <c r="F1688" i="1" s="1"/>
  <c r="F1689" i="1" s="1"/>
  <c r="F1690" i="1" s="1"/>
  <c r="F1691" i="1" s="1"/>
  <c r="F1692" i="1" s="1"/>
  <c r="F1693" i="1" s="1"/>
  <c r="F1694" i="1" s="1"/>
  <c r="F1695" i="1" s="1"/>
  <c r="F1696" i="1" s="1"/>
  <c r="F1697" i="1" s="1"/>
  <c r="F1698" i="1" s="1"/>
  <c r="F1699" i="1" s="1"/>
  <c r="F1700" i="1" s="1"/>
  <c r="F1701" i="1" s="1"/>
  <c r="F1702" i="1" s="1"/>
  <c r="F1703" i="1" s="1"/>
  <c r="F1704" i="1" s="1"/>
  <c r="F1705" i="1" s="1"/>
  <c r="F1706" i="1" s="1"/>
  <c r="F1707" i="1" s="1"/>
  <c r="F1708" i="1" s="1"/>
  <c r="F1709" i="1" s="1"/>
  <c r="F1710" i="1" s="1"/>
  <c r="F1711" i="1" s="1"/>
  <c r="F1712" i="1" s="1"/>
  <c r="F1713" i="1" s="1"/>
  <c r="F1714" i="1" s="1"/>
  <c r="F1715" i="1" s="1"/>
  <c r="F1716" i="1" s="1"/>
  <c r="F1717" i="1" s="1"/>
  <c r="F1718" i="1" s="1"/>
  <c r="F1719" i="1" s="1"/>
  <c r="F1720" i="1" s="1"/>
  <c r="F1721" i="1" s="1"/>
  <c r="F1722" i="1" s="1"/>
  <c r="F1723" i="1" s="1"/>
  <c r="F1724" i="1" s="1"/>
  <c r="F1725" i="1" s="1"/>
  <c r="F1726" i="1" s="1"/>
  <c r="F1727" i="1" s="1"/>
  <c r="F1728" i="1" s="1"/>
  <c r="F1729" i="1" s="1"/>
  <c r="F1730" i="1" s="1"/>
  <c r="F1731" i="1" s="1"/>
  <c r="F1732" i="1" s="1"/>
  <c r="F1733" i="1" s="1"/>
  <c r="F1734" i="1" s="1"/>
  <c r="F1735" i="1" s="1"/>
  <c r="F1736" i="1" s="1"/>
  <c r="F1737" i="1" s="1"/>
  <c r="F1738" i="1" s="1"/>
  <c r="F1739" i="1" s="1"/>
  <c r="F1740" i="1" s="1"/>
  <c r="F1741" i="1" s="1"/>
  <c r="F1742" i="1" s="1"/>
  <c r="F1743" i="1" s="1"/>
  <c r="F1744" i="1" s="1"/>
  <c r="F1745" i="1" s="1"/>
  <c r="F1746" i="1" s="1"/>
  <c r="F1747" i="1" s="1"/>
  <c r="F1748" i="1" s="1"/>
  <c r="F1749" i="1" s="1"/>
  <c r="F1750" i="1" s="1"/>
  <c r="F1751" i="1" s="1"/>
  <c r="F1752" i="1" s="1"/>
  <c r="F1753" i="1" s="1"/>
  <c r="F1754" i="1" s="1"/>
  <c r="F1755" i="1" s="1"/>
  <c r="F1756" i="1" s="1"/>
  <c r="F1757" i="1" s="1"/>
  <c r="F1758" i="1" s="1"/>
  <c r="F1759" i="1" s="1"/>
  <c r="F1760" i="1" s="1"/>
  <c r="F1761" i="1" s="1"/>
  <c r="F1762" i="1" s="1"/>
  <c r="F1763" i="1" s="1"/>
  <c r="F1764" i="1" s="1"/>
  <c r="F1765" i="1" s="1"/>
  <c r="F1766" i="1" s="1"/>
  <c r="F1767" i="1" s="1"/>
  <c r="F1768" i="1" s="1"/>
  <c r="F1769" i="1" s="1"/>
  <c r="F1770" i="1" s="1"/>
  <c r="F1771" i="1" s="1"/>
  <c r="F1772" i="1" s="1"/>
  <c r="F1773" i="1" s="1"/>
  <c r="F1774" i="1" s="1"/>
  <c r="F1775" i="1" s="1"/>
  <c r="F1776" i="1" s="1"/>
  <c r="F1777" i="1" s="1"/>
  <c r="F1778" i="1" s="1"/>
  <c r="F1779" i="1" s="1"/>
  <c r="F1780" i="1" s="1"/>
  <c r="F1781" i="1" s="1"/>
  <c r="F1782" i="1" s="1"/>
  <c r="F1783" i="1" s="1"/>
  <c r="F1784" i="1" s="1"/>
  <c r="F1785" i="1" s="1"/>
  <c r="F1786" i="1" s="1"/>
  <c r="F1787" i="1" s="1"/>
  <c r="F1788" i="1" s="1"/>
  <c r="F1789" i="1" s="1"/>
  <c r="F1790" i="1" s="1"/>
  <c r="F1791" i="1" s="1"/>
  <c r="F1792" i="1" s="1"/>
  <c r="F1793" i="1" s="1"/>
  <c r="F1794" i="1" s="1"/>
  <c r="F1795" i="1" s="1"/>
  <c r="F1796" i="1" s="1"/>
  <c r="F1797" i="1" s="1"/>
  <c r="F1798" i="1" s="1"/>
  <c r="F1799" i="1" s="1"/>
  <c r="F1800" i="1" s="1"/>
  <c r="F1801" i="1" s="1"/>
  <c r="F1802" i="1" s="1"/>
  <c r="F1803" i="1" s="1"/>
  <c r="F1804" i="1" s="1"/>
  <c r="F1805" i="1" s="1"/>
  <c r="F1806" i="1" s="1"/>
  <c r="F1807" i="1" s="1"/>
  <c r="F1808" i="1" s="1"/>
  <c r="F1809" i="1" s="1"/>
  <c r="F1810" i="1" s="1"/>
  <c r="F1811" i="1" s="1"/>
  <c r="F1812" i="1" s="1"/>
  <c r="F1813" i="1" s="1"/>
  <c r="F1814" i="1" s="1"/>
  <c r="F1815" i="1" s="1"/>
  <c r="F1816" i="1" s="1"/>
  <c r="F1817" i="1" s="1"/>
  <c r="F1818" i="1" s="1"/>
  <c r="F1819" i="1" s="1"/>
  <c r="F1820" i="1" s="1"/>
  <c r="F1821" i="1" s="1"/>
  <c r="F1822" i="1" s="1"/>
  <c r="F1823" i="1" s="1"/>
  <c r="F1824" i="1" s="1"/>
  <c r="F1825" i="1" s="1"/>
  <c r="F1826" i="1" s="1"/>
  <c r="F1827" i="1" s="1"/>
  <c r="F1828" i="1" s="1"/>
  <c r="F1829" i="1" s="1"/>
  <c r="F1830" i="1" s="1"/>
  <c r="F1831" i="1" s="1"/>
  <c r="F1832" i="1" s="1"/>
  <c r="F1833" i="1" s="1"/>
  <c r="F1834" i="1" s="1"/>
  <c r="F1835" i="1" s="1"/>
  <c r="F1836" i="1" s="1"/>
  <c r="F1837" i="1" s="1"/>
  <c r="F1838" i="1" s="1"/>
  <c r="F1839" i="1" s="1"/>
  <c r="F1840" i="1" s="1"/>
  <c r="F1841" i="1" s="1"/>
  <c r="F1842" i="1" s="1"/>
  <c r="F1843" i="1" s="1"/>
  <c r="F1844" i="1" s="1"/>
  <c r="F1845" i="1" s="1"/>
  <c r="F1846" i="1" s="1"/>
  <c r="F1847" i="1" s="1"/>
  <c r="F1848" i="1" s="1"/>
  <c r="F1849" i="1" s="1"/>
  <c r="F1850" i="1" s="1"/>
  <c r="F1851" i="1" s="1"/>
  <c r="F1852" i="1" s="1"/>
  <c r="F1853" i="1" s="1"/>
  <c r="F1854" i="1" s="1"/>
  <c r="F1855" i="1" s="1"/>
  <c r="F1856" i="1" s="1"/>
  <c r="F1857" i="1" s="1"/>
  <c r="F1858" i="1" s="1"/>
  <c r="F1859" i="1" s="1"/>
  <c r="F1860" i="1" s="1"/>
  <c r="F1861" i="1" s="1"/>
  <c r="F1862" i="1" s="1"/>
  <c r="F1863" i="1" s="1"/>
  <c r="F1864" i="1" s="1"/>
  <c r="F1865" i="1" s="1"/>
  <c r="F1866" i="1" s="1"/>
  <c r="F1867" i="1" s="1"/>
  <c r="C1863" i="1"/>
  <c r="C1862" i="1"/>
  <c r="D1863" i="1"/>
  <c r="D1862" i="1"/>
  <c r="D1860" i="1"/>
  <c r="D1859" i="1"/>
  <c r="C1860" i="1"/>
  <c r="C1859" i="1"/>
  <c r="D1857" i="1"/>
  <c r="D1856" i="1"/>
  <c r="C1857" i="1"/>
  <c r="C1856" i="1"/>
  <c r="D1854" i="1"/>
  <c r="D1853" i="1"/>
  <c r="E1859" i="1"/>
  <c r="C1854" i="1"/>
  <c r="C1853" i="1"/>
  <c r="D1851" i="1"/>
  <c r="D1850" i="1"/>
  <c r="C1851" i="1"/>
  <c r="C1850" i="1"/>
  <c r="D1848" i="1"/>
  <c r="D1847" i="1"/>
  <c r="C1848" i="1"/>
  <c r="C1847" i="1"/>
  <c r="D1845" i="1"/>
  <c r="D1844" i="1"/>
  <c r="C1845" i="1"/>
  <c r="C1844" i="1"/>
  <c r="D1842" i="1"/>
  <c r="D1841" i="1"/>
  <c r="C1842" i="1"/>
  <c r="C1841" i="1"/>
  <c r="D1839" i="1"/>
  <c r="D1838" i="1"/>
  <c r="C1839" i="1"/>
  <c r="C1838" i="1"/>
  <c r="D1836" i="1"/>
  <c r="D1835" i="1"/>
  <c r="C1836" i="1"/>
  <c r="C1835" i="1"/>
  <c r="D1833" i="1"/>
  <c r="D1832" i="1"/>
  <c r="C1833" i="1"/>
  <c r="C1832" i="1"/>
  <c r="D1830" i="1"/>
  <c r="D1829" i="1"/>
  <c r="C1830" i="1"/>
  <c r="C1829" i="1"/>
  <c r="D1827" i="1"/>
  <c r="D1826" i="1"/>
  <c r="C1827" i="1"/>
  <c r="C1826" i="1"/>
  <c r="D1824" i="1"/>
  <c r="D1823" i="1"/>
  <c r="C1824" i="1"/>
  <c r="C1823" i="1"/>
  <c r="D1821" i="1"/>
  <c r="D1820" i="1"/>
  <c r="C1821" i="1"/>
  <c r="C1820" i="1"/>
  <c r="D1818" i="1"/>
  <c r="D1817" i="1"/>
  <c r="C1818" i="1"/>
  <c r="C1817" i="1"/>
  <c r="D1815" i="1"/>
  <c r="D1814" i="1"/>
  <c r="C1815" i="1"/>
  <c r="C1814" i="1"/>
  <c r="D1811" i="1"/>
  <c r="D1812" i="1"/>
  <c r="C1812" i="1"/>
  <c r="C1811" i="1"/>
  <c r="D1809" i="1"/>
  <c r="D1808" i="1"/>
  <c r="C1809" i="1"/>
  <c r="C1808" i="1"/>
  <c r="E1809" i="1"/>
  <c r="D1806" i="1"/>
  <c r="D1805" i="1"/>
  <c r="C1806" i="1"/>
  <c r="C1805" i="1"/>
  <c r="D1803" i="1"/>
  <c r="D1802" i="1"/>
  <c r="D1800" i="1"/>
  <c r="D1799" i="1"/>
  <c r="D1796" i="1"/>
  <c r="D1793" i="1"/>
  <c r="C1803" i="1"/>
  <c r="C1802" i="1"/>
  <c r="D1797" i="1"/>
  <c r="C1798" i="1"/>
  <c r="C1800" i="1" s="1"/>
  <c r="D1794" i="1"/>
  <c r="C1794" i="1"/>
  <c r="C1793" i="1"/>
  <c r="D1791" i="1"/>
  <c r="D1790" i="1"/>
  <c r="C1791" i="1"/>
  <c r="C1790" i="1"/>
  <c r="D1788" i="1"/>
  <c r="D1787" i="1"/>
  <c r="C1788" i="1"/>
  <c r="C1787" i="1"/>
  <c r="D1785" i="1"/>
  <c r="D1784" i="1"/>
  <c r="C1785" i="1"/>
  <c r="D1782" i="1"/>
  <c r="D1781" i="1"/>
  <c r="C1784" i="1"/>
  <c r="C1782" i="1"/>
  <c r="C1781" i="1"/>
  <c r="D1779" i="1"/>
  <c r="C1779" i="1"/>
  <c r="D1778" i="1"/>
  <c r="C1778" i="1"/>
  <c r="D1776" i="1"/>
  <c r="C1776" i="1"/>
  <c r="D1775" i="1"/>
  <c r="C1775" i="1"/>
  <c r="D1773" i="1"/>
  <c r="C1773" i="1"/>
  <c r="D1772" i="1"/>
  <c r="C1772" i="1"/>
  <c r="D1770" i="1"/>
  <c r="C1770" i="1"/>
  <c r="D1769" i="1"/>
  <c r="C1769" i="1"/>
  <c r="D1767" i="1"/>
  <c r="C1767" i="1"/>
  <c r="D1766" i="1"/>
  <c r="C1766" i="1"/>
  <c r="D1764" i="1"/>
  <c r="C1764" i="1"/>
  <c r="D1763" i="1"/>
  <c r="C1763" i="1"/>
  <c r="D1761" i="1"/>
  <c r="C1761" i="1"/>
  <c r="D1760" i="1"/>
  <c r="C1760" i="1"/>
  <c r="D1758" i="1"/>
  <c r="C1758" i="1"/>
  <c r="D1757" i="1"/>
  <c r="C1757" i="1"/>
  <c r="D1755" i="1"/>
  <c r="C1755" i="1"/>
  <c r="D1754" i="1"/>
  <c r="C1754" i="1"/>
  <c r="D1752" i="1"/>
  <c r="C1752" i="1"/>
  <c r="D1751" i="1"/>
  <c r="C1751" i="1"/>
  <c r="D1749" i="1"/>
  <c r="C1749" i="1"/>
  <c r="D1748" i="1"/>
  <c r="C1748" i="1"/>
  <c r="D1746" i="1"/>
  <c r="C1746" i="1"/>
  <c r="D1745" i="1"/>
  <c r="C1745" i="1"/>
  <c r="D1743" i="1"/>
  <c r="C1743" i="1"/>
  <c r="D1742" i="1"/>
  <c r="C1742" i="1"/>
  <c r="D1740" i="1"/>
  <c r="C1740" i="1"/>
  <c r="D1739" i="1"/>
  <c r="C1739" i="1"/>
  <c r="D1737" i="1"/>
  <c r="C1737" i="1"/>
  <c r="D1736" i="1"/>
  <c r="C1736" i="1"/>
  <c r="D1734" i="1"/>
  <c r="C1734" i="1"/>
  <c r="D1733" i="1"/>
  <c r="C1733" i="1"/>
  <c r="D1731" i="1"/>
  <c r="C1731" i="1"/>
  <c r="D1730" i="1"/>
  <c r="C1730" i="1"/>
  <c r="D1728" i="1"/>
  <c r="C1728" i="1"/>
  <c r="D1727" i="1"/>
  <c r="C1727" i="1"/>
  <c r="D1725" i="1"/>
  <c r="C1725" i="1"/>
  <c r="D1724" i="1"/>
  <c r="C1724" i="1"/>
  <c r="D1722" i="1"/>
  <c r="C1722" i="1"/>
  <c r="D1721" i="1"/>
  <c r="C1721" i="1"/>
  <c r="D1719" i="1"/>
  <c r="C1719" i="1"/>
  <c r="D1718" i="1"/>
  <c r="C1718" i="1"/>
  <c r="D1716" i="1"/>
  <c r="C1716" i="1"/>
  <c r="D1715" i="1"/>
  <c r="C1715" i="1"/>
  <c r="D1713" i="1"/>
  <c r="C1713" i="1"/>
  <c r="D1712" i="1"/>
  <c r="C1712" i="1"/>
  <c r="D1710" i="1"/>
  <c r="C1710" i="1"/>
  <c r="D1709" i="1"/>
  <c r="C1709" i="1"/>
  <c r="D1707" i="1"/>
  <c r="C1707" i="1"/>
  <c r="D1706" i="1"/>
  <c r="C1706" i="1"/>
  <c r="D1704" i="1"/>
  <c r="C1704" i="1"/>
  <c r="D1703" i="1"/>
  <c r="C1703" i="1"/>
  <c r="D1701" i="1"/>
  <c r="C1701" i="1"/>
  <c r="D1700" i="1"/>
  <c r="C1700" i="1"/>
  <c r="D1698" i="1"/>
  <c r="C1698" i="1"/>
  <c r="D1697" i="1"/>
  <c r="C1697" i="1"/>
  <c r="D1695" i="1"/>
  <c r="C1695" i="1"/>
  <c r="D1694" i="1"/>
  <c r="C1694" i="1"/>
  <c r="D1692" i="1"/>
  <c r="C1692" i="1"/>
  <c r="D1691" i="1"/>
  <c r="C1691" i="1"/>
  <c r="D1689" i="1"/>
  <c r="C1689" i="1"/>
  <c r="D1688" i="1"/>
  <c r="C1688" i="1"/>
  <c r="D1686" i="1"/>
  <c r="C1686" i="1"/>
  <c r="D1685" i="1"/>
  <c r="C1685" i="1"/>
  <c r="D1683" i="1"/>
  <c r="C1683" i="1"/>
  <c r="D1682" i="1"/>
  <c r="C1682" i="1"/>
  <c r="D1680" i="1"/>
  <c r="C1680" i="1"/>
  <c r="D1679" i="1"/>
  <c r="C1679" i="1"/>
  <c r="D1677" i="1"/>
  <c r="C1677" i="1"/>
  <c r="D1676" i="1"/>
  <c r="C1676" i="1"/>
  <c r="D1674" i="1"/>
  <c r="C1674" i="1"/>
  <c r="D1673" i="1"/>
  <c r="C1673" i="1"/>
  <c r="D1671" i="1"/>
  <c r="C1671" i="1"/>
  <c r="D1670" i="1"/>
  <c r="C1670" i="1"/>
  <c r="D1668" i="1"/>
  <c r="C1668" i="1"/>
  <c r="D1667" i="1"/>
  <c r="C1667" i="1"/>
  <c r="D1665" i="1"/>
  <c r="C1665" i="1"/>
  <c r="D1664" i="1"/>
  <c r="C1664" i="1"/>
  <c r="D1662" i="1"/>
  <c r="C1662" i="1"/>
  <c r="D1661" i="1"/>
  <c r="C1661" i="1"/>
  <c r="D1659" i="1"/>
  <c r="C1659" i="1"/>
  <c r="D1658" i="1"/>
  <c r="C1658" i="1"/>
  <c r="C1656" i="1"/>
  <c r="C1655" i="1"/>
  <c r="D1654" i="1"/>
  <c r="D1655" i="1" s="1"/>
  <c r="C1653" i="1"/>
  <c r="C1652" i="1"/>
  <c r="D1650" i="1"/>
  <c r="C1650" i="1"/>
  <c r="D1649" i="1"/>
  <c r="C1649" i="1"/>
  <c r="D1647" i="1"/>
  <c r="C1647" i="1"/>
  <c r="D1646" i="1"/>
  <c r="C1646" i="1"/>
  <c r="D1644" i="1"/>
  <c r="C1644" i="1"/>
  <c r="D1643" i="1"/>
  <c r="C1643" i="1"/>
  <c r="D1641" i="1"/>
  <c r="C1641" i="1"/>
  <c r="D1640" i="1"/>
  <c r="C1640" i="1"/>
  <c r="D1638" i="1"/>
  <c r="C1638" i="1"/>
  <c r="D1637" i="1"/>
  <c r="C1637" i="1"/>
  <c r="D1635" i="1"/>
  <c r="C1635" i="1"/>
  <c r="D1634" i="1"/>
  <c r="C1634" i="1"/>
  <c r="D1632" i="1"/>
  <c r="C1632" i="1"/>
  <c r="D1631" i="1"/>
  <c r="C1631" i="1"/>
  <c r="D1629" i="1"/>
  <c r="C1629" i="1"/>
  <c r="D1628" i="1"/>
  <c r="C1628" i="1"/>
  <c r="D1626" i="1"/>
  <c r="C1626" i="1"/>
  <c r="D1625" i="1"/>
  <c r="C1625" i="1"/>
  <c r="D1623" i="1"/>
  <c r="C1623" i="1"/>
  <c r="D1622" i="1"/>
  <c r="C1622" i="1"/>
  <c r="D1620" i="1"/>
  <c r="C1620" i="1"/>
  <c r="D1619" i="1"/>
  <c r="C1619" i="1"/>
  <c r="D1617" i="1"/>
  <c r="C1617" i="1"/>
  <c r="D1616" i="1"/>
  <c r="C1616" i="1"/>
  <c r="D1614" i="1"/>
  <c r="C1614" i="1"/>
  <c r="D1613" i="1"/>
  <c r="C1613" i="1"/>
  <c r="D1611" i="1"/>
  <c r="C1611" i="1"/>
  <c r="D1610" i="1"/>
  <c r="C1610" i="1"/>
  <c r="D1608" i="1"/>
  <c r="C1608" i="1"/>
  <c r="D1607" i="1"/>
  <c r="C1607" i="1"/>
  <c r="D1605" i="1"/>
  <c r="C1605" i="1"/>
  <c r="D1604" i="1"/>
  <c r="C1604" i="1"/>
  <c r="D1602" i="1"/>
  <c r="C1602" i="1"/>
  <c r="D1601" i="1"/>
  <c r="C1601" i="1"/>
  <c r="D1599" i="1"/>
  <c r="C1599" i="1"/>
  <c r="D1598" i="1"/>
  <c r="C1598" i="1"/>
  <c r="D1596" i="1"/>
  <c r="C1596" i="1"/>
  <c r="D1595" i="1"/>
  <c r="C1595" i="1"/>
  <c r="D1593" i="1"/>
  <c r="C1593" i="1"/>
  <c r="D1592" i="1"/>
  <c r="C1592" i="1"/>
  <c r="D1590" i="1"/>
  <c r="C1590" i="1"/>
  <c r="D1589" i="1"/>
  <c r="C1589" i="1"/>
  <c r="D1587" i="1"/>
  <c r="C1587" i="1"/>
  <c r="D1586" i="1"/>
  <c r="C1586" i="1"/>
  <c r="D1584" i="1"/>
  <c r="C1584" i="1"/>
  <c r="D1583" i="1"/>
  <c r="C1583" i="1"/>
  <c r="D1581" i="1"/>
  <c r="C1581" i="1"/>
  <c r="D1580" i="1"/>
  <c r="C1580" i="1"/>
  <c r="D1578" i="1"/>
  <c r="C1578" i="1"/>
  <c r="D1577" i="1"/>
  <c r="C1577" i="1"/>
  <c r="D1575" i="1"/>
  <c r="C1575" i="1"/>
  <c r="D1574" i="1"/>
  <c r="C1574" i="1"/>
  <c r="D1572" i="1"/>
  <c r="C1572" i="1"/>
  <c r="D1571" i="1"/>
  <c r="C1571" i="1"/>
  <c r="D1569" i="1"/>
  <c r="C1569" i="1"/>
  <c r="D1568" i="1"/>
  <c r="C1568" i="1"/>
  <c r="D1566" i="1"/>
  <c r="C1566" i="1"/>
  <c r="D1565" i="1"/>
  <c r="C1565" i="1"/>
  <c r="D1563" i="1"/>
  <c r="C1563" i="1"/>
  <c r="D1562" i="1"/>
  <c r="C1562" i="1"/>
  <c r="D1560" i="1"/>
  <c r="C1560" i="1"/>
  <c r="D1559" i="1"/>
  <c r="C1559" i="1"/>
  <c r="D1557" i="1"/>
  <c r="C1557" i="1"/>
  <c r="D1556" i="1"/>
  <c r="C1556" i="1"/>
  <c r="D1554" i="1"/>
  <c r="C1554" i="1"/>
  <c r="D1553" i="1"/>
  <c r="C1553" i="1"/>
  <c r="D1551" i="1"/>
  <c r="C1551" i="1"/>
  <c r="D1550" i="1"/>
  <c r="C1550" i="1"/>
  <c r="D1548" i="1"/>
  <c r="C1548" i="1"/>
  <c r="D1547" i="1"/>
  <c r="C1547" i="1"/>
  <c r="C1545" i="1"/>
  <c r="C1544" i="1"/>
  <c r="C1542" i="1"/>
  <c r="C1541" i="1"/>
  <c r="E1866" i="1"/>
  <c r="E1867" i="1" s="1"/>
  <c r="I1155" i="1" s="1"/>
  <c r="H1484" i="1" l="1"/>
  <c r="K1858" i="1"/>
  <c r="K1478" i="1"/>
  <c r="K1717" i="1"/>
  <c r="I984" i="1"/>
  <c r="I1405" i="1"/>
  <c r="I878" i="1"/>
  <c r="H1311" i="1"/>
  <c r="I2" i="1"/>
  <c r="H2" i="1"/>
  <c r="J2" i="1" s="1"/>
  <c r="K2" i="1"/>
  <c r="I618" i="1"/>
  <c r="H1836" i="1"/>
  <c r="H1395" i="1"/>
  <c r="I1655" i="1"/>
  <c r="K1398" i="1"/>
  <c r="K1582" i="1"/>
  <c r="H1056" i="1"/>
  <c r="H741" i="1"/>
  <c r="K1494" i="1"/>
  <c r="K1510" i="1"/>
  <c r="I1441" i="1"/>
  <c r="H1591" i="1"/>
  <c r="K1669" i="1"/>
  <c r="K1552" i="1"/>
  <c r="K1774" i="1"/>
  <c r="H1715" i="1"/>
  <c r="H979" i="1"/>
  <c r="H1837" i="1"/>
  <c r="H1598" i="1"/>
  <c r="H948" i="1"/>
  <c r="I969" i="1"/>
  <c r="I1371" i="1"/>
  <c r="K1470" i="1"/>
  <c r="H832" i="1"/>
  <c r="I564" i="1"/>
  <c r="H1029" i="1"/>
  <c r="K1314" i="1"/>
  <c r="K1411" i="1"/>
  <c r="H1175" i="1"/>
  <c r="H1157" i="1"/>
  <c r="I961" i="1"/>
  <c r="H397" i="1"/>
  <c r="H374" i="1"/>
  <c r="H654" i="1"/>
  <c r="I527" i="1"/>
  <c r="H1435" i="1"/>
  <c r="I390" i="1"/>
  <c r="K1502" i="1"/>
  <c r="H910" i="1"/>
  <c r="I712" i="1"/>
  <c r="H1187" i="1"/>
  <c r="K1042" i="1"/>
  <c r="K1305" i="1"/>
  <c r="H1097" i="1"/>
  <c r="H686" i="1"/>
  <c r="I662" i="1"/>
  <c r="H603" i="1"/>
  <c r="H530" i="1"/>
  <c r="H739" i="1"/>
  <c r="I842" i="1"/>
  <c r="I617" i="1"/>
  <c r="I531" i="1"/>
  <c r="K1329" i="1"/>
  <c r="K1670" i="1"/>
  <c r="K1854" i="1"/>
  <c r="K1214" i="1"/>
  <c r="K1798" i="1"/>
  <c r="H1532" i="1"/>
  <c r="H911" i="1"/>
  <c r="H573" i="1"/>
  <c r="K914" i="1"/>
  <c r="I630" i="1"/>
  <c r="K1804" i="1"/>
  <c r="K1852" i="1"/>
  <c r="K1202" i="1"/>
  <c r="K1651" i="1"/>
  <c r="I904" i="1"/>
  <c r="H434" i="1"/>
  <c r="H731" i="1"/>
  <c r="I681" i="1"/>
  <c r="K628" i="1"/>
  <c r="H1129" i="1"/>
  <c r="H809" i="1"/>
  <c r="H1239" i="1"/>
  <c r="H987" i="1"/>
  <c r="H886" i="1"/>
  <c r="I779" i="1"/>
  <c r="I1000" i="1"/>
  <c r="H1399" i="1"/>
  <c r="K1264" i="1"/>
  <c r="I508" i="1"/>
  <c r="H725" i="1"/>
  <c r="H1064" i="1"/>
  <c r="I1165" i="1"/>
  <c r="K1238" i="1"/>
  <c r="K1246" i="1"/>
  <c r="K1254" i="1"/>
  <c r="K1864" i="1"/>
  <c r="H1647" i="1"/>
  <c r="H995" i="1"/>
  <c r="H718" i="1"/>
  <c r="H371" i="1"/>
  <c r="I776" i="1"/>
  <c r="K1484" i="1"/>
  <c r="K1588" i="1"/>
  <c r="K1072" i="1"/>
  <c r="K1523" i="1"/>
  <c r="I766" i="1"/>
  <c r="K747" i="1"/>
  <c r="H652" i="1"/>
  <c r="I538" i="1"/>
  <c r="I582" i="1"/>
  <c r="H820" i="1"/>
  <c r="H732" i="1"/>
  <c r="H1659" i="1"/>
  <c r="H1351" i="1"/>
  <c r="H947" i="1"/>
  <c r="I1122" i="1"/>
  <c r="H350" i="1"/>
  <c r="H1479" i="1"/>
  <c r="H721" i="1"/>
  <c r="H351" i="1"/>
  <c r="H798" i="1"/>
  <c r="H1604" i="1"/>
  <c r="H1042" i="1"/>
  <c r="K1580" i="1"/>
  <c r="K1270" i="1"/>
  <c r="K1526" i="1"/>
  <c r="K1342" i="1"/>
  <c r="K1630" i="1"/>
  <c r="K1350" i="1"/>
  <c r="K1638" i="1"/>
  <c r="H538" i="1"/>
  <c r="H1142" i="1"/>
  <c r="I438" i="1"/>
  <c r="H547" i="1"/>
  <c r="H1325" i="1"/>
  <c r="I1442" i="1"/>
  <c r="H1024" i="1"/>
  <c r="I492" i="1"/>
  <c r="H650" i="1"/>
  <c r="H1595" i="1"/>
  <c r="K939" i="1"/>
  <c r="K1573" i="1"/>
  <c r="K1420" i="1"/>
  <c r="K1783" i="1"/>
  <c r="K1567" i="1"/>
  <c r="K1212" i="1"/>
  <c r="K1828" i="1"/>
  <c r="K1666" i="1"/>
  <c r="K1193" i="1"/>
  <c r="K1614" i="1"/>
  <c r="H1798" i="1"/>
  <c r="H791" i="1"/>
  <c r="I936" i="1"/>
  <c r="H1289" i="1"/>
  <c r="I1014" i="1"/>
  <c r="I1710" i="1"/>
  <c r="H1631" i="1"/>
  <c r="H666" i="1"/>
  <c r="H1711" i="1"/>
  <c r="H1734" i="1"/>
  <c r="H394" i="1"/>
  <c r="H1612" i="1"/>
  <c r="H382" i="1"/>
  <c r="H884" i="1"/>
  <c r="H1739" i="1"/>
  <c r="H412" i="1"/>
  <c r="H1863" i="1"/>
  <c r="H555" i="1"/>
  <c r="H1121" i="1"/>
  <c r="I434" i="1"/>
  <c r="I1410" i="1"/>
  <c r="H1278" i="1"/>
  <c r="H531" i="1"/>
  <c r="H976" i="1"/>
  <c r="H1685" i="1"/>
  <c r="I1211" i="1"/>
  <c r="H782" i="1"/>
  <c r="H758" i="1"/>
  <c r="H943" i="1"/>
  <c r="I1024" i="1"/>
  <c r="H1164" i="1"/>
  <c r="H505" i="1"/>
  <c r="H1807" i="1"/>
  <c r="K682" i="1"/>
  <c r="I775" i="1"/>
  <c r="D1652" i="1"/>
  <c r="K1652" i="1" s="1"/>
  <c r="K1366" i="1"/>
  <c r="K1750" i="1"/>
  <c r="K1374" i="1"/>
  <c r="K1726" i="1"/>
  <c r="K1382" i="1"/>
  <c r="H611" i="1"/>
  <c r="H1220" i="1"/>
  <c r="I563" i="1"/>
  <c r="H612" i="1"/>
  <c r="H1547" i="1"/>
  <c r="K610" i="1"/>
  <c r="H1102" i="1"/>
  <c r="I767" i="1"/>
  <c r="H719" i="1"/>
  <c r="H1710" i="1"/>
  <c r="K1422" i="1"/>
  <c r="K1413" i="1"/>
  <c r="K1388" i="1"/>
  <c r="I1598" i="1"/>
  <c r="K1323" i="1"/>
  <c r="K1537" i="1"/>
  <c r="K1572" i="1"/>
  <c r="K1435" i="1"/>
  <c r="K1128" i="1"/>
  <c r="I1863" i="1"/>
  <c r="H1587" i="1"/>
  <c r="H704" i="1"/>
  <c r="I798" i="1"/>
  <c r="H1115" i="1"/>
  <c r="I792" i="1"/>
  <c r="I1388" i="1"/>
  <c r="H1406" i="1"/>
  <c r="H598" i="1"/>
  <c r="H548" i="1"/>
  <c r="H1205" i="1"/>
  <c r="K1149" i="1"/>
  <c r="H1204" i="1"/>
  <c r="H380" i="1"/>
  <c r="H1001" i="1"/>
  <c r="I592" i="1"/>
  <c r="H812" i="1"/>
  <c r="I369" i="1"/>
  <c r="H683" i="1"/>
  <c r="H1315" i="1"/>
  <c r="I480" i="1"/>
  <c r="K685" i="1"/>
  <c r="I863" i="1"/>
  <c r="H606" i="1"/>
  <c r="H1123" i="1"/>
  <c r="I435" i="1"/>
  <c r="I1413" i="1"/>
  <c r="H1799" i="1"/>
  <c r="H1709" i="1"/>
  <c r="H1016" i="1"/>
  <c r="K1504" i="1"/>
  <c r="I388" i="1"/>
  <c r="H633" i="1"/>
  <c r="I1113" i="1"/>
  <c r="I496" i="1"/>
  <c r="I945" i="1"/>
  <c r="I1568" i="1"/>
  <c r="I1610" i="1"/>
  <c r="I1637" i="1"/>
  <c r="I1646" i="1"/>
  <c r="K1668" i="1"/>
  <c r="K1674" i="1"/>
  <c r="K1686" i="1"/>
  <c r="K1698" i="1"/>
  <c r="K1704" i="1"/>
  <c r="K1722" i="1"/>
  <c r="K1725" i="1"/>
  <c r="K1731" i="1"/>
  <c r="K1734" i="1"/>
  <c r="K1752" i="1"/>
  <c r="K1764" i="1"/>
  <c r="K1785" i="1"/>
  <c r="K1793" i="1"/>
  <c r="I1839" i="1"/>
  <c r="I1856" i="1"/>
  <c r="H522" i="1"/>
  <c r="K1440" i="1"/>
  <c r="H1630" i="1"/>
  <c r="H662" i="1"/>
  <c r="I738" i="1"/>
  <c r="H1125" i="1"/>
  <c r="H1188" i="1"/>
  <c r="H653" i="1"/>
  <c r="H1310" i="1"/>
  <c r="I800" i="1"/>
  <c r="H490" i="1"/>
  <c r="H1454" i="1"/>
  <c r="H427" i="1"/>
  <c r="H711" i="1"/>
  <c r="H1150" i="1"/>
  <c r="H1724" i="1"/>
  <c r="I833" i="1"/>
  <c r="K1611" i="1"/>
  <c r="H1534" i="1"/>
  <c r="H403" i="1"/>
  <c r="H773" i="1"/>
  <c r="H1214" i="1"/>
  <c r="H1725" i="1"/>
  <c r="I896" i="1"/>
  <c r="H461" i="1"/>
  <c r="I663" i="1"/>
  <c r="H993" i="1"/>
  <c r="H479" i="1"/>
  <c r="H1638" i="1"/>
  <c r="I1420" i="1"/>
  <c r="H1436" i="1"/>
  <c r="K652" i="1"/>
  <c r="H1137" i="1"/>
  <c r="H1232" i="1"/>
  <c r="H1329" i="1"/>
  <c r="H1298" i="1"/>
  <c r="I964" i="1"/>
  <c r="K1553" i="1"/>
  <c r="K1566" i="1"/>
  <c r="K1590" i="1"/>
  <c r="K1629" i="1"/>
  <c r="K1644" i="1"/>
  <c r="I1749" i="1"/>
  <c r="K1122" i="1"/>
  <c r="K1423" i="1"/>
  <c r="K1518" i="1"/>
  <c r="I491" i="1"/>
  <c r="H1023" i="1"/>
  <c r="I658" i="1"/>
  <c r="H997" i="1"/>
  <c r="H1655" i="1"/>
  <c r="I1138" i="1"/>
  <c r="H1303" i="1"/>
  <c r="H460" i="1"/>
  <c r="H1444" i="1"/>
  <c r="I537" i="1"/>
  <c r="H968" i="1"/>
  <c r="I1493" i="1"/>
  <c r="I465" i="1"/>
  <c r="H1041" i="1"/>
  <c r="H996" i="1"/>
  <c r="H766" i="1"/>
  <c r="H1390" i="1"/>
  <c r="I914" i="1"/>
  <c r="H643" i="1"/>
  <c r="H1557" i="1"/>
  <c r="H452" i="1"/>
  <c r="H580" i="1"/>
  <c r="H1004" i="1"/>
  <c r="H1478" i="1"/>
  <c r="I571" i="1"/>
  <c r="I1001" i="1"/>
  <c r="H362" i="1"/>
  <c r="H1843" i="1"/>
  <c r="H453" i="1"/>
  <c r="H1065" i="1"/>
  <c r="H1519" i="1"/>
  <c r="I622" i="1"/>
  <c r="H957" i="1"/>
  <c r="I1742" i="1"/>
  <c r="I1177" i="1"/>
  <c r="H1089" i="1"/>
  <c r="H1844" i="1"/>
  <c r="H464" i="1"/>
  <c r="H1539" i="1"/>
  <c r="K1150" i="1"/>
  <c r="H1213" i="1"/>
  <c r="I457" i="1"/>
  <c r="I857" i="1"/>
  <c r="H1841" i="1"/>
  <c r="H1554" i="1"/>
  <c r="K1347" i="1"/>
  <c r="I1542" i="1"/>
  <c r="K1559" i="1"/>
  <c r="K1568" i="1"/>
  <c r="K1586" i="1"/>
  <c r="K1601" i="1"/>
  <c r="K1607" i="1"/>
  <c r="K1616" i="1"/>
  <c r="K1622" i="1"/>
  <c r="K1646" i="1"/>
  <c r="I1667" i="1"/>
  <c r="I1679" i="1"/>
  <c r="I1694" i="1"/>
  <c r="I1700" i="1"/>
  <c r="I1709" i="1"/>
  <c r="I1727" i="1"/>
  <c r="I1733" i="1"/>
  <c r="I1766" i="1"/>
  <c r="K1782" i="1"/>
  <c r="K1796" i="1"/>
  <c r="K1808" i="1"/>
  <c r="K1829" i="1"/>
  <c r="K1835" i="1"/>
  <c r="K1841" i="1"/>
  <c r="K1847" i="1"/>
  <c r="K1850" i="1"/>
  <c r="I1860" i="1"/>
  <c r="K1863" i="1"/>
  <c r="K256" i="1"/>
  <c r="I1827" i="1"/>
  <c r="H338" i="1"/>
  <c r="H325" i="1"/>
  <c r="K1853" i="1"/>
  <c r="K1302" i="1"/>
  <c r="K1430" i="1"/>
  <c r="K1558" i="1"/>
  <c r="K1846" i="1"/>
  <c r="K1278" i="1"/>
  <c r="K1406" i="1"/>
  <c r="K1534" i="1"/>
  <c r="K1790" i="1"/>
  <c r="K1286" i="1"/>
  <c r="K1414" i="1"/>
  <c r="K1542" i="1"/>
  <c r="K1702" i="1"/>
  <c r="H405" i="1"/>
  <c r="H676" i="1"/>
  <c r="H984" i="1"/>
  <c r="H1324" i="1"/>
  <c r="H1751" i="1"/>
  <c r="I691" i="1"/>
  <c r="K491" i="1"/>
  <c r="H677" i="1"/>
  <c r="H1143" i="1"/>
  <c r="H1651" i="1"/>
  <c r="I850" i="1"/>
  <c r="H435" i="1"/>
  <c r="H792" i="1"/>
  <c r="H1185" i="1"/>
  <c r="H1813" i="1"/>
  <c r="I910" i="1"/>
  <c r="H444" i="1"/>
  <c r="H877" i="1"/>
  <c r="H1271" i="1"/>
  <c r="H1814" i="1"/>
  <c r="I1067" i="1"/>
  <c r="K1294" i="1"/>
  <c r="K1390" i="1"/>
  <c r="K1509" i="1"/>
  <c r="K1708" i="1"/>
  <c r="K1795" i="1"/>
  <c r="K1170" i="1"/>
  <c r="C1796" i="1"/>
  <c r="I1796" i="1" s="1"/>
  <c r="K1412" i="1"/>
  <c r="K1223" i="1"/>
  <c r="K1449" i="1"/>
  <c r="K1348" i="1"/>
  <c r="K1492" i="1"/>
  <c r="K1349" i="1"/>
  <c r="K1709" i="1"/>
  <c r="K913" i="1"/>
  <c r="H1469" i="1"/>
  <c r="H572" i="1"/>
  <c r="H420" i="1"/>
  <c r="H1507" i="1"/>
  <c r="H484" i="1"/>
  <c r="H510" i="1"/>
  <c r="H1853" i="1"/>
  <c r="H895" i="1"/>
  <c r="H381" i="1"/>
  <c r="I1379" i="1"/>
  <c r="H1509" i="1"/>
  <c r="H597" i="1"/>
  <c r="H1508" i="1"/>
  <c r="H558" i="1"/>
  <c r="H450" i="1"/>
  <c r="H1059" i="1"/>
  <c r="I425" i="1"/>
  <c r="K395" i="1"/>
  <c r="H1076" i="1"/>
  <c r="I726" i="1"/>
  <c r="H800" i="1"/>
  <c r="H1179" i="1"/>
  <c r="H1764" i="1"/>
  <c r="I1523" i="1"/>
  <c r="H1015" i="1"/>
  <c r="I1121" i="1"/>
  <c r="H634" i="1"/>
  <c r="H830" i="1"/>
  <c r="H1247" i="1"/>
  <c r="H1851" i="1"/>
  <c r="I950" i="1"/>
  <c r="H514" i="1"/>
  <c r="H590" i="1"/>
  <c r="H1111" i="1"/>
  <c r="H607" i="1"/>
  <c r="I1170" i="1"/>
  <c r="H1017" i="1"/>
  <c r="I754" i="1"/>
  <c r="H772" i="1"/>
  <c r="H1360" i="1"/>
  <c r="I1418" i="1"/>
  <c r="K421" i="1"/>
  <c r="K1550" i="1"/>
  <c r="K1574" i="1"/>
  <c r="K1598" i="1"/>
  <c r="K1610" i="1"/>
  <c r="K1625" i="1"/>
  <c r="K1631" i="1"/>
  <c r="K1637" i="1"/>
  <c r="K1649" i="1"/>
  <c r="I1673" i="1"/>
  <c r="I1688" i="1"/>
  <c r="I1706" i="1"/>
  <c r="I1715" i="1"/>
  <c r="I1721" i="1"/>
  <c r="I1745" i="1"/>
  <c r="I1760" i="1"/>
  <c r="I1778" i="1"/>
  <c r="K1806" i="1"/>
  <c r="K1814" i="1"/>
  <c r="K1832" i="1"/>
  <c r="K1206" i="1"/>
  <c r="K1334" i="1"/>
  <c r="K1462" i="1"/>
  <c r="K1861" i="1"/>
  <c r="K1310" i="1"/>
  <c r="K1438" i="1"/>
  <c r="K1822" i="1"/>
  <c r="K1318" i="1"/>
  <c r="K1446" i="1"/>
  <c r="K1606" i="1"/>
  <c r="H470" i="1"/>
  <c r="H749" i="1"/>
  <c r="H1068" i="1"/>
  <c r="H1428" i="1"/>
  <c r="H1861" i="1"/>
  <c r="I846" i="1"/>
  <c r="H406" i="1"/>
  <c r="H837" i="1"/>
  <c r="H1236" i="1"/>
  <c r="H1758" i="1"/>
  <c r="I1181" i="1"/>
  <c r="H508" i="1"/>
  <c r="H867" i="1"/>
  <c r="H1366" i="1"/>
  <c r="I380" i="1"/>
  <c r="I1066" i="1"/>
  <c r="H574" i="1"/>
  <c r="H951" i="1"/>
  <c r="H1381" i="1"/>
  <c r="I510" i="1"/>
  <c r="I1276" i="1"/>
  <c r="K1198" i="1"/>
  <c r="K1741" i="1"/>
  <c r="K1445" i="1"/>
  <c r="K1489" i="1"/>
  <c r="K1106" i="1"/>
  <c r="C1797" i="1"/>
  <c r="I1797" i="1" s="1"/>
  <c r="K1453" i="1"/>
  <c r="K1720" i="1"/>
  <c r="K1130" i="1"/>
  <c r="K1285" i="1"/>
  <c r="K1275" i="1"/>
  <c r="K1525" i="1"/>
  <c r="K1034" i="1"/>
  <c r="K1276" i="1"/>
  <c r="K1266" i="1"/>
  <c r="K1222" i="1"/>
  <c r="K1693" i="1"/>
  <c r="I1047" i="1"/>
  <c r="I379" i="1"/>
  <c r="H1365" i="1"/>
  <c r="H865" i="1"/>
  <c r="H499" i="1"/>
  <c r="I1329" i="1"/>
  <c r="I397" i="1"/>
  <c r="H1389" i="1"/>
  <c r="H923" i="1"/>
  <c r="I1443" i="1"/>
  <c r="H1388" i="1"/>
  <c r="K1441" i="1"/>
  <c r="I824" i="1"/>
  <c r="H1735" i="1"/>
  <c r="H1217" i="1"/>
  <c r="H747" i="1"/>
  <c r="H395" i="1"/>
  <c r="I1325" i="1"/>
  <c r="H804" i="1"/>
  <c r="I1106" i="1"/>
  <c r="I419" i="1"/>
  <c r="H1302" i="1"/>
  <c r="H894" i="1"/>
  <c r="H524" i="1"/>
  <c r="I1016" i="1"/>
  <c r="I356" i="1"/>
  <c r="H1404" i="1"/>
  <c r="H893" i="1"/>
  <c r="H485" i="1"/>
  <c r="H838" i="1"/>
  <c r="H550" i="1"/>
  <c r="H823" i="1"/>
  <c r="H1116" i="1"/>
  <c r="H1573" i="1"/>
  <c r="I494" i="1"/>
  <c r="I1022" i="1"/>
  <c r="K1003" i="1"/>
  <c r="H723" i="1"/>
  <c r="H1161" i="1"/>
  <c r="H1783" i="1"/>
  <c r="K1012" i="1"/>
  <c r="H477" i="1"/>
  <c r="H658" i="1"/>
  <c r="H829" i="1"/>
  <c r="H1032" i="1"/>
  <c r="H1279" i="1"/>
  <c r="H1558" i="1"/>
  <c r="H1804" i="1"/>
  <c r="I673" i="1"/>
  <c r="I1055" i="1"/>
  <c r="I1846" i="1"/>
  <c r="H579" i="1"/>
  <c r="H1104" i="1"/>
  <c r="I475" i="1"/>
  <c r="K399" i="1"/>
  <c r="H506" i="1"/>
  <c r="H659" i="1"/>
  <c r="H887" i="1"/>
  <c r="H1094" i="1"/>
  <c r="H1316" i="1"/>
  <c r="H1645" i="1"/>
  <c r="I354" i="1"/>
  <c r="I674" i="1"/>
  <c r="I1123" i="1"/>
  <c r="K850" i="1"/>
  <c r="H564" i="1"/>
  <c r="H1189" i="1"/>
  <c r="H929" i="1"/>
  <c r="H546" i="1"/>
  <c r="H1543" i="1"/>
  <c r="I1612" i="1"/>
  <c r="H671" i="1"/>
  <c r="H1332" i="1"/>
  <c r="I499" i="1"/>
  <c r="I1370" i="1"/>
  <c r="H592" i="1"/>
  <c r="H1091" i="1"/>
  <c r="H1742" i="1"/>
  <c r="I1171" i="1"/>
  <c r="H377" i="1"/>
  <c r="H845" i="1"/>
  <c r="H1501" i="1"/>
  <c r="I841" i="1"/>
  <c r="H1488" i="1"/>
  <c r="I1220" i="1"/>
  <c r="I359" i="1"/>
  <c r="K1664" i="1"/>
  <c r="I460" i="1"/>
  <c r="K1139" i="1"/>
  <c r="H180" i="1"/>
  <c r="I1344" i="1"/>
  <c r="I1092" i="1"/>
  <c r="K697" i="1"/>
  <c r="I1116" i="1"/>
  <c r="H1810" i="1"/>
  <c r="H1170" i="1"/>
  <c r="K547" i="1"/>
  <c r="I646" i="1"/>
  <c r="H1713" i="1"/>
  <c r="I1483" i="1"/>
  <c r="I687" i="1"/>
  <c r="H1616" i="1"/>
  <c r="K524" i="1"/>
  <c r="I575" i="1"/>
  <c r="H1707" i="1"/>
  <c r="H1299" i="1"/>
  <c r="H991" i="1"/>
  <c r="H699" i="1"/>
  <c r="H441" i="1"/>
  <c r="K1544" i="1"/>
  <c r="I1025" i="1"/>
  <c r="I500" i="1"/>
  <c r="H1639" i="1"/>
  <c r="H1244" i="1"/>
  <c r="H944" i="1"/>
  <c r="H656" i="1"/>
  <c r="H400" i="1"/>
  <c r="I1594" i="1"/>
  <c r="I887" i="1"/>
  <c r="I387" i="1"/>
  <c r="H1535" i="1"/>
  <c r="H1163" i="1"/>
  <c r="H870" i="1"/>
  <c r="H543" i="1"/>
  <c r="K738" i="1"/>
  <c r="I706" i="1"/>
  <c r="H1380" i="1"/>
  <c r="H876" i="1"/>
  <c r="H443" i="1"/>
  <c r="H1823" i="1"/>
  <c r="K1243" i="1"/>
  <c r="H1470" i="1"/>
  <c r="H839" i="1"/>
  <c r="H614" i="1"/>
  <c r="H411" i="1"/>
  <c r="K557" i="1"/>
  <c r="I1306" i="1"/>
  <c r="I1002" i="1"/>
  <c r="I782" i="1"/>
  <c r="I576" i="1"/>
  <c r="I394" i="1"/>
  <c r="H1765" i="1"/>
  <c r="H1605" i="1"/>
  <c r="H1439" i="1"/>
  <c r="H1281" i="1"/>
  <c r="H1151" i="1"/>
  <c r="H1033" i="1"/>
  <c r="H919" i="1"/>
  <c r="H801" i="1"/>
  <c r="H684" i="1"/>
  <c r="H581" i="1"/>
  <c r="H478" i="1"/>
  <c r="H378" i="1"/>
  <c r="I1301" i="1"/>
  <c r="I747" i="1"/>
  <c r="H1683" i="1"/>
  <c r="H1177" i="1"/>
  <c r="H828" i="1"/>
  <c r="H501" i="1"/>
  <c r="K1013" i="1"/>
  <c r="I1203" i="1"/>
  <c r="I947" i="1"/>
  <c r="I727" i="1"/>
  <c r="I526" i="1"/>
  <c r="H1847" i="1"/>
  <c r="H1684" i="1"/>
  <c r="H1518" i="1"/>
  <c r="H1355" i="1"/>
  <c r="H1209" i="1"/>
  <c r="H1093" i="1"/>
  <c r="H975" i="1"/>
  <c r="H857" i="1"/>
  <c r="H740" i="1"/>
  <c r="H630" i="1"/>
  <c r="I1540" i="1"/>
  <c r="I836" i="1"/>
  <c r="I1708" i="1"/>
  <c r="H1682" i="1"/>
  <c r="H802" i="1"/>
  <c r="I986" i="1"/>
  <c r="H1457" i="1"/>
  <c r="I1027" i="1"/>
  <c r="H1744" i="1"/>
  <c r="I1509" i="1"/>
  <c r="I353" i="1"/>
  <c r="H1398" i="1"/>
  <c r="H918" i="1"/>
  <c r="H569" i="1"/>
  <c r="I1339" i="1"/>
  <c r="I888" i="1"/>
  <c r="H1845" i="1"/>
  <c r="H1333" i="1"/>
  <c r="H871" i="1"/>
  <c r="H528" i="1"/>
  <c r="K651" i="1"/>
  <c r="I750" i="1"/>
  <c r="H1741" i="1"/>
  <c r="H1243" i="1"/>
  <c r="H742" i="1"/>
  <c r="H415" i="1"/>
  <c r="I928" i="1"/>
  <c r="H1230" i="1"/>
  <c r="H646" i="1"/>
  <c r="I452" i="1"/>
  <c r="I1120" i="1"/>
  <c r="H1075" i="1"/>
  <c r="H667" i="1"/>
  <c r="H358" i="1"/>
  <c r="I1524" i="1"/>
  <c r="I1056" i="1"/>
  <c r="I728" i="1"/>
  <c r="I481" i="1"/>
  <c r="H1811" i="1"/>
  <c r="H1559" i="1"/>
  <c r="H1356" i="1"/>
  <c r="H1180" i="1"/>
  <c r="H1005" i="1"/>
  <c r="H859" i="1"/>
  <c r="H712" i="1"/>
  <c r="H556" i="1"/>
  <c r="H428" i="1"/>
  <c r="I1516" i="1"/>
  <c r="I612" i="1"/>
  <c r="H1414" i="1"/>
  <c r="H913" i="1"/>
  <c r="H437" i="1"/>
  <c r="K410" i="1"/>
  <c r="I1305" i="1"/>
  <c r="I895" i="1"/>
  <c r="I620" i="1"/>
  <c r="I393" i="1"/>
  <c r="H1644" i="1"/>
  <c r="H1438" i="1"/>
  <c r="H1246" i="1"/>
  <c r="H1061" i="1"/>
  <c r="H915" i="1"/>
  <c r="H768" i="1"/>
  <c r="H605" i="1"/>
  <c r="H502" i="1"/>
  <c r="H402" i="1"/>
  <c r="I498" i="1"/>
  <c r="H1660" i="1"/>
  <c r="H1260" i="1"/>
  <c r="H901" i="1"/>
  <c r="H565" i="1"/>
  <c r="K663" i="1"/>
  <c r="I1157" i="1"/>
  <c r="I694" i="1"/>
  <c r="H1822" i="1"/>
  <c r="H1493" i="1"/>
  <c r="H1176" i="1"/>
  <c r="H941" i="1"/>
  <c r="H709" i="1"/>
  <c r="H500" i="1"/>
  <c r="H613" i="1"/>
  <c r="H1492" i="1"/>
  <c r="H626" i="1"/>
  <c r="H967" i="1"/>
  <c r="H1291" i="1"/>
  <c r="H1733" i="1"/>
  <c r="I584" i="1"/>
  <c r="I1226" i="1"/>
  <c r="H459" i="1"/>
  <c r="H736" i="1"/>
  <c r="H1052" i="1"/>
  <c r="H1405" i="1"/>
  <c r="H1838" i="1"/>
  <c r="I818" i="1"/>
  <c r="K369" i="1"/>
  <c r="H1070" i="1"/>
  <c r="I851" i="1"/>
  <c r="H765" i="1"/>
  <c r="H533" i="1"/>
  <c r="H821" i="1"/>
  <c r="H1131" i="1"/>
  <c r="H1527" i="1"/>
  <c r="I420" i="1"/>
  <c r="I962" i="1"/>
  <c r="K473" i="1"/>
  <c r="H921" i="1"/>
  <c r="I511" i="1"/>
  <c r="K611" i="1"/>
  <c r="H848" i="1"/>
  <c r="H1198" i="1"/>
  <c r="H1611" i="1"/>
  <c r="I519" i="1"/>
  <c r="I1099" i="1"/>
  <c r="H366" i="1"/>
  <c r="H637" i="1"/>
  <c r="H940" i="1"/>
  <c r="H1269" i="1"/>
  <c r="H1694" i="1"/>
  <c r="I610" i="1"/>
  <c r="I1274" i="1"/>
  <c r="K1190" i="1"/>
  <c r="K1262" i="1"/>
  <c r="K1064" i="1"/>
  <c r="K1339" i="1"/>
  <c r="K1203" i="1"/>
  <c r="K1538" i="1"/>
  <c r="K1213" i="1"/>
  <c r="K1404" i="1"/>
  <c r="K1437" i="1"/>
  <c r="K1136" i="1"/>
  <c r="K1434" i="1"/>
  <c r="K1359" i="1"/>
  <c r="K1050" i="1"/>
  <c r="K1425" i="1"/>
  <c r="K1500" i="1"/>
  <c r="K1533" i="1"/>
  <c r="K978" i="1"/>
  <c r="K1241" i="1"/>
  <c r="K1642" i="1"/>
  <c r="K1381" i="1"/>
  <c r="K1541" i="1"/>
  <c r="K1837" i="1"/>
  <c r="K1789" i="1"/>
  <c r="K1678" i="1"/>
  <c r="I929" i="1"/>
  <c r="I381" i="1"/>
  <c r="H1491" i="1"/>
  <c r="H1112" i="1"/>
  <c r="H793" i="1"/>
  <c r="H509" i="1"/>
  <c r="I1275" i="1"/>
  <c r="I627" i="1"/>
  <c r="H1695" i="1"/>
  <c r="H1270" i="1"/>
  <c r="H950" i="1"/>
  <c r="H638" i="1"/>
  <c r="H370" i="1"/>
  <c r="I990" i="1"/>
  <c r="I446" i="1"/>
  <c r="H1429" i="1"/>
  <c r="H1069" i="1"/>
  <c r="H759" i="1"/>
  <c r="H474" i="1"/>
  <c r="I1144" i="1"/>
  <c r="K1548" i="1"/>
  <c r="I1662" i="1"/>
  <c r="H317" i="1"/>
  <c r="I284" i="1"/>
  <c r="I238" i="1"/>
  <c r="H291" i="1"/>
  <c r="H346" i="1"/>
  <c r="I1548" i="1"/>
  <c r="I1602" i="1"/>
  <c r="K1661" i="1"/>
  <c r="K1679" i="1"/>
  <c r="K1685" i="1"/>
  <c r="K1691" i="1"/>
  <c r="K1694" i="1"/>
  <c r="K1700" i="1"/>
  <c r="K1706" i="1"/>
  <c r="K1718" i="1"/>
  <c r="K1724" i="1"/>
  <c r="K1742" i="1"/>
  <c r="K1757" i="1"/>
  <c r="K1766" i="1"/>
  <c r="K1818" i="1"/>
  <c r="K1821" i="1"/>
  <c r="K1830" i="1"/>
  <c r="K1845" i="1"/>
  <c r="H348" i="1"/>
  <c r="H340" i="1"/>
  <c r="I337" i="1"/>
  <c r="I335" i="1"/>
  <c r="I333" i="1"/>
  <c r="I331" i="1"/>
  <c r="I329" i="1"/>
  <c r="I327" i="1"/>
  <c r="H319" i="1"/>
  <c r="K313" i="1"/>
  <c r="K311" i="1"/>
  <c r="K309" i="1"/>
  <c r="K307" i="1"/>
  <c r="K305" i="1"/>
  <c r="K303" i="1"/>
  <c r="H300" i="1"/>
  <c r="H298" i="1"/>
  <c r="H296" i="1"/>
  <c r="I280" i="1"/>
  <c r="H276" i="1"/>
  <c r="H251" i="1"/>
  <c r="I240" i="1"/>
  <c r="I234" i="1"/>
  <c r="K214" i="1"/>
  <c r="I140" i="1"/>
  <c r="H342" i="1"/>
  <c r="H321" i="1"/>
  <c r="H268" i="1"/>
  <c r="K264" i="1"/>
  <c r="H243" i="1"/>
  <c r="I230" i="1"/>
  <c r="K206" i="1"/>
  <c r="H344" i="1"/>
  <c r="K336" i="1"/>
  <c r="K334" i="1"/>
  <c r="K332" i="1"/>
  <c r="K330" i="1"/>
  <c r="K328" i="1"/>
  <c r="K326" i="1"/>
  <c r="H323" i="1"/>
  <c r="H315" i="1"/>
  <c r="I312" i="1"/>
  <c r="I310" i="1"/>
  <c r="I308" i="1"/>
  <c r="I306" i="1"/>
  <c r="I304" i="1"/>
  <c r="I302" i="1"/>
  <c r="H299" i="1"/>
  <c r="H297" i="1"/>
  <c r="H295" i="1"/>
  <c r="I288" i="1"/>
  <c r="K260" i="1"/>
  <c r="K992" i="1"/>
  <c r="H14" i="1"/>
  <c r="I15" i="1"/>
  <c r="K17" i="1"/>
  <c r="H18" i="1"/>
  <c r="I19" i="1"/>
  <c r="K21" i="1"/>
  <c r="H22" i="1"/>
  <c r="I23" i="1"/>
  <c r="K25" i="1"/>
  <c r="I26" i="1"/>
  <c r="K28" i="1"/>
  <c r="H29" i="1"/>
  <c r="I30" i="1"/>
  <c r="K32" i="1"/>
  <c r="H33" i="1"/>
  <c r="I34" i="1"/>
  <c r="K36" i="1"/>
  <c r="H37" i="1"/>
  <c r="K39" i="1"/>
  <c r="H40" i="1"/>
  <c r="I41" i="1"/>
  <c r="K43" i="1"/>
  <c r="H44" i="1"/>
  <c r="I45" i="1"/>
  <c r="K47" i="1"/>
  <c r="H48" i="1"/>
  <c r="I49" i="1"/>
  <c r="K50" i="1"/>
  <c r="H3" i="1"/>
  <c r="H4" i="1"/>
  <c r="H5" i="1"/>
  <c r="H6" i="1"/>
  <c r="H7" i="1"/>
  <c r="H8" i="1"/>
  <c r="H9" i="1"/>
  <c r="H10" i="1"/>
  <c r="H11" i="1"/>
  <c r="H12" i="1"/>
  <c r="H13" i="1"/>
  <c r="K15" i="1"/>
  <c r="H16" i="1"/>
  <c r="I17" i="1"/>
  <c r="K19" i="1"/>
  <c r="H20" i="1"/>
  <c r="I21" i="1"/>
  <c r="K23" i="1"/>
  <c r="H24" i="1"/>
  <c r="I25" i="1"/>
  <c r="K26" i="1"/>
  <c r="H27" i="1"/>
  <c r="I28" i="1"/>
  <c r="K30" i="1"/>
  <c r="H31" i="1"/>
  <c r="I32" i="1"/>
  <c r="K34" i="1"/>
  <c r="H35" i="1"/>
  <c r="I36" i="1"/>
  <c r="H38" i="1"/>
  <c r="I39" i="1"/>
  <c r="K41" i="1"/>
  <c r="H42" i="1"/>
  <c r="I43" i="1"/>
  <c r="K45" i="1"/>
  <c r="H46" i="1"/>
  <c r="I47" i="1"/>
  <c r="K49" i="1"/>
  <c r="I50" i="1"/>
  <c r="K52" i="1"/>
  <c r="H53" i="1"/>
  <c r="I54" i="1"/>
  <c r="K4" i="1"/>
  <c r="I5" i="1"/>
  <c r="K8" i="1"/>
  <c r="I9" i="1"/>
  <c r="K12" i="1"/>
  <c r="I13" i="1"/>
  <c r="K14" i="1"/>
  <c r="K16" i="1"/>
  <c r="K18" i="1"/>
  <c r="K20" i="1"/>
  <c r="K22" i="1"/>
  <c r="K24" i="1"/>
  <c r="H50" i="1"/>
  <c r="H51" i="1"/>
  <c r="I53" i="1"/>
  <c r="I55" i="1"/>
  <c r="K57" i="1"/>
  <c r="H58" i="1"/>
  <c r="I59" i="1"/>
  <c r="K61" i="1"/>
  <c r="I62" i="1"/>
  <c r="K64" i="1"/>
  <c r="H65" i="1"/>
  <c r="I66" i="1"/>
  <c r="K68" i="1"/>
  <c r="H69" i="1"/>
  <c r="I70" i="1"/>
  <c r="K72" i="1"/>
  <c r="H73" i="1"/>
  <c r="K75" i="1"/>
  <c r="H76" i="1"/>
  <c r="I77" i="1"/>
  <c r="K79" i="1"/>
  <c r="H80" i="1"/>
  <c r="I81" i="1"/>
  <c r="K83" i="1"/>
  <c r="H84" i="1"/>
  <c r="I85" i="1"/>
  <c r="K86" i="1"/>
  <c r="H87" i="1"/>
  <c r="K5" i="1"/>
  <c r="I6" i="1"/>
  <c r="K9" i="1"/>
  <c r="I10" i="1"/>
  <c r="K13" i="1"/>
  <c r="I38" i="1"/>
  <c r="H39" i="1"/>
  <c r="I40" i="1"/>
  <c r="H41" i="1"/>
  <c r="I42" i="1"/>
  <c r="H43" i="1"/>
  <c r="I44" i="1"/>
  <c r="H45" i="1"/>
  <c r="I46" i="1"/>
  <c r="H47" i="1"/>
  <c r="I48" i="1"/>
  <c r="H49" i="1"/>
  <c r="I51" i="1"/>
  <c r="H54" i="1"/>
  <c r="K56" i="1"/>
  <c r="H57" i="1"/>
  <c r="I58" i="1"/>
  <c r="K60" i="1"/>
  <c r="H61" i="1"/>
  <c r="K63" i="1"/>
  <c r="H64" i="1"/>
  <c r="I65" i="1"/>
  <c r="K67" i="1"/>
  <c r="H68" i="1"/>
  <c r="I69" i="1"/>
  <c r="K71" i="1"/>
  <c r="H72" i="1"/>
  <c r="I73" i="1"/>
  <c r="K74" i="1"/>
  <c r="H75" i="1"/>
  <c r="I76" i="1"/>
  <c r="K78" i="1"/>
  <c r="H79" i="1"/>
  <c r="I80" i="1"/>
  <c r="I3" i="1"/>
  <c r="K6" i="1"/>
  <c r="I7" i="1"/>
  <c r="K10" i="1"/>
  <c r="I11" i="1"/>
  <c r="H26" i="1"/>
  <c r="I27" i="1"/>
  <c r="H28" i="1"/>
  <c r="I29" i="1"/>
  <c r="H30" i="1"/>
  <c r="I31" i="1"/>
  <c r="H32" i="1"/>
  <c r="I33" i="1"/>
  <c r="H34" i="1"/>
  <c r="I35" i="1"/>
  <c r="H36" i="1"/>
  <c r="I37" i="1"/>
  <c r="K38" i="1"/>
  <c r="K40" i="1"/>
  <c r="K42" i="1"/>
  <c r="K44" i="1"/>
  <c r="K46" i="1"/>
  <c r="K48" i="1"/>
  <c r="K51" i="1"/>
  <c r="H52" i="1"/>
  <c r="K53" i="1"/>
  <c r="K55" i="1"/>
  <c r="H56" i="1"/>
  <c r="I57" i="1"/>
  <c r="K59" i="1"/>
  <c r="H60" i="1"/>
  <c r="I61" i="1"/>
  <c r="K62" i="1"/>
  <c r="H63" i="1"/>
  <c r="I64" i="1"/>
  <c r="K66" i="1"/>
  <c r="H67" i="1"/>
  <c r="I68" i="1"/>
  <c r="K70" i="1"/>
  <c r="H71" i="1"/>
  <c r="I72" i="1"/>
  <c r="H74" i="1"/>
  <c r="I75" i="1"/>
  <c r="K77" i="1"/>
  <c r="H78" i="1"/>
  <c r="I79" i="1"/>
  <c r="K81" i="1"/>
  <c r="H82" i="1"/>
  <c r="I83" i="1"/>
  <c r="K85" i="1"/>
  <c r="I86" i="1"/>
  <c r="I18" i="1"/>
  <c r="H21" i="1"/>
  <c r="I52" i="1"/>
  <c r="K54" i="1"/>
  <c r="H59" i="1"/>
  <c r="I67" i="1"/>
  <c r="I74" i="1"/>
  <c r="K88" i="1"/>
  <c r="H89" i="1"/>
  <c r="I90" i="1"/>
  <c r="K92" i="1"/>
  <c r="H93" i="1"/>
  <c r="I94" i="1"/>
  <c r="K96" i="1"/>
  <c r="H97" i="1"/>
  <c r="K99" i="1"/>
  <c r="H100" i="1"/>
  <c r="I101" i="1"/>
  <c r="K103" i="1"/>
  <c r="K3" i="1"/>
  <c r="I4" i="1"/>
  <c r="K11" i="1"/>
  <c r="I12" i="1"/>
  <c r="H15" i="1"/>
  <c r="I20" i="1"/>
  <c r="H23" i="1"/>
  <c r="K27" i="1"/>
  <c r="K29" i="1"/>
  <c r="K31" i="1"/>
  <c r="K33" i="1"/>
  <c r="K35" i="1"/>
  <c r="K37" i="1"/>
  <c r="I56" i="1"/>
  <c r="H66" i="1"/>
  <c r="K69" i="1"/>
  <c r="K76" i="1"/>
  <c r="H86" i="1"/>
  <c r="I87" i="1"/>
  <c r="H88" i="1"/>
  <c r="I89" i="1"/>
  <c r="K91" i="1"/>
  <c r="H92" i="1"/>
  <c r="I93" i="1"/>
  <c r="K95" i="1"/>
  <c r="H96" i="1"/>
  <c r="I97" i="1"/>
  <c r="K98" i="1"/>
  <c r="H99" i="1"/>
  <c r="I100" i="1"/>
  <c r="K102" i="1"/>
  <c r="H103" i="1"/>
  <c r="I104" i="1"/>
  <c r="K106" i="1"/>
  <c r="H107" i="1"/>
  <c r="I108" i="1"/>
  <c r="H110" i="1"/>
  <c r="I111" i="1"/>
  <c r="K113" i="1"/>
  <c r="H114" i="1"/>
  <c r="I115" i="1"/>
  <c r="K117" i="1"/>
  <c r="H118" i="1"/>
  <c r="I119" i="1"/>
  <c r="K121" i="1"/>
  <c r="I122" i="1"/>
  <c r="K123" i="1"/>
  <c r="I124" i="1"/>
  <c r="K125" i="1"/>
  <c r="I14" i="1"/>
  <c r="H17" i="1"/>
  <c r="I22" i="1"/>
  <c r="H25" i="1"/>
  <c r="H55" i="1"/>
  <c r="K58" i="1"/>
  <c r="I63" i="1"/>
  <c r="I71" i="1"/>
  <c r="I78" i="1"/>
  <c r="H81" i="1"/>
  <c r="I82" i="1"/>
  <c r="H83" i="1"/>
  <c r="I84" i="1"/>
  <c r="H85" i="1"/>
  <c r="K87" i="1"/>
  <c r="I88" i="1"/>
  <c r="K90" i="1"/>
  <c r="H91" i="1"/>
  <c r="I92" i="1"/>
  <c r="K94" i="1"/>
  <c r="H95" i="1"/>
  <c r="I96" i="1"/>
  <c r="H98" i="1"/>
  <c r="I99" i="1"/>
  <c r="K101" i="1"/>
  <c r="H102" i="1"/>
  <c r="I103" i="1"/>
  <c r="K105" i="1"/>
  <c r="H106" i="1"/>
  <c r="I107" i="1"/>
  <c r="K109" i="1"/>
  <c r="I110" i="1"/>
  <c r="K112" i="1"/>
  <c r="H113" i="1"/>
  <c r="I114" i="1"/>
  <c r="K116" i="1"/>
  <c r="H117" i="1"/>
  <c r="I118" i="1"/>
  <c r="K120" i="1"/>
  <c r="H121" i="1"/>
  <c r="H123" i="1"/>
  <c r="K65" i="1"/>
  <c r="K73" i="1"/>
  <c r="I91" i="1"/>
  <c r="I98" i="1"/>
  <c r="K104" i="1"/>
  <c r="I105" i="1"/>
  <c r="I106" i="1"/>
  <c r="K108" i="1"/>
  <c r="I109" i="1"/>
  <c r="K110" i="1"/>
  <c r="K114" i="1"/>
  <c r="K118" i="1"/>
  <c r="I123" i="1"/>
  <c r="I125" i="1"/>
  <c r="I126" i="1"/>
  <c r="K127" i="1"/>
  <c r="I128" i="1"/>
  <c r="K129" i="1"/>
  <c r="I130" i="1"/>
  <c r="K131" i="1"/>
  <c r="I132" i="1"/>
  <c r="K133" i="1"/>
  <c r="H135" i="1"/>
  <c r="H137" i="1"/>
  <c r="H139" i="1"/>
  <c r="H141" i="1"/>
  <c r="H143" i="1"/>
  <c r="H145" i="1"/>
  <c r="K146" i="1"/>
  <c r="I147" i="1"/>
  <c r="K148" i="1"/>
  <c r="I149" i="1"/>
  <c r="K150" i="1"/>
  <c r="I151" i="1"/>
  <c r="K152" i="1"/>
  <c r="I153" i="1"/>
  <c r="K154" i="1"/>
  <c r="I155" i="1"/>
  <c r="K156" i="1"/>
  <c r="I157" i="1"/>
  <c r="H158" i="1"/>
  <c r="H160" i="1"/>
  <c r="H162" i="1"/>
  <c r="H164" i="1"/>
  <c r="H166" i="1"/>
  <c r="H168" i="1"/>
  <c r="I170" i="1"/>
  <c r="K171" i="1"/>
  <c r="I172" i="1"/>
  <c r="K173" i="1"/>
  <c r="I174" i="1"/>
  <c r="K175" i="1"/>
  <c r="I176" i="1"/>
  <c r="K177" i="1"/>
  <c r="I178" i="1"/>
  <c r="K179" i="1"/>
  <c r="I180" i="1"/>
  <c r="K181" i="1"/>
  <c r="H183" i="1"/>
  <c r="K7" i="1"/>
  <c r="I8" i="1"/>
  <c r="I16" i="1"/>
  <c r="I60" i="1"/>
  <c r="H77" i="1"/>
  <c r="H90" i="1"/>
  <c r="K93" i="1"/>
  <c r="K100" i="1"/>
  <c r="K107" i="1"/>
  <c r="H124" i="1"/>
  <c r="H127" i="1"/>
  <c r="H129" i="1"/>
  <c r="H131" i="1"/>
  <c r="H133" i="1"/>
  <c r="K134" i="1"/>
  <c r="I135" i="1"/>
  <c r="K136" i="1"/>
  <c r="I137" i="1"/>
  <c r="K138" i="1"/>
  <c r="I139" i="1"/>
  <c r="K140" i="1"/>
  <c r="I141" i="1"/>
  <c r="K142" i="1"/>
  <c r="I143" i="1"/>
  <c r="K144" i="1"/>
  <c r="I145" i="1"/>
  <c r="H146" i="1"/>
  <c r="H148" i="1"/>
  <c r="H150" i="1"/>
  <c r="H152" i="1"/>
  <c r="H154" i="1"/>
  <c r="H156" i="1"/>
  <c r="I158" i="1"/>
  <c r="K159" i="1"/>
  <c r="I160" i="1"/>
  <c r="K161" i="1"/>
  <c r="I162" i="1"/>
  <c r="K163" i="1"/>
  <c r="I164" i="1"/>
  <c r="K165" i="1"/>
  <c r="I166" i="1"/>
  <c r="K167" i="1"/>
  <c r="I168" i="1"/>
  <c r="K169" i="1"/>
  <c r="H171" i="1"/>
  <c r="H173" i="1"/>
  <c r="H175" i="1"/>
  <c r="H177" i="1"/>
  <c r="H179" i="1"/>
  <c r="K80" i="1"/>
  <c r="K82" i="1"/>
  <c r="K84" i="1"/>
  <c r="I95" i="1"/>
  <c r="I102" i="1"/>
  <c r="H111" i="1"/>
  <c r="H112" i="1"/>
  <c r="H115" i="1"/>
  <c r="H116" i="1"/>
  <c r="H119" i="1"/>
  <c r="H120" i="1"/>
  <c r="H122" i="1"/>
  <c r="K124" i="1"/>
  <c r="K126" i="1"/>
  <c r="I127" i="1"/>
  <c r="K128" i="1"/>
  <c r="I129" i="1"/>
  <c r="K130" i="1"/>
  <c r="I131" i="1"/>
  <c r="K132" i="1"/>
  <c r="I133" i="1"/>
  <c r="H134" i="1"/>
  <c r="H136" i="1"/>
  <c r="H138" i="1"/>
  <c r="H140" i="1"/>
  <c r="H142" i="1"/>
  <c r="H144" i="1"/>
  <c r="I146" i="1"/>
  <c r="K147" i="1"/>
  <c r="I148" i="1"/>
  <c r="K149" i="1"/>
  <c r="I150" i="1"/>
  <c r="K151" i="1"/>
  <c r="I152" i="1"/>
  <c r="K153" i="1"/>
  <c r="I154" i="1"/>
  <c r="K155" i="1"/>
  <c r="I156" i="1"/>
  <c r="K157" i="1"/>
  <c r="H159" i="1"/>
  <c r="H161" i="1"/>
  <c r="H163" i="1"/>
  <c r="H165" i="1"/>
  <c r="H167" i="1"/>
  <c r="H169" i="1"/>
  <c r="K170" i="1"/>
  <c r="I171" i="1"/>
  <c r="K172" i="1"/>
  <c r="I173" i="1"/>
  <c r="K174" i="1"/>
  <c r="I175" i="1"/>
  <c r="K176" i="1"/>
  <c r="I177" i="1"/>
  <c r="K178" i="1"/>
  <c r="I179" i="1"/>
  <c r="K180" i="1"/>
  <c r="I181" i="1"/>
  <c r="H182" i="1"/>
  <c r="H184" i="1"/>
  <c r="H186" i="1"/>
  <c r="H188" i="1"/>
  <c r="H190" i="1"/>
  <c r="H19" i="1"/>
  <c r="I24" i="1"/>
  <c r="H101" i="1"/>
  <c r="K111" i="1"/>
  <c r="I113" i="1"/>
  <c r="K115" i="1"/>
  <c r="I117" i="1"/>
  <c r="K119" i="1"/>
  <c r="I121" i="1"/>
  <c r="H130" i="1"/>
  <c r="K135" i="1"/>
  <c r="K139" i="1"/>
  <c r="K143" i="1"/>
  <c r="H153" i="1"/>
  <c r="I159" i="1"/>
  <c r="I163" i="1"/>
  <c r="I167" i="1"/>
  <c r="H170" i="1"/>
  <c r="H178" i="1"/>
  <c r="I182" i="1"/>
  <c r="I184" i="1"/>
  <c r="I185" i="1"/>
  <c r="K187" i="1"/>
  <c r="K188" i="1"/>
  <c r="H191" i="1"/>
  <c r="H193" i="1"/>
  <c r="K194" i="1"/>
  <c r="I195" i="1"/>
  <c r="K196" i="1"/>
  <c r="I197" i="1"/>
  <c r="K198" i="1"/>
  <c r="I199" i="1"/>
  <c r="K200" i="1"/>
  <c r="I201" i="1"/>
  <c r="K202" i="1"/>
  <c r="I203" i="1"/>
  <c r="K204" i="1"/>
  <c r="I205" i="1"/>
  <c r="H206" i="1"/>
  <c r="H208" i="1"/>
  <c r="H210" i="1"/>
  <c r="H212" i="1"/>
  <c r="H214" i="1"/>
  <c r="H216" i="1"/>
  <c r="I218" i="1"/>
  <c r="K219" i="1"/>
  <c r="I220" i="1"/>
  <c r="K221" i="1"/>
  <c r="I222" i="1"/>
  <c r="K223" i="1"/>
  <c r="I224" i="1"/>
  <c r="K225" i="1"/>
  <c r="I226" i="1"/>
  <c r="K227" i="1"/>
  <c r="I228" i="1"/>
  <c r="K229" i="1"/>
  <c r="H231" i="1"/>
  <c r="H233" i="1"/>
  <c r="H235" i="1"/>
  <c r="H237" i="1"/>
  <c r="H239" i="1"/>
  <c r="H104" i="1"/>
  <c r="H109" i="1"/>
  <c r="K122" i="1"/>
  <c r="H128" i="1"/>
  <c r="I134" i="1"/>
  <c r="I138" i="1"/>
  <c r="I142" i="1"/>
  <c r="H151" i="1"/>
  <c r="K158" i="1"/>
  <c r="K162" i="1"/>
  <c r="K166" i="1"/>
  <c r="H176" i="1"/>
  <c r="K182" i="1"/>
  <c r="I183" i="1"/>
  <c r="K185" i="1"/>
  <c r="K186" i="1"/>
  <c r="H189" i="1"/>
  <c r="I190" i="1"/>
  <c r="I191" i="1"/>
  <c r="K192" i="1"/>
  <c r="I193" i="1"/>
  <c r="H194" i="1"/>
  <c r="H196" i="1"/>
  <c r="H198" i="1"/>
  <c r="H200" i="1"/>
  <c r="H202" i="1"/>
  <c r="H204" i="1"/>
  <c r="I206" i="1"/>
  <c r="K207" i="1"/>
  <c r="I208" i="1"/>
  <c r="K209" i="1"/>
  <c r="I210" i="1"/>
  <c r="K211" i="1"/>
  <c r="I212" i="1"/>
  <c r="K213" i="1"/>
  <c r="I214" i="1"/>
  <c r="K215" i="1"/>
  <c r="I216" i="1"/>
  <c r="K217" i="1"/>
  <c r="H219" i="1"/>
  <c r="H221" i="1"/>
  <c r="H223" i="1"/>
  <c r="H225" i="1"/>
  <c r="H227" i="1"/>
  <c r="H229" i="1"/>
  <c r="K230" i="1"/>
  <c r="I231" i="1"/>
  <c r="H62" i="1"/>
  <c r="H94" i="1"/>
  <c r="I112" i="1"/>
  <c r="I116" i="1"/>
  <c r="I120" i="1"/>
  <c r="H126" i="1"/>
  <c r="K137" i="1"/>
  <c r="K141" i="1"/>
  <c r="K145" i="1"/>
  <c r="H149" i="1"/>
  <c r="H157" i="1"/>
  <c r="I161" i="1"/>
  <c r="I165" i="1"/>
  <c r="I169" i="1"/>
  <c r="H174" i="1"/>
  <c r="K183" i="1"/>
  <c r="K184" i="1"/>
  <c r="H187" i="1"/>
  <c r="I188" i="1"/>
  <c r="I189" i="1"/>
  <c r="H192" i="1"/>
  <c r="I194" i="1"/>
  <c r="K195" i="1"/>
  <c r="I196" i="1"/>
  <c r="K197" i="1"/>
  <c r="I198" i="1"/>
  <c r="K199" i="1"/>
  <c r="I200" i="1"/>
  <c r="K201" i="1"/>
  <c r="I202" i="1"/>
  <c r="K203" i="1"/>
  <c r="I204" i="1"/>
  <c r="K205" i="1"/>
  <c r="H207" i="1"/>
  <c r="H209" i="1"/>
  <c r="H211" i="1"/>
  <c r="H213" i="1"/>
  <c r="H215" i="1"/>
  <c r="H217" i="1"/>
  <c r="K218" i="1"/>
  <c r="I219" i="1"/>
  <c r="K220" i="1"/>
  <c r="I221" i="1"/>
  <c r="K222" i="1"/>
  <c r="I223" i="1"/>
  <c r="K224" i="1"/>
  <c r="I225" i="1"/>
  <c r="K226" i="1"/>
  <c r="I227" i="1"/>
  <c r="K228" i="1"/>
  <c r="I229" i="1"/>
  <c r="H230" i="1"/>
  <c r="H232" i="1"/>
  <c r="H234" i="1"/>
  <c r="H236" i="1"/>
  <c r="H238" i="1"/>
  <c r="K97" i="1"/>
  <c r="H105" i="1"/>
  <c r="H108" i="1"/>
  <c r="H132" i="1"/>
  <c r="I186" i="1"/>
  <c r="K190" i="1"/>
  <c r="K193" i="1"/>
  <c r="H197" i="1"/>
  <c r="H205" i="1"/>
  <c r="I209" i="1"/>
  <c r="I213" i="1"/>
  <c r="I217" i="1"/>
  <c r="H222" i="1"/>
  <c r="K234" i="1"/>
  <c r="I235" i="1"/>
  <c r="K238" i="1"/>
  <c r="I239" i="1"/>
  <c r="H241" i="1"/>
  <c r="K242" i="1"/>
  <c r="I243" i="1"/>
  <c r="K244" i="1"/>
  <c r="I245" i="1"/>
  <c r="K246" i="1"/>
  <c r="I247" i="1"/>
  <c r="K248" i="1"/>
  <c r="I249" i="1"/>
  <c r="K250" i="1"/>
  <c r="I251" i="1"/>
  <c r="K252" i="1"/>
  <c r="I253" i="1"/>
  <c r="H254" i="1"/>
  <c r="H256" i="1"/>
  <c r="H258" i="1"/>
  <c r="H260" i="1"/>
  <c r="H262" i="1"/>
  <c r="H264" i="1"/>
  <c r="I266" i="1"/>
  <c r="K267" i="1"/>
  <c r="I268" i="1"/>
  <c r="K269" i="1"/>
  <c r="I270" i="1"/>
  <c r="K271" i="1"/>
  <c r="I272" i="1"/>
  <c r="K273" i="1"/>
  <c r="I274" i="1"/>
  <c r="K275" i="1"/>
  <c r="I276" i="1"/>
  <c r="K277" i="1"/>
  <c r="H279" i="1"/>
  <c r="H281" i="1"/>
  <c r="H283" i="1"/>
  <c r="H285" i="1"/>
  <c r="H287" i="1"/>
  <c r="H289" i="1"/>
  <c r="K290" i="1"/>
  <c r="I291" i="1"/>
  <c r="K292" i="1"/>
  <c r="I293" i="1"/>
  <c r="K294" i="1"/>
  <c r="I295" i="1"/>
  <c r="K296" i="1"/>
  <c r="I297" i="1"/>
  <c r="K298" i="1"/>
  <c r="I299" i="1"/>
  <c r="H125" i="1"/>
  <c r="I136" i="1"/>
  <c r="I144" i="1"/>
  <c r="H147" i="1"/>
  <c r="K160" i="1"/>
  <c r="K168" i="1"/>
  <c r="H181" i="1"/>
  <c r="H185" i="1"/>
  <c r="K189" i="1"/>
  <c r="I192" i="1"/>
  <c r="H195" i="1"/>
  <c r="H203" i="1"/>
  <c r="K208" i="1"/>
  <c r="K212" i="1"/>
  <c r="K216" i="1"/>
  <c r="H220" i="1"/>
  <c r="H228" i="1"/>
  <c r="I232" i="1"/>
  <c r="K235" i="1"/>
  <c r="I236" i="1"/>
  <c r="K239" i="1"/>
  <c r="K240" i="1"/>
  <c r="I241" i="1"/>
  <c r="H242" i="1"/>
  <c r="H244" i="1"/>
  <c r="H246" i="1"/>
  <c r="H248" i="1"/>
  <c r="H250" i="1"/>
  <c r="H252" i="1"/>
  <c r="I254" i="1"/>
  <c r="K255" i="1"/>
  <c r="I256" i="1"/>
  <c r="K257" i="1"/>
  <c r="I258" i="1"/>
  <c r="K259" i="1"/>
  <c r="I260" i="1"/>
  <c r="K261" i="1"/>
  <c r="I262" i="1"/>
  <c r="K263" i="1"/>
  <c r="I264" i="1"/>
  <c r="K265" i="1"/>
  <c r="H267" i="1"/>
  <c r="H269" i="1"/>
  <c r="H271" i="1"/>
  <c r="H273" i="1"/>
  <c r="H275" i="1"/>
  <c r="H277" i="1"/>
  <c r="K278" i="1"/>
  <c r="I279" i="1"/>
  <c r="K280" i="1"/>
  <c r="I281" i="1"/>
  <c r="K282" i="1"/>
  <c r="I283" i="1"/>
  <c r="K284" i="1"/>
  <c r="I285" i="1"/>
  <c r="K286" i="1"/>
  <c r="I287" i="1"/>
  <c r="K288" i="1"/>
  <c r="I289" i="1"/>
  <c r="H290" i="1"/>
  <c r="H292" i="1"/>
  <c r="H294" i="1"/>
  <c r="K89" i="1"/>
  <c r="H155" i="1"/>
  <c r="H172" i="1"/>
  <c r="K191" i="1"/>
  <c r="H201" i="1"/>
  <c r="I207" i="1"/>
  <c r="I211" i="1"/>
  <c r="I215" i="1"/>
  <c r="H218" i="1"/>
  <c r="H226" i="1"/>
  <c r="K231" i="1"/>
  <c r="K232" i="1"/>
  <c r="I233" i="1"/>
  <c r="K236" i="1"/>
  <c r="I237" i="1"/>
  <c r="H240" i="1"/>
  <c r="I242" i="1"/>
  <c r="K243" i="1"/>
  <c r="I244" i="1"/>
  <c r="K245" i="1"/>
  <c r="I246" i="1"/>
  <c r="K247" i="1"/>
  <c r="I248" i="1"/>
  <c r="K249" i="1"/>
  <c r="I250" i="1"/>
  <c r="K251" i="1"/>
  <c r="I252" i="1"/>
  <c r="K253" i="1"/>
  <c r="H255" i="1"/>
  <c r="H257" i="1"/>
  <c r="H259" i="1"/>
  <c r="H261" i="1"/>
  <c r="H263" i="1"/>
  <c r="H265" i="1"/>
  <c r="K266" i="1"/>
  <c r="I267" i="1"/>
  <c r="K268" i="1"/>
  <c r="I269" i="1"/>
  <c r="K270" i="1"/>
  <c r="I271" i="1"/>
  <c r="K272" i="1"/>
  <c r="I273" i="1"/>
  <c r="K274" i="1"/>
  <c r="I275" i="1"/>
  <c r="K276" i="1"/>
  <c r="I277" i="1"/>
  <c r="H278" i="1"/>
  <c r="H280" i="1"/>
  <c r="H282" i="1"/>
  <c r="H284" i="1"/>
  <c r="H286" i="1"/>
  <c r="H288" i="1"/>
  <c r="I290" i="1"/>
  <c r="K291" i="1"/>
  <c r="I292" i="1"/>
  <c r="K293" i="1"/>
  <c r="I294" i="1"/>
  <c r="D1656" i="1"/>
  <c r="K1656" i="1" s="1"/>
  <c r="I349" i="1"/>
  <c r="K348" i="1"/>
  <c r="I347" i="1"/>
  <c r="K346" i="1"/>
  <c r="I345" i="1"/>
  <c r="K344" i="1"/>
  <c r="I343" i="1"/>
  <c r="K342" i="1"/>
  <c r="I341" i="1"/>
  <c r="K340" i="1"/>
  <c r="I339" i="1"/>
  <c r="K338" i="1"/>
  <c r="H337" i="1"/>
  <c r="H335" i="1"/>
  <c r="H333" i="1"/>
  <c r="H331" i="1"/>
  <c r="H329" i="1"/>
  <c r="H327" i="1"/>
  <c r="K325" i="1"/>
  <c r="I324" i="1"/>
  <c r="K323" i="1"/>
  <c r="I322" i="1"/>
  <c r="K321" i="1"/>
  <c r="I320" i="1"/>
  <c r="K319" i="1"/>
  <c r="I318" i="1"/>
  <c r="K317" i="1"/>
  <c r="I316" i="1"/>
  <c r="K315" i="1"/>
  <c r="I314" i="1"/>
  <c r="H312" i="1"/>
  <c r="H310" i="1"/>
  <c r="H308" i="1"/>
  <c r="H306" i="1"/>
  <c r="H304" i="1"/>
  <c r="H302" i="1"/>
  <c r="I301" i="1"/>
  <c r="K300" i="1"/>
  <c r="H293" i="1"/>
  <c r="K289" i="1"/>
  <c r="K285" i="1"/>
  <c r="K281" i="1"/>
  <c r="H270" i="1"/>
  <c r="I265" i="1"/>
  <c r="I261" i="1"/>
  <c r="I257" i="1"/>
  <c r="H253" i="1"/>
  <c r="H245" i="1"/>
  <c r="K241" i="1"/>
  <c r="K164" i="1"/>
  <c r="H70" i="1"/>
  <c r="D1653" i="1"/>
  <c r="K1653" i="1" s="1"/>
  <c r="H349" i="1"/>
  <c r="H347" i="1"/>
  <c r="H345" i="1"/>
  <c r="H343" i="1"/>
  <c r="H341" i="1"/>
  <c r="H339" i="1"/>
  <c r="K337" i="1"/>
  <c r="I336" i="1"/>
  <c r="K335" i="1"/>
  <c r="I334" i="1"/>
  <c r="K333" i="1"/>
  <c r="I332" i="1"/>
  <c r="K331" i="1"/>
  <c r="I330" i="1"/>
  <c r="K329" i="1"/>
  <c r="I328" i="1"/>
  <c r="K327" i="1"/>
  <c r="I326" i="1"/>
  <c r="H324" i="1"/>
  <c r="H322" i="1"/>
  <c r="H320" i="1"/>
  <c r="H318" i="1"/>
  <c r="H316" i="1"/>
  <c r="H314" i="1"/>
  <c r="I313" i="1"/>
  <c r="K312" i="1"/>
  <c r="I311" i="1"/>
  <c r="K310" i="1"/>
  <c r="I309" i="1"/>
  <c r="K308" i="1"/>
  <c r="I307" i="1"/>
  <c r="K306" i="1"/>
  <c r="I305" i="1"/>
  <c r="K304" i="1"/>
  <c r="I303" i="1"/>
  <c r="K302" i="1"/>
  <c r="H301" i="1"/>
  <c r="K299" i="1"/>
  <c r="K297" i="1"/>
  <c r="K295" i="1"/>
  <c r="I286" i="1"/>
  <c r="I282" i="1"/>
  <c r="I278" i="1"/>
  <c r="H272" i="1"/>
  <c r="K262" i="1"/>
  <c r="K258" i="1"/>
  <c r="K254" i="1"/>
  <c r="H247" i="1"/>
  <c r="K237" i="1"/>
  <c r="K233" i="1"/>
  <c r="H224" i="1"/>
  <c r="K210" i="1"/>
  <c r="K1654" i="1"/>
  <c r="I1754" i="1"/>
  <c r="K349" i="1"/>
  <c r="I348" i="1"/>
  <c r="K347" i="1"/>
  <c r="I346" i="1"/>
  <c r="K345" i="1"/>
  <c r="I344" i="1"/>
  <c r="K343" i="1"/>
  <c r="I342" i="1"/>
  <c r="K341" i="1"/>
  <c r="I340" i="1"/>
  <c r="K339" i="1"/>
  <c r="I338" i="1"/>
  <c r="H336" i="1"/>
  <c r="H334" i="1"/>
  <c r="H332" i="1"/>
  <c r="H330" i="1"/>
  <c r="H328" i="1"/>
  <c r="H326" i="1"/>
  <c r="I325" i="1"/>
  <c r="K324" i="1"/>
  <c r="I323" i="1"/>
  <c r="K322" i="1"/>
  <c r="I321" i="1"/>
  <c r="K320" i="1"/>
  <c r="I319" i="1"/>
  <c r="K318" i="1"/>
  <c r="I317" i="1"/>
  <c r="K316" i="1"/>
  <c r="I315" i="1"/>
  <c r="K314" i="1"/>
  <c r="H313" i="1"/>
  <c r="H311" i="1"/>
  <c r="H309" i="1"/>
  <c r="H307" i="1"/>
  <c r="H305" i="1"/>
  <c r="H303" i="1"/>
  <c r="K301" i="1"/>
  <c r="I300" i="1"/>
  <c r="I298" i="1"/>
  <c r="I296" i="1"/>
  <c r="K287" i="1"/>
  <c r="K283" i="1"/>
  <c r="K279" i="1"/>
  <c r="H274" i="1"/>
  <c r="H266" i="1"/>
  <c r="I263" i="1"/>
  <c r="I259" i="1"/>
  <c r="I255" i="1"/>
  <c r="H249" i="1"/>
  <c r="H199" i="1"/>
  <c r="I187" i="1"/>
  <c r="K1057" i="1"/>
  <c r="I1547" i="1"/>
  <c r="I1553" i="1"/>
  <c r="I1559" i="1"/>
  <c r="I1577" i="1"/>
  <c r="I1586" i="1"/>
  <c r="I1592" i="1"/>
  <c r="I1613" i="1"/>
  <c r="I1619" i="1"/>
  <c r="I1625" i="1"/>
  <c r="I1628" i="1"/>
  <c r="I1652" i="1"/>
  <c r="K1659" i="1"/>
  <c r="K1662" i="1"/>
  <c r="K1683" i="1"/>
  <c r="K1692" i="1"/>
  <c r="K1710" i="1"/>
  <c r="K1716" i="1"/>
  <c r="K1740" i="1"/>
  <c r="K1746" i="1"/>
  <c r="K1758" i="1"/>
  <c r="K1773" i="1"/>
  <c r="K1779" i="1"/>
  <c r="I1800" i="1"/>
  <c r="K1805" i="1"/>
  <c r="I1815" i="1"/>
  <c r="I1845" i="1"/>
  <c r="I1851" i="1"/>
  <c r="C1799" i="1"/>
  <c r="I1799" i="1" s="1"/>
  <c r="K861" i="1"/>
  <c r="K691" i="1"/>
  <c r="K1621" i="1"/>
  <c r="K1517" i="1"/>
  <c r="K1429" i="1"/>
  <c r="K1820" i="1"/>
  <c r="K1684" i="1"/>
  <c r="K1564" i="1"/>
  <c r="K1476" i="1"/>
  <c r="K1859" i="1"/>
  <c r="K1681" i="1"/>
  <c r="K1528" i="1"/>
  <c r="K1400" i="1"/>
  <c r="K1296" i="1"/>
  <c r="K1195" i="1"/>
  <c r="K1114" i="1"/>
  <c r="K1026" i="1"/>
  <c r="K1819" i="1"/>
  <c r="K1655" i="1"/>
  <c r="K1527" i="1"/>
  <c r="K1424" i="1"/>
  <c r="K1340" i="1"/>
  <c r="K1267" i="1"/>
  <c r="K1194" i="1"/>
  <c r="K1807" i="1"/>
  <c r="K1626" i="1"/>
  <c r="K1512" i="1"/>
  <c r="K1409" i="1"/>
  <c r="K1330" i="1"/>
  <c r="K1257" i="1"/>
  <c r="K1184" i="1"/>
  <c r="K1120" i="1"/>
  <c r="K1056" i="1"/>
  <c r="K1008" i="1"/>
  <c r="K1856" i="1"/>
  <c r="K1753" i="1"/>
  <c r="K1650" i="1"/>
  <c r="K1530" i="1"/>
  <c r="K1447" i="1"/>
  <c r="K1372" i="1"/>
  <c r="K1315" i="1"/>
  <c r="K1255" i="1"/>
  <c r="K1197" i="1"/>
  <c r="K1148" i="1"/>
  <c r="K1105" i="1"/>
  <c r="K1062" i="1"/>
  <c r="K1020" i="1"/>
  <c r="K977" i="1"/>
  <c r="K944" i="1"/>
  <c r="K912" i="1"/>
  <c r="K880" i="1"/>
  <c r="K848" i="1"/>
  <c r="K816" i="1"/>
  <c r="K784" i="1"/>
  <c r="K752" i="1"/>
  <c r="K720" i="1"/>
  <c r="K688" i="1"/>
  <c r="K656" i="1"/>
  <c r="K624" i="1"/>
  <c r="K592" i="1"/>
  <c r="K560" i="1"/>
  <c r="K528" i="1"/>
  <c r="K496" i="1"/>
  <c r="K464" i="1"/>
  <c r="K432" i="1"/>
  <c r="K1855" i="1"/>
  <c r="K1735" i="1"/>
  <c r="K1609" i="1"/>
  <c r="K1506" i="1"/>
  <c r="K1426" i="1"/>
  <c r="K1355" i="1"/>
  <c r="K1298" i="1"/>
  <c r="K1237" i="1"/>
  <c r="K1181" i="1"/>
  <c r="K1135" i="1"/>
  <c r="K1093" i="1"/>
  <c r="K1051" i="1"/>
  <c r="K1007" i="1"/>
  <c r="K967" i="1"/>
  <c r="K935" i="1"/>
  <c r="K903" i="1"/>
  <c r="K871" i="1"/>
  <c r="K839" i="1"/>
  <c r="K807" i="1"/>
  <c r="K775" i="1"/>
  <c r="K1851" i="1"/>
  <c r="K1771" i="1"/>
  <c r="K1648" i="1"/>
  <c r="K1522" i="1"/>
  <c r="K1442" i="1"/>
  <c r="K1370" i="1"/>
  <c r="K1309" i="1"/>
  <c r="K1252" i="1"/>
  <c r="K1192" i="1"/>
  <c r="K1145" i="1"/>
  <c r="K1102" i="1"/>
  <c r="K1060" i="1"/>
  <c r="K1017" i="1"/>
  <c r="K975" i="1"/>
  <c r="K942" i="1"/>
  <c r="K910" i="1"/>
  <c r="K878" i="1"/>
  <c r="K846" i="1"/>
  <c r="K814" i="1"/>
  <c r="K782" i="1"/>
  <c r="K750" i="1"/>
  <c r="K718" i="1"/>
  <c r="K686" i="1"/>
  <c r="K654" i="1"/>
  <c r="K622" i="1"/>
  <c r="K590" i="1"/>
  <c r="K558" i="1"/>
  <c r="K526" i="1"/>
  <c r="K494" i="1"/>
  <c r="K462" i="1"/>
  <c r="K430" i="1"/>
  <c r="K1687" i="1"/>
  <c r="K1521" i="1"/>
  <c r="K1394" i="1"/>
  <c r="K1300" i="1"/>
  <c r="K1205" i="1"/>
  <c r="K1129" i="1"/>
  <c r="K1059" i="1"/>
  <c r="K991" i="1"/>
  <c r="K937" i="1"/>
  <c r="K884" i="1"/>
  <c r="K834" i="1"/>
  <c r="K781" i="1"/>
  <c r="K733" i="1"/>
  <c r="K669" i="1"/>
  <c r="K627" i="1"/>
  <c r="K585" i="1"/>
  <c r="K541" i="1"/>
  <c r="K499" i="1"/>
  <c r="K457" i="1"/>
  <c r="K415" i="1"/>
  <c r="K382" i="1"/>
  <c r="K350" i="1"/>
  <c r="I1843" i="1"/>
  <c r="I1803" i="1"/>
  <c r="I1755" i="1"/>
  <c r="I1707" i="1"/>
  <c r="I1659" i="1"/>
  <c r="I1627" i="1"/>
  <c r="K1817" i="1"/>
  <c r="K1584" i="1"/>
  <c r="K1456" i="1"/>
  <c r="K1345" i="1"/>
  <c r="K1247" i="1"/>
  <c r="K1161" i="1"/>
  <c r="K1091" i="1"/>
  <c r="K1023" i="1"/>
  <c r="K961" i="1"/>
  <c r="K908" i="1"/>
  <c r="K858" i="1"/>
  <c r="K805" i="1"/>
  <c r="K755" i="1"/>
  <c r="K711" i="1"/>
  <c r="K668" i="1"/>
  <c r="K626" i="1"/>
  <c r="K583" i="1"/>
  <c r="K540" i="1"/>
  <c r="K498" i="1"/>
  <c r="K455" i="1"/>
  <c r="K414" i="1"/>
  <c r="K381" i="1"/>
  <c r="I1858" i="1"/>
  <c r="I1786" i="1"/>
  <c r="K1778" i="1"/>
  <c r="K1618" i="1"/>
  <c r="K1455" i="1"/>
  <c r="K1337" i="1"/>
  <c r="K1245" i="1"/>
  <c r="K1159" i="1"/>
  <c r="K1089" i="1"/>
  <c r="K1022" i="1"/>
  <c r="K957" i="1"/>
  <c r="K907" i="1"/>
  <c r="K857" i="1"/>
  <c r="K804" i="1"/>
  <c r="K754" i="1"/>
  <c r="K709" i="1"/>
  <c r="K667" i="1"/>
  <c r="K625" i="1"/>
  <c r="K581" i="1"/>
  <c r="K539" i="1"/>
  <c r="K497" i="1"/>
  <c r="K453" i="1"/>
  <c r="K413" i="1"/>
  <c r="K380" i="1"/>
  <c r="I1793" i="1"/>
  <c r="I1761" i="1"/>
  <c r="I1713" i="1"/>
  <c r="I1665" i="1"/>
  <c r="K1800" i="1"/>
  <c r="K1579" i="1"/>
  <c r="K1379" i="1"/>
  <c r="K1233" i="1"/>
  <c r="K1101" i="1"/>
  <c r="K995" i="1"/>
  <c r="K1597" i="1"/>
  <c r="K1501" i="1"/>
  <c r="K1421" i="1"/>
  <c r="K1812" i="1"/>
  <c r="K1660" i="1"/>
  <c r="K1556" i="1"/>
  <c r="K1468" i="1"/>
  <c r="K1834" i="1"/>
  <c r="K1667" i="1"/>
  <c r="K1514" i="1"/>
  <c r="K1378" i="1"/>
  <c r="K1287" i="1"/>
  <c r="K1186" i="1"/>
  <c r="K1098" i="1"/>
  <c r="K1018" i="1"/>
  <c r="K1794" i="1"/>
  <c r="K1641" i="1"/>
  <c r="K1513" i="1"/>
  <c r="K1410" i="1"/>
  <c r="K1331" i="1"/>
  <c r="K1258" i="1"/>
  <c r="K1185" i="1"/>
  <c r="K1768" i="1"/>
  <c r="K1615" i="1"/>
  <c r="K1498" i="1"/>
  <c r="K1396" i="1"/>
  <c r="K1321" i="1"/>
  <c r="K1248" i="1"/>
  <c r="K1176" i="1"/>
  <c r="K1112" i="1"/>
  <c r="K1048" i="1"/>
  <c r="K1000" i="1"/>
  <c r="K1839" i="1"/>
  <c r="K1736" i="1"/>
  <c r="K1633" i="1"/>
  <c r="K1507" i="1"/>
  <c r="K1427" i="1"/>
  <c r="K1356" i="1"/>
  <c r="K1299" i="1"/>
  <c r="K1242" i="1"/>
  <c r="K1182" i="1"/>
  <c r="K1137" i="1"/>
  <c r="K1094" i="1"/>
  <c r="K1052" i="1"/>
  <c r="K1009" i="1"/>
  <c r="K968" i="1"/>
  <c r="K936" i="1"/>
  <c r="K904" i="1"/>
  <c r="K872" i="1"/>
  <c r="K840" i="1"/>
  <c r="K808" i="1"/>
  <c r="K776" i="1"/>
  <c r="K744" i="1"/>
  <c r="K712" i="1"/>
  <c r="K680" i="1"/>
  <c r="K648" i="1"/>
  <c r="K616" i="1"/>
  <c r="K584" i="1"/>
  <c r="K552" i="1"/>
  <c r="K520" i="1"/>
  <c r="K488" i="1"/>
  <c r="K456" i="1"/>
  <c r="K424" i="1"/>
  <c r="K1815" i="1"/>
  <c r="K1712" i="1"/>
  <c r="K1569" i="1"/>
  <c r="K1483" i="1"/>
  <c r="K1403" i="1"/>
  <c r="K1343" i="1"/>
  <c r="K1282" i="1"/>
  <c r="K1225" i="1"/>
  <c r="K1167" i="1"/>
  <c r="K1125" i="1"/>
  <c r="K1083" i="1"/>
  <c r="K1039" i="1"/>
  <c r="K997" i="1"/>
  <c r="K959" i="1"/>
  <c r="K927" i="1"/>
  <c r="K895" i="1"/>
  <c r="K863" i="1"/>
  <c r="K831" i="1"/>
  <c r="K799" i="1"/>
  <c r="K767" i="1"/>
  <c r="K1831" i="1"/>
  <c r="K1751" i="1"/>
  <c r="K1608" i="1"/>
  <c r="K1505" i="1"/>
  <c r="K1419" i="1"/>
  <c r="K1354" i="1"/>
  <c r="K1297" i="1"/>
  <c r="K1236" i="1"/>
  <c r="K1180" i="1"/>
  <c r="K1134" i="1"/>
  <c r="K1092" i="1"/>
  <c r="K1049" i="1"/>
  <c r="K1006" i="1"/>
  <c r="K966" i="1"/>
  <c r="K934" i="1"/>
  <c r="K902" i="1"/>
  <c r="K870" i="1"/>
  <c r="K838" i="1"/>
  <c r="K806" i="1"/>
  <c r="K774" i="1"/>
  <c r="K742" i="1"/>
  <c r="K710" i="1"/>
  <c r="K678" i="1"/>
  <c r="K646" i="1"/>
  <c r="K614" i="1"/>
  <c r="K582" i="1"/>
  <c r="K550" i="1"/>
  <c r="K518" i="1"/>
  <c r="K486" i="1"/>
  <c r="K454" i="1"/>
  <c r="K1824" i="1"/>
  <c r="K1658" i="1"/>
  <c r="K1495" i="1"/>
  <c r="K1365" i="1"/>
  <c r="K1274" i="1"/>
  <c r="K1183" i="1"/>
  <c r="K1110" i="1"/>
  <c r="K1044" i="1"/>
  <c r="K974" i="1"/>
  <c r="K923" i="1"/>
  <c r="K873" i="1"/>
  <c r="K820" i="1"/>
  <c r="K770" i="1"/>
  <c r="K723" i="1"/>
  <c r="K701" i="1"/>
  <c r="K659" i="1"/>
  <c r="K617" i="1"/>
  <c r="K573" i="1"/>
  <c r="K531" i="1"/>
  <c r="K489" i="1"/>
  <c r="K445" i="1"/>
  <c r="K406" i="1"/>
  <c r="K374" i="1"/>
  <c r="I1835" i="1"/>
  <c r="I1795" i="1"/>
  <c r="I1747" i="1"/>
  <c r="I1699" i="1"/>
  <c r="I1651" i="1"/>
  <c r="I1611" i="1"/>
  <c r="K1747" i="1"/>
  <c r="K1555" i="1"/>
  <c r="K1418" i="1"/>
  <c r="K1319" i="1"/>
  <c r="K1227" i="1"/>
  <c r="K1142" i="1"/>
  <c r="K1076" i="1"/>
  <c r="K1005" i="1"/>
  <c r="K947" i="1"/>
  <c r="K897" i="1"/>
  <c r="K844" i="1"/>
  <c r="K794" i="1"/>
  <c r="K743" i="1"/>
  <c r="K700" i="1"/>
  <c r="K658" i="1"/>
  <c r="K615" i="1"/>
  <c r="K572" i="1"/>
  <c r="K530" i="1"/>
  <c r="K487" i="1"/>
  <c r="K444" i="1"/>
  <c r="K405" i="1"/>
  <c r="K373" i="1"/>
  <c r="I1850" i="1"/>
  <c r="I1810" i="1"/>
  <c r="I1770" i="1"/>
  <c r="K1714" i="1"/>
  <c r="K1554" i="1"/>
  <c r="K1417" i="1"/>
  <c r="K1317" i="1"/>
  <c r="K1219" i="1"/>
  <c r="K1141" i="1"/>
  <c r="K1075" i="1"/>
  <c r="K1004" i="1"/>
  <c r="K946" i="1"/>
  <c r="K893" i="1"/>
  <c r="K843" i="1"/>
  <c r="K793" i="1"/>
  <c r="K741" i="1"/>
  <c r="K699" i="1"/>
  <c r="K657" i="1"/>
  <c r="K613" i="1"/>
  <c r="K571" i="1"/>
  <c r="K529" i="1"/>
  <c r="K485" i="1"/>
  <c r="K443" i="1"/>
  <c r="K404" i="1"/>
  <c r="K372" i="1"/>
  <c r="I1825" i="1"/>
  <c r="I1785" i="1"/>
  <c r="I1753" i="1"/>
  <c r="I1705" i="1"/>
  <c r="I1657" i="1"/>
  <c r="K1738" i="1"/>
  <c r="K1535" i="1"/>
  <c r="K1336" i="1"/>
  <c r="K1189" i="1"/>
  <c r="K1078" i="1"/>
  <c r="K969" i="1"/>
  <c r="K1461" i="1"/>
  <c r="K1732" i="1"/>
  <c r="K1508" i="1"/>
  <c r="K1759" i="1"/>
  <c r="K1450" i="1"/>
  <c r="K1232" i="1"/>
  <c r="K1058" i="1"/>
  <c r="K1705" i="1"/>
  <c r="K1463" i="1"/>
  <c r="K1295" i="1"/>
  <c r="K1843" i="1"/>
  <c r="K1551" i="1"/>
  <c r="K1357" i="1"/>
  <c r="K1211" i="1"/>
  <c r="K1080" i="1"/>
  <c r="K984" i="1"/>
  <c r="K1673" i="1"/>
  <c r="K1467" i="1"/>
  <c r="K1328" i="1"/>
  <c r="K1210" i="1"/>
  <c r="K1116" i="1"/>
  <c r="K1030" i="1"/>
  <c r="K952" i="1"/>
  <c r="K888" i="1"/>
  <c r="K824" i="1"/>
  <c r="K760" i="1"/>
  <c r="K696" i="1"/>
  <c r="K632" i="1"/>
  <c r="K568" i="1"/>
  <c r="K504" i="1"/>
  <c r="K440" i="1"/>
  <c r="K1775" i="1"/>
  <c r="K1529" i="1"/>
  <c r="K1371" i="1"/>
  <c r="K1253" i="1"/>
  <c r="K1147" i="1"/>
  <c r="K1061" i="1"/>
  <c r="K976" i="1"/>
  <c r="K911" i="1"/>
  <c r="K847" i="1"/>
  <c r="K783" i="1"/>
  <c r="K1545" i="1"/>
  <c r="K1384" i="1"/>
  <c r="K1265" i="1"/>
  <c r="K1156" i="1"/>
  <c r="K1070" i="1"/>
  <c r="K985" i="1"/>
  <c r="K918" i="1"/>
  <c r="K854" i="1"/>
  <c r="K790" i="1"/>
  <c r="K726" i="1"/>
  <c r="K662" i="1"/>
  <c r="K598" i="1"/>
  <c r="K534" i="1"/>
  <c r="K470" i="1"/>
  <c r="K1760" i="1"/>
  <c r="K1431" i="1"/>
  <c r="K1228" i="1"/>
  <c r="K1077" i="1"/>
  <c r="K948" i="1"/>
  <c r="K845" i="1"/>
  <c r="K745" i="1"/>
  <c r="K681" i="1"/>
  <c r="K595" i="1"/>
  <c r="K509" i="1"/>
  <c r="K425" i="1"/>
  <c r="K358" i="1"/>
  <c r="I1811" i="1"/>
  <c r="I1723" i="1"/>
  <c r="I1635" i="1"/>
  <c r="K1657" i="1"/>
  <c r="K1364" i="1"/>
  <c r="K1179" i="1"/>
  <c r="K1043" i="1"/>
  <c r="K922" i="1"/>
  <c r="K819" i="1"/>
  <c r="K722" i="1"/>
  <c r="K636" i="1"/>
  <c r="K551" i="1"/>
  <c r="K466" i="1"/>
  <c r="K389" i="1"/>
  <c r="I1794" i="1"/>
  <c r="K1647" i="1"/>
  <c r="K1363" i="1"/>
  <c r="K1175" i="1"/>
  <c r="K1037" i="1"/>
  <c r="K921" i="1"/>
  <c r="K818" i="1"/>
  <c r="K721" i="1"/>
  <c r="K635" i="1"/>
  <c r="K549" i="1"/>
  <c r="K465" i="1"/>
  <c r="K388" i="1"/>
  <c r="I1801" i="1"/>
  <c r="I1729" i="1"/>
  <c r="I1633" i="1"/>
  <c r="K1432" i="1"/>
  <c r="K1132" i="1"/>
  <c r="K929" i="1"/>
  <c r="K849" i="1"/>
  <c r="K763" i="1"/>
  <c r="K693" i="1"/>
  <c r="K623" i="1"/>
  <c r="K556" i="1"/>
  <c r="K490" i="1"/>
  <c r="K420" i="1"/>
  <c r="K368" i="1"/>
  <c r="I1792" i="1"/>
  <c r="I1735" i="1"/>
  <c r="I1671" i="1"/>
  <c r="I1629" i="1"/>
  <c r="I1560" i="1"/>
  <c r="I1528" i="1"/>
  <c r="I1496" i="1"/>
  <c r="I1464" i="1"/>
  <c r="I1432" i="1"/>
  <c r="I1400" i="1"/>
  <c r="I1368" i="1"/>
  <c r="I1336" i="1"/>
  <c r="I1304" i="1"/>
  <c r="I1272" i="1"/>
  <c r="I1240" i="1"/>
  <c r="I1208" i="1"/>
  <c r="I1176" i="1"/>
  <c r="K1675" i="1"/>
  <c r="K1416" i="1"/>
  <c r="K1261" i="1"/>
  <c r="K1131" i="1"/>
  <c r="K1015" i="1"/>
  <c r="K925" i="1"/>
  <c r="K842" i="1"/>
  <c r="K762" i="1"/>
  <c r="K655" i="1"/>
  <c r="K588" i="1"/>
  <c r="K522" i="1"/>
  <c r="K451" i="1"/>
  <c r="K392" i="1"/>
  <c r="I1844" i="1"/>
  <c r="I1791" i="1"/>
  <c r="I1734" i="1"/>
  <c r="I1660" i="1"/>
  <c r="I1609" i="1"/>
  <c r="I1567" i="1"/>
  <c r="I1527" i="1"/>
  <c r="I1495" i="1"/>
  <c r="I1463" i="1"/>
  <c r="I1431" i="1"/>
  <c r="I1399" i="1"/>
  <c r="I1367" i="1"/>
  <c r="I1335" i="1"/>
  <c r="I1303" i="1"/>
  <c r="I1271" i="1"/>
  <c r="K1624" i="1"/>
  <c r="K1415" i="1"/>
  <c r="K1260" i="1"/>
  <c r="K1121" i="1"/>
  <c r="K1014" i="1"/>
  <c r="K924" i="1"/>
  <c r="K841" i="1"/>
  <c r="K761" i="1"/>
  <c r="K687" i="1"/>
  <c r="K620" i="1"/>
  <c r="K554" i="1"/>
  <c r="K483" i="1"/>
  <c r="K418" i="1"/>
  <c r="K363" i="1"/>
  <c r="I1790" i="1"/>
  <c r="I1743" i="1"/>
  <c r="I1690" i="1"/>
  <c r="I1626" i="1"/>
  <c r="I1590" i="1"/>
  <c r="I1510" i="1"/>
  <c r="I1478" i="1"/>
  <c r="I1446" i="1"/>
  <c r="I1414" i="1"/>
  <c r="I1382" i="1"/>
  <c r="I1350" i="1"/>
  <c r="I1318" i="1"/>
  <c r="I1286" i="1"/>
  <c r="I1254" i="1"/>
  <c r="I1222" i="1"/>
  <c r="I1190" i="1"/>
  <c r="I1158" i="1"/>
  <c r="I1126" i="1"/>
  <c r="K1663" i="1"/>
  <c r="K1352" i="1"/>
  <c r="K1119" i="1"/>
  <c r="K955" i="1"/>
  <c r="K827" i="1"/>
  <c r="K703" i="1"/>
  <c r="K596" i="1"/>
  <c r="K482" i="1"/>
  <c r="K385" i="1"/>
  <c r="I1758" i="1"/>
  <c r="I1672" i="1"/>
  <c r="I1593" i="1"/>
  <c r="I1529" i="1"/>
  <c r="I1476" i="1"/>
  <c r="I1426" i="1"/>
  <c r="I1373" i="1"/>
  <c r="I1323" i="1"/>
  <c r="I1273" i="1"/>
  <c r="I1228" i="1"/>
  <c r="I1186" i="1"/>
  <c r="I1146" i="1"/>
  <c r="I1109" i="1"/>
  <c r="I1077" i="1"/>
  <c r="I1045" i="1"/>
  <c r="I1013" i="1"/>
  <c r="I981" i="1"/>
  <c r="I949" i="1"/>
  <c r="I917" i="1"/>
  <c r="I885" i="1"/>
  <c r="I853" i="1"/>
  <c r="I821" i="1"/>
  <c r="I789" i="1"/>
  <c r="I757" i="1"/>
  <c r="I725" i="1"/>
  <c r="I693" i="1"/>
  <c r="I661" i="1"/>
  <c r="I629" i="1"/>
  <c r="I597" i="1"/>
  <c r="I565" i="1"/>
  <c r="I533" i="1"/>
  <c r="I501" i="1"/>
  <c r="I469" i="1"/>
  <c r="I437" i="1"/>
  <c r="K1561" i="1"/>
  <c r="K1280" i="1"/>
  <c r="K1079" i="1"/>
  <c r="K916" i="1"/>
  <c r="K788" i="1"/>
  <c r="K671" i="1"/>
  <c r="K564" i="1"/>
  <c r="K458" i="1"/>
  <c r="K361" i="1"/>
  <c r="I1773" i="1"/>
  <c r="I1704" i="1"/>
  <c r="I1564" i="1"/>
  <c r="I1500" i="1"/>
  <c r="I1450" i="1"/>
  <c r="I1397" i="1"/>
  <c r="K1557" i="1"/>
  <c r="K1389" i="1"/>
  <c r="K1620" i="1"/>
  <c r="K1436" i="1"/>
  <c r="K1603" i="1"/>
  <c r="K1341" i="1"/>
  <c r="K1154" i="1"/>
  <c r="K986" i="1"/>
  <c r="K1591" i="1"/>
  <c r="K1377" i="1"/>
  <c r="K1231" i="1"/>
  <c r="K1715" i="1"/>
  <c r="K1459" i="1"/>
  <c r="K1293" i="1"/>
  <c r="K1152" i="1"/>
  <c r="K1024" i="1"/>
  <c r="K1816" i="1"/>
  <c r="K1593" i="1"/>
  <c r="K1407" i="1"/>
  <c r="K1283" i="1"/>
  <c r="K1171" i="1"/>
  <c r="K1084" i="1"/>
  <c r="K998" i="1"/>
  <c r="K928" i="1"/>
  <c r="K864" i="1"/>
  <c r="K800" i="1"/>
  <c r="K736" i="1"/>
  <c r="K672" i="1"/>
  <c r="K608" i="1"/>
  <c r="K544" i="1"/>
  <c r="K480" i="1"/>
  <c r="K416" i="1"/>
  <c r="K1672" i="1"/>
  <c r="K1466" i="1"/>
  <c r="K1327" i="1"/>
  <c r="K1209" i="1"/>
  <c r="K1115" i="1"/>
  <c r="K1029" i="1"/>
  <c r="K951" i="1"/>
  <c r="K887" i="1"/>
  <c r="K823" i="1"/>
  <c r="K759" i="1"/>
  <c r="K1711" i="1"/>
  <c r="K1482" i="1"/>
  <c r="K1338" i="1"/>
  <c r="K1224" i="1"/>
  <c r="K1124" i="1"/>
  <c r="K1038" i="1"/>
  <c r="K958" i="1"/>
  <c r="K894" i="1"/>
  <c r="K830" i="1"/>
  <c r="K766" i="1"/>
  <c r="K702" i="1"/>
  <c r="K638" i="1"/>
  <c r="K574" i="1"/>
  <c r="K510" i="1"/>
  <c r="K446" i="1"/>
  <c r="K1623" i="1"/>
  <c r="K1346" i="1"/>
  <c r="K1163" i="1"/>
  <c r="K1025" i="1"/>
  <c r="K909" i="1"/>
  <c r="K809" i="1"/>
  <c r="K713" i="1"/>
  <c r="K649" i="1"/>
  <c r="K563" i="1"/>
  <c r="K477" i="1"/>
  <c r="K398" i="1"/>
  <c r="I1779" i="1"/>
  <c r="I1683" i="1"/>
  <c r="I1603" i="1"/>
  <c r="K1520" i="1"/>
  <c r="K1292" i="1"/>
  <c r="K1127" i="1"/>
  <c r="K990" i="1"/>
  <c r="K883" i="1"/>
  <c r="K780" i="1"/>
  <c r="K690" i="1"/>
  <c r="K604" i="1"/>
  <c r="K519" i="1"/>
  <c r="K434" i="1"/>
  <c r="K365" i="1"/>
  <c r="I1834" i="1"/>
  <c r="K1842" i="1"/>
  <c r="K1519" i="1"/>
  <c r="K1291" i="1"/>
  <c r="K1123" i="1"/>
  <c r="K989" i="1"/>
  <c r="K882" i="1"/>
  <c r="K779" i="1"/>
  <c r="K689" i="1"/>
  <c r="K603" i="1"/>
  <c r="K517" i="1"/>
  <c r="K433" i="1"/>
  <c r="K364" i="1"/>
  <c r="I1849" i="1"/>
  <c r="I1777" i="1"/>
  <c r="I1689" i="1"/>
  <c r="K1697" i="1"/>
  <c r="K1306" i="1"/>
  <c r="K1047" i="1"/>
  <c r="K906" i="1"/>
  <c r="K826" i="1"/>
  <c r="K746" i="1"/>
  <c r="K675" i="1"/>
  <c r="K609" i="1"/>
  <c r="K538" i="1"/>
  <c r="K471" i="1"/>
  <c r="K407" i="1"/>
  <c r="K354" i="1"/>
  <c r="I1831" i="1"/>
  <c r="I1781" i="1"/>
  <c r="I1725" i="1"/>
  <c r="I1661" i="1"/>
  <c r="I1620" i="1"/>
  <c r="I1552" i="1"/>
  <c r="I1520" i="1"/>
  <c r="I1488" i="1"/>
  <c r="I1456" i="1"/>
  <c r="I1424" i="1"/>
  <c r="I1392" i="1"/>
  <c r="I1360" i="1"/>
  <c r="I1328" i="1"/>
  <c r="I1296" i="1"/>
  <c r="I1264" i="1"/>
  <c r="I1232" i="1"/>
  <c r="I1200" i="1"/>
  <c r="I1168" i="1"/>
  <c r="K1575" i="1"/>
  <c r="K1375" i="1"/>
  <c r="K1218" i="1"/>
  <c r="K1100" i="1"/>
  <c r="K993" i="1"/>
  <c r="K905" i="1"/>
  <c r="K825" i="1"/>
  <c r="K740" i="1"/>
  <c r="K641" i="1"/>
  <c r="K570" i="1"/>
  <c r="K503" i="1"/>
  <c r="K436" i="1"/>
  <c r="K378" i="1"/>
  <c r="I1780" i="1"/>
  <c r="I1702" i="1"/>
  <c r="I1648" i="1"/>
  <c r="I1600" i="1"/>
  <c r="I1551" i="1"/>
  <c r="I1519" i="1"/>
  <c r="I1487" i="1"/>
  <c r="I1455" i="1"/>
  <c r="I1423" i="1"/>
  <c r="I1391" i="1"/>
  <c r="I1359" i="1"/>
  <c r="I1327" i="1"/>
  <c r="I1295" i="1"/>
  <c r="K1827" i="1"/>
  <c r="K1571" i="1"/>
  <c r="K1373" i="1"/>
  <c r="K1217" i="1"/>
  <c r="K1099" i="1"/>
  <c r="K983" i="1"/>
  <c r="K901" i="1"/>
  <c r="K821" i="1"/>
  <c r="K739" i="1"/>
  <c r="K673" i="1"/>
  <c r="K602" i="1"/>
  <c r="K535" i="1"/>
  <c r="K468" i="1"/>
  <c r="K402" i="1"/>
  <c r="K352" i="1"/>
  <c r="I1840" i="1"/>
  <c r="I1776" i="1"/>
  <c r="I1722" i="1"/>
  <c r="I1669" i="1"/>
  <c r="I1617" i="1"/>
  <c r="I1582" i="1"/>
  <c r="I1534" i="1"/>
  <c r="I1502" i="1"/>
  <c r="I1470" i="1"/>
  <c r="I1438" i="1"/>
  <c r="I1406" i="1"/>
  <c r="I1374" i="1"/>
  <c r="I1342" i="1"/>
  <c r="I1310" i="1"/>
  <c r="I1278" i="1"/>
  <c r="I1246" i="1"/>
  <c r="I1214" i="1"/>
  <c r="I1182" i="1"/>
  <c r="I1150" i="1"/>
  <c r="I1118" i="1"/>
  <c r="K1595" i="1"/>
  <c r="K1288" i="1"/>
  <c r="K1085" i="1"/>
  <c r="K917" i="1"/>
  <c r="K1549" i="1"/>
  <c r="K1860" i="1"/>
  <c r="K1596" i="1"/>
  <c r="K1428" i="1"/>
  <c r="K1578" i="1"/>
  <c r="K1332" i="1"/>
  <c r="K1146" i="1"/>
  <c r="K970" i="1"/>
  <c r="K1563" i="1"/>
  <c r="K1368" i="1"/>
  <c r="K1221" i="1"/>
  <c r="K1690" i="1"/>
  <c r="K1448" i="1"/>
  <c r="K1284" i="1"/>
  <c r="K1144" i="1"/>
  <c r="K1016" i="1"/>
  <c r="K1799" i="1"/>
  <c r="K1570" i="1"/>
  <c r="K1391" i="1"/>
  <c r="K1271" i="1"/>
  <c r="K1158" i="1"/>
  <c r="K1073" i="1"/>
  <c r="K988" i="1"/>
  <c r="K920" i="1"/>
  <c r="K856" i="1"/>
  <c r="K792" i="1"/>
  <c r="K728" i="1"/>
  <c r="K664" i="1"/>
  <c r="K600" i="1"/>
  <c r="K536" i="1"/>
  <c r="K472" i="1"/>
  <c r="K408" i="1"/>
  <c r="K1632" i="1"/>
  <c r="K1443" i="1"/>
  <c r="K1311" i="1"/>
  <c r="K1196" i="1"/>
  <c r="K1103" i="1"/>
  <c r="K1019" i="1"/>
  <c r="K943" i="1"/>
  <c r="K879" i="1"/>
  <c r="K815" i="1"/>
  <c r="K751" i="1"/>
  <c r="K1688" i="1"/>
  <c r="K1465" i="1"/>
  <c r="K1325" i="1"/>
  <c r="K1208" i="1"/>
  <c r="K1113" i="1"/>
  <c r="K1028" i="1"/>
  <c r="K950" i="1"/>
  <c r="K886" i="1"/>
  <c r="K822" i="1"/>
  <c r="K758" i="1"/>
  <c r="K694" i="1"/>
  <c r="K630" i="1"/>
  <c r="K566" i="1"/>
  <c r="K502" i="1"/>
  <c r="K438" i="1"/>
  <c r="K1594" i="1"/>
  <c r="K1320" i="1"/>
  <c r="K1143" i="1"/>
  <c r="K1011" i="1"/>
  <c r="K898" i="1"/>
  <c r="K795" i="1"/>
  <c r="K637" i="1"/>
  <c r="K553" i="1"/>
  <c r="K467" i="1"/>
  <c r="K390" i="1"/>
  <c r="I1771" i="1"/>
  <c r="I1675" i="1"/>
  <c r="K1849" i="1"/>
  <c r="K1491" i="1"/>
  <c r="K1273" i="1"/>
  <c r="K1109" i="1"/>
  <c r="K973" i="1"/>
  <c r="K869" i="1"/>
  <c r="K769" i="1"/>
  <c r="K679" i="1"/>
  <c r="K594" i="1"/>
  <c r="K508" i="1"/>
  <c r="K423" i="1"/>
  <c r="K357" i="1"/>
  <c r="I1826" i="1"/>
  <c r="K1810" i="1"/>
  <c r="K1481" i="1"/>
  <c r="K1272" i="1"/>
  <c r="K1108" i="1"/>
  <c r="K972" i="1"/>
  <c r="K868" i="1"/>
  <c r="K765" i="1"/>
  <c r="K677" i="1"/>
  <c r="K593" i="1"/>
  <c r="K507" i="1"/>
  <c r="K422" i="1"/>
  <c r="K356" i="1"/>
  <c r="I1841" i="1"/>
  <c r="I1769" i="1"/>
  <c r="I1681" i="1"/>
  <c r="K1635" i="1"/>
  <c r="K1263" i="1"/>
  <c r="K1021" i="1"/>
  <c r="K889" i="1"/>
  <c r="K803" i="1"/>
  <c r="K727" i="1"/>
  <c r="K660" i="1"/>
  <c r="K589" i="1"/>
  <c r="K523" i="1"/>
  <c r="K452" i="1"/>
  <c r="K393" i="1"/>
  <c r="I1820" i="1"/>
  <c r="I1767" i="1"/>
  <c r="I1714" i="1"/>
  <c r="I1650" i="1"/>
  <c r="I1584" i="1"/>
  <c r="I1544" i="1"/>
  <c r="I1512" i="1"/>
  <c r="I1480" i="1"/>
  <c r="I1448" i="1"/>
  <c r="I1416" i="1"/>
  <c r="I1384" i="1"/>
  <c r="I1352" i="1"/>
  <c r="I1320" i="1"/>
  <c r="I1288" i="1"/>
  <c r="I1256" i="1"/>
  <c r="I1224" i="1"/>
  <c r="I1192" i="1"/>
  <c r="K1840" i="1"/>
  <c r="K1531" i="1"/>
  <c r="K1335" i="1"/>
  <c r="K1188" i="1"/>
  <c r="K1069" i="1"/>
  <c r="K965" i="1"/>
  <c r="K885" i="1"/>
  <c r="K802" i="1"/>
  <c r="K725" i="1"/>
  <c r="K692" i="1"/>
  <c r="K621" i="1"/>
  <c r="K555" i="1"/>
  <c r="K484" i="1"/>
  <c r="K419" i="1"/>
  <c r="K367" i="1"/>
  <c r="I1816" i="1"/>
  <c r="I1756" i="1"/>
  <c r="I1692" i="1"/>
  <c r="I1638" i="1"/>
  <c r="I1591" i="1"/>
  <c r="I1543" i="1"/>
  <c r="I1511" i="1"/>
  <c r="I1479" i="1"/>
  <c r="I1447" i="1"/>
  <c r="I1415" i="1"/>
  <c r="I1383" i="1"/>
  <c r="I1351" i="1"/>
  <c r="I1319" i="1"/>
  <c r="I1287" i="1"/>
  <c r="K1777" i="1"/>
  <c r="K1515" i="1"/>
  <c r="K1333" i="1"/>
  <c r="K1187" i="1"/>
  <c r="K1068" i="1"/>
  <c r="K964" i="1"/>
  <c r="K881" i="1"/>
  <c r="K801" i="1"/>
  <c r="K724" i="1"/>
  <c r="K653" i="1"/>
  <c r="K587" i="1"/>
  <c r="K516" i="1"/>
  <c r="K450" i="1"/>
  <c r="K391" i="1"/>
  <c r="I1829" i="1"/>
  <c r="I1765" i="1"/>
  <c r="I1711" i="1"/>
  <c r="I1658" i="1"/>
  <c r="I1608" i="1"/>
  <c r="I1566" i="1"/>
  <c r="I1526" i="1"/>
  <c r="I1494" i="1"/>
  <c r="I1462" i="1"/>
  <c r="I1430" i="1"/>
  <c r="I1398" i="1"/>
  <c r="I1366" i="1"/>
  <c r="I1334" i="1"/>
  <c r="I1302" i="1"/>
  <c r="I1270" i="1"/>
  <c r="I1238" i="1"/>
  <c r="I1206" i="1"/>
  <c r="I1174" i="1"/>
  <c r="I1142" i="1"/>
  <c r="I1110" i="1"/>
  <c r="K1497" i="1"/>
  <c r="K1234" i="1"/>
  <c r="K1035" i="1"/>
  <c r="K891" i="1"/>
  <c r="K757" i="1"/>
  <c r="K650" i="1"/>
  <c r="K543" i="1"/>
  <c r="K428" i="1"/>
  <c r="I1814" i="1"/>
  <c r="I1720" i="1"/>
  <c r="I1636" i="1"/>
  <c r="I1554" i="1"/>
  <c r="I1501" i="1"/>
  <c r="I1451" i="1"/>
  <c r="I1401" i="1"/>
  <c r="I1348" i="1"/>
  <c r="I1298" i="1"/>
  <c r="I1250" i="1"/>
  <c r="I1207" i="1"/>
  <c r="I1164" i="1"/>
  <c r="I1128" i="1"/>
  <c r="I1093" i="1"/>
  <c r="I1061" i="1"/>
  <c r="I1029" i="1"/>
  <c r="I997" i="1"/>
  <c r="I965" i="1"/>
  <c r="I933" i="1"/>
  <c r="I901" i="1"/>
  <c r="I869" i="1"/>
  <c r="I837" i="1"/>
  <c r="I805" i="1"/>
  <c r="I773" i="1"/>
  <c r="I741" i="1"/>
  <c r="I709" i="1"/>
  <c r="I677" i="1"/>
  <c r="I645" i="1"/>
  <c r="I613" i="1"/>
  <c r="I581" i="1"/>
  <c r="I549" i="1"/>
  <c r="I517" i="1"/>
  <c r="I485" i="1"/>
  <c r="I453" i="1"/>
  <c r="K1825" i="1"/>
  <c r="K1401" i="1"/>
  <c r="K1165" i="1"/>
  <c r="K982" i="1"/>
  <c r="K852" i="1"/>
  <c r="K729" i="1"/>
  <c r="K618" i="1"/>
  <c r="K511" i="1"/>
  <c r="K401" i="1"/>
  <c r="I1853" i="1"/>
  <c r="I1738" i="1"/>
  <c r="I1668" i="1"/>
  <c r="I1605" i="1"/>
  <c r="I1525" i="1"/>
  <c r="I1475" i="1"/>
  <c r="I1425" i="1"/>
  <c r="K1469" i="1"/>
  <c r="K1464" i="1"/>
  <c r="K1474" i="1"/>
  <c r="K1367" i="1"/>
  <c r="K1696" i="1"/>
  <c r="K1126" i="1"/>
  <c r="K832" i="1"/>
  <c r="K576" i="1"/>
  <c r="K1546" i="1"/>
  <c r="K1071" i="1"/>
  <c r="K791" i="1"/>
  <c r="K1281" i="1"/>
  <c r="K926" i="1"/>
  <c r="K670" i="1"/>
  <c r="K1786" i="1"/>
  <c r="K962" i="1"/>
  <c r="K605" i="1"/>
  <c r="K1721" i="1"/>
  <c r="K933" i="1"/>
  <c r="K562" i="1"/>
  <c r="K1200" i="1"/>
  <c r="K731" i="1"/>
  <c r="K396" i="1"/>
  <c r="I1737" i="1"/>
  <c r="K949" i="1"/>
  <c r="K642" i="1"/>
  <c r="K379" i="1"/>
  <c r="I1806" i="1"/>
  <c r="I1576" i="1"/>
  <c r="I1440" i="1"/>
  <c r="I1312" i="1"/>
  <c r="I1184" i="1"/>
  <c r="K1153" i="1"/>
  <c r="K785" i="1"/>
  <c r="K537" i="1"/>
  <c r="I1744" i="1"/>
  <c r="I1535" i="1"/>
  <c r="I1407" i="1"/>
  <c r="I1279" i="1"/>
  <c r="K1151" i="1"/>
  <c r="K778" i="1"/>
  <c r="K501" i="1"/>
  <c r="I1701" i="1"/>
  <c r="I1518" i="1"/>
  <c r="I1390" i="1"/>
  <c r="I1262" i="1"/>
  <c r="I1134" i="1"/>
  <c r="K999" i="1"/>
  <c r="K676" i="1"/>
  <c r="K459" i="1"/>
  <c r="I1837" i="1"/>
  <c r="I1654" i="1"/>
  <c r="I1515" i="1"/>
  <c r="I1412" i="1"/>
  <c r="I1309" i="1"/>
  <c r="I1218" i="1"/>
  <c r="I1137" i="1"/>
  <c r="I1069" i="1"/>
  <c r="I1005" i="1"/>
  <c r="I941" i="1"/>
  <c r="I877" i="1"/>
  <c r="I813" i="1"/>
  <c r="I749" i="1"/>
  <c r="I685" i="1"/>
  <c r="I621" i="1"/>
  <c r="I557" i="1"/>
  <c r="I493" i="1"/>
  <c r="I429" i="1"/>
  <c r="K1216" i="1"/>
  <c r="K890" i="1"/>
  <c r="K644" i="1"/>
  <c r="K427" i="1"/>
  <c r="I1752" i="1"/>
  <c r="I1621" i="1"/>
  <c r="I1489" i="1"/>
  <c r="I1386" i="1"/>
  <c r="I1333" i="1"/>
  <c r="I1283" i="1"/>
  <c r="I1237" i="1"/>
  <c r="I1195" i="1"/>
  <c r="I1154" i="1"/>
  <c r="I1117" i="1"/>
  <c r="I1084" i="1"/>
  <c r="I1052" i="1"/>
  <c r="I1020" i="1"/>
  <c r="I988" i="1"/>
  <c r="I956" i="1"/>
  <c r="I924" i="1"/>
  <c r="I892" i="1"/>
  <c r="I860" i="1"/>
  <c r="I828" i="1"/>
  <c r="I796" i="1"/>
  <c r="I764" i="1"/>
  <c r="I732" i="1"/>
  <c r="I700" i="1"/>
  <c r="I668" i="1"/>
  <c r="I636" i="1"/>
  <c r="K1560" i="1"/>
  <c r="K1279" i="1"/>
  <c r="K1067" i="1"/>
  <c r="K915" i="1"/>
  <c r="K787" i="1"/>
  <c r="K666" i="1"/>
  <c r="K559" i="1"/>
  <c r="K449" i="1"/>
  <c r="K360" i="1"/>
  <c r="I1685" i="1"/>
  <c r="I1588" i="1"/>
  <c r="K1433" i="1"/>
  <c r="K1063" i="1"/>
  <c r="K835" i="1"/>
  <c r="K548" i="1"/>
  <c r="K387" i="1"/>
  <c r="I1861" i="1"/>
  <c r="I1677" i="1"/>
  <c r="I1538" i="1"/>
  <c r="I1469" i="1"/>
  <c r="I1403" i="1"/>
  <c r="I1332" i="1"/>
  <c r="I1266" i="1"/>
  <c r="I1210" i="1"/>
  <c r="I1153" i="1"/>
  <c r="I1105" i="1"/>
  <c r="I1063" i="1"/>
  <c r="I1019" i="1"/>
  <c r="I977" i="1"/>
  <c r="I935" i="1"/>
  <c r="I891" i="1"/>
  <c r="I849" i="1"/>
  <c r="I807" i="1"/>
  <c r="I763" i="1"/>
  <c r="I721" i="1"/>
  <c r="I679" i="1"/>
  <c r="I635" i="1"/>
  <c r="I598" i="1"/>
  <c r="I561" i="1"/>
  <c r="I524" i="1"/>
  <c r="I488" i="1"/>
  <c r="I451" i="1"/>
  <c r="I416" i="1"/>
  <c r="I384" i="1"/>
  <c r="I352" i="1"/>
  <c r="H1866" i="1"/>
  <c r="H1834" i="1"/>
  <c r="H1802" i="1"/>
  <c r="H1770" i="1"/>
  <c r="H1738" i="1"/>
  <c r="H1706" i="1"/>
  <c r="H1674" i="1"/>
  <c r="H1642" i="1"/>
  <c r="H1610" i="1"/>
  <c r="H1578" i="1"/>
  <c r="H1546" i="1"/>
  <c r="H1514" i="1"/>
  <c r="H1482" i="1"/>
  <c r="H1450" i="1"/>
  <c r="H1418" i="1"/>
  <c r="H1386" i="1"/>
  <c r="H1354" i="1"/>
  <c r="H1322" i="1"/>
  <c r="H1290" i="1"/>
  <c r="H1258" i="1"/>
  <c r="H1226" i="1"/>
  <c r="H1194" i="1"/>
  <c r="H1162" i="1"/>
  <c r="H1130" i="1"/>
  <c r="H1098" i="1"/>
  <c r="H1066" i="1"/>
  <c r="H1034" i="1"/>
  <c r="H1002" i="1"/>
  <c r="H970" i="1"/>
  <c r="H938" i="1"/>
  <c r="H906" i="1"/>
  <c r="H890" i="1"/>
  <c r="H858" i="1"/>
  <c r="H826" i="1"/>
  <c r="H794" i="1"/>
  <c r="H762" i="1"/>
  <c r="H730" i="1"/>
  <c r="H698" i="1"/>
  <c r="K1536" i="1"/>
  <c r="K1133" i="1"/>
  <c r="K875" i="1"/>
  <c r="K683" i="1"/>
  <c r="K500" i="1"/>
  <c r="K351" i="1"/>
  <c r="I1784" i="1"/>
  <c r="I1645" i="1"/>
  <c r="I1537" i="1"/>
  <c r="I1468" i="1"/>
  <c r="I1402" i="1"/>
  <c r="I1331" i="1"/>
  <c r="I1265" i="1"/>
  <c r="I1209" i="1"/>
  <c r="I1152" i="1"/>
  <c r="I1104" i="1"/>
  <c r="I1062" i="1"/>
  <c r="I1018" i="1"/>
  <c r="I976" i="1"/>
  <c r="I934" i="1"/>
  <c r="I890" i="1"/>
  <c r="I848" i="1"/>
  <c r="I806" i="1"/>
  <c r="I762" i="1"/>
  <c r="I720" i="1"/>
  <c r="I678" i="1"/>
  <c r="I634" i="1"/>
  <c r="I596" i="1"/>
  <c r="I560" i="1"/>
  <c r="I523" i="1"/>
  <c r="I487" i="1"/>
  <c r="I450" i="1"/>
  <c r="I415" i="1"/>
  <c r="I383" i="1"/>
  <c r="I351" i="1"/>
  <c r="H1865" i="1"/>
  <c r="H1833" i="1"/>
  <c r="H1801" i="1"/>
  <c r="H1769" i="1"/>
  <c r="H1737" i="1"/>
  <c r="H1705" i="1"/>
  <c r="H1673" i="1"/>
  <c r="H1641" i="1"/>
  <c r="H1609" i="1"/>
  <c r="H1577" i="1"/>
  <c r="H1545" i="1"/>
  <c r="H1513" i="1"/>
  <c r="H1481" i="1"/>
  <c r="H1449" i="1"/>
  <c r="H1417" i="1"/>
  <c r="H1385" i="1"/>
  <c r="H1353" i="1"/>
  <c r="H1321" i="1"/>
  <c r="K1380" i="1"/>
  <c r="K1053" i="1"/>
  <c r="K812" i="1"/>
  <c r="K631" i="1"/>
  <c r="K460" i="1"/>
  <c r="I1750" i="1"/>
  <c r="I1615" i="1"/>
  <c r="I1533" i="1"/>
  <c r="I1467" i="1"/>
  <c r="I1396" i="1"/>
  <c r="I1330" i="1"/>
  <c r="I1263" i="1"/>
  <c r="I1204" i="1"/>
  <c r="I1151" i="1"/>
  <c r="I1103" i="1"/>
  <c r="I1059" i="1"/>
  <c r="I1017" i="1"/>
  <c r="I975" i="1"/>
  <c r="I931" i="1"/>
  <c r="I889" i="1"/>
  <c r="I847" i="1"/>
  <c r="I803" i="1"/>
  <c r="I761" i="1"/>
  <c r="I719" i="1"/>
  <c r="I675" i="1"/>
  <c r="I633" i="1"/>
  <c r="I595" i="1"/>
  <c r="I559" i="1"/>
  <c r="I522" i="1"/>
  <c r="I486" i="1"/>
  <c r="I449" i="1"/>
  <c r="I414" i="1"/>
  <c r="I382" i="1"/>
  <c r="I350" i="1"/>
  <c r="H1864" i="1"/>
  <c r="H1832" i="1"/>
  <c r="H1800" i="1"/>
  <c r="H1768" i="1"/>
  <c r="H1736" i="1"/>
  <c r="H1704" i="1"/>
  <c r="H1672" i="1"/>
  <c r="H1640" i="1"/>
  <c r="H1608" i="1"/>
  <c r="H1576" i="1"/>
  <c r="H1544" i="1"/>
  <c r="H1512" i="1"/>
  <c r="H1480" i="1"/>
  <c r="H1448" i="1"/>
  <c r="H1416" i="1"/>
  <c r="H1384" i="1"/>
  <c r="H1352" i="1"/>
  <c r="H1320" i="1"/>
  <c r="H1288" i="1"/>
  <c r="H1256" i="1"/>
  <c r="H1224" i="1"/>
  <c r="K1763" i="1"/>
  <c r="K1087" i="1"/>
  <c r="K737" i="1"/>
  <c r="K442" i="1"/>
  <c r="I1642" i="1"/>
  <c r="I1482" i="1"/>
  <c r="I1377" i="1"/>
  <c r="I1267" i="1"/>
  <c r="I1172" i="1"/>
  <c r="I1097" i="1"/>
  <c r="I1026" i="1"/>
  <c r="I960" i="1"/>
  <c r="I894" i="1"/>
  <c r="I823" i="1"/>
  <c r="I755" i="1"/>
  <c r="I686" i="1"/>
  <c r="I619" i="1"/>
  <c r="K1748" i="1"/>
  <c r="K1250" i="1"/>
  <c r="K1304" i="1"/>
  <c r="K1220" i="1"/>
  <c r="K1490" i="1"/>
  <c r="K1041" i="1"/>
  <c r="K768" i="1"/>
  <c r="K512" i="1"/>
  <c r="K1385" i="1"/>
  <c r="K987" i="1"/>
  <c r="K1811" i="1"/>
  <c r="K1166" i="1"/>
  <c r="K862" i="1"/>
  <c r="K606" i="1"/>
  <c r="K1457" i="1"/>
  <c r="K859" i="1"/>
  <c r="K521" i="1"/>
  <c r="I1819" i="1"/>
  <c r="K1393" i="1"/>
  <c r="K833" i="1"/>
  <c r="K476" i="1"/>
  <c r="I1802" i="1"/>
  <c r="K1055" i="1"/>
  <c r="K645" i="1"/>
  <c r="I1641" i="1"/>
  <c r="K866" i="1"/>
  <c r="K575" i="1"/>
  <c r="I1746" i="1"/>
  <c r="I1536" i="1"/>
  <c r="I1408" i="1"/>
  <c r="I1280" i="1"/>
  <c r="K1787" i="1"/>
  <c r="K1046" i="1"/>
  <c r="K707" i="1"/>
  <c r="K469" i="1"/>
  <c r="I1680" i="1"/>
  <c r="I1503" i="1"/>
  <c r="I1375" i="1"/>
  <c r="K1727" i="1"/>
  <c r="K1045" i="1"/>
  <c r="K706" i="1"/>
  <c r="K431" i="1"/>
  <c r="I1647" i="1"/>
  <c r="I1486" i="1"/>
  <c r="I1358" i="1"/>
  <c r="I1230" i="1"/>
  <c r="K1826" i="1"/>
  <c r="K853" i="1"/>
  <c r="K619" i="1"/>
  <c r="K409" i="1"/>
  <c r="I1774" i="1"/>
  <c r="I1606" i="1"/>
  <c r="I1490" i="1"/>
  <c r="I1387" i="1"/>
  <c r="I1284" i="1"/>
  <c r="I1196" i="1"/>
  <c r="I1119" i="1"/>
  <c r="I1053" i="1"/>
  <c r="I989" i="1"/>
  <c r="I925" i="1"/>
  <c r="I861" i="1"/>
  <c r="I797" i="1"/>
  <c r="I733" i="1"/>
  <c r="I669" i="1"/>
  <c r="I605" i="1"/>
  <c r="I541" i="1"/>
  <c r="I477" i="1"/>
  <c r="K1739" i="1"/>
  <c r="K1118" i="1"/>
  <c r="K817" i="1"/>
  <c r="K591" i="1"/>
  <c r="K384" i="1"/>
  <c r="I1719" i="1"/>
  <c r="I1578" i="1"/>
  <c r="I1461" i="1"/>
  <c r="I1372" i="1"/>
  <c r="I1322" i="1"/>
  <c r="I1269" i="1"/>
  <c r="I1227" i="1"/>
  <c r="I1185" i="1"/>
  <c r="I1145" i="1"/>
  <c r="I1108" i="1"/>
  <c r="I1076" i="1"/>
  <c r="I1044" i="1"/>
  <c r="I1012" i="1"/>
  <c r="I980" i="1"/>
  <c r="I948" i="1"/>
  <c r="I916" i="1"/>
  <c r="I884" i="1"/>
  <c r="I852" i="1"/>
  <c r="I820" i="1"/>
  <c r="I788" i="1"/>
  <c r="I756" i="1"/>
  <c r="I724" i="1"/>
  <c r="I692" i="1"/>
  <c r="I660" i="1"/>
  <c r="I628" i="1"/>
  <c r="K1480" i="1"/>
  <c r="K1215" i="1"/>
  <c r="K1031" i="1"/>
  <c r="K877" i="1"/>
  <c r="K749" i="1"/>
  <c r="K643" i="1"/>
  <c r="K532" i="1"/>
  <c r="K426" i="1"/>
  <c r="I1789" i="1"/>
  <c r="I1666" i="1"/>
  <c r="I1563" i="1"/>
  <c r="K1308" i="1"/>
  <c r="K1001" i="1"/>
  <c r="K773" i="1"/>
  <c r="K684" i="1"/>
  <c r="K514" i="1"/>
  <c r="K355" i="1"/>
  <c r="I1823" i="1"/>
  <c r="I1624" i="1"/>
  <c r="I1522" i="1"/>
  <c r="I1453" i="1"/>
  <c r="I1385" i="1"/>
  <c r="I1316" i="1"/>
  <c r="I1252" i="1"/>
  <c r="I1194" i="1"/>
  <c r="I1141" i="1"/>
  <c r="I1095" i="1"/>
  <c r="I1051" i="1"/>
  <c r="I1009" i="1"/>
  <c r="I967" i="1"/>
  <c r="I923" i="1"/>
  <c r="I881" i="1"/>
  <c r="I839" i="1"/>
  <c r="I795" i="1"/>
  <c r="I753" i="1"/>
  <c r="I711" i="1"/>
  <c r="I667" i="1"/>
  <c r="I625" i="1"/>
  <c r="I588" i="1"/>
  <c r="I552" i="1"/>
  <c r="I515" i="1"/>
  <c r="I479" i="1"/>
  <c r="I442" i="1"/>
  <c r="I408" i="1"/>
  <c r="I376" i="1"/>
  <c r="H1858" i="1"/>
  <c r="H1826" i="1"/>
  <c r="H1794" i="1"/>
  <c r="H1762" i="1"/>
  <c r="H1730" i="1"/>
  <c r="H1698" i="1"/>
  <c r="H1666" i="1"/>
  <c r="H1634" i="1"/>
  <c r="H1602" i="1"/>
  <c r="H1570" i="1"/>
  <c r="H1538" i="1"/>
  <c r="H1506" i="1"/>
  <c r="H1474" i="1"/>
  <c r="H1442" i="1"/>
  <c r="H1410" i="1"/>
  <c r="H1378" i="1"/>
  <c r="H1346" i="1"/>
  <c r="H1314" i="1"/>
  <c r="H1282" i="1"/>
  <c r="H1250" i="1"/>
  <c r="H1218" i="1"/>
  <c r="H1186" i="1"/>
  <c r="H1154" i="1"/>
  <c r="H1122" i="1"/>
  <c r="H1090" i="1"/>
  <c r="H1058" i="1"/>
  <c r="H1026" i="1"/>
  <c r="H994" i="1"/>
  <c r="H962" i="1"/>
  <c r="H930" i="1"/>
  <c r="H882" i="1"/>
  <c r="H850" i="1"/>
  <c r="H818" i="1"/>
  <c r="H786" i="1"/>
  <c r="H754" i="1"/>
  <c r="H722" i="1"/>
  <c r="H690" i="1"/>
  <c r="K1383" i="1"/>
  <c r="K1054" i="1"/>
  <c r="K828" i="1"/>
  <c r="K633" i="1"/>
  <c r="K461" i="1"/>
  <c r="I1759" i="1"/>
  <c r="I1623" i="1"/>
  <c r="I1521" i="1"/>
  <c r="I1452" i="1"/>
  <c r="I1381" i="1"/>
  <c r="I1315" i="1"/>
  <c r="I1251" i="1"/>
  <c r="I1193" i="1"/>
  <c r="I1140" i="1"/>
  <c r="I1094" i="1"/>
  <c r="I1050" i="1"/>
  <c r="I1008" i="1"/>
  <c r="I966" i="1"/>
  <c r="I922" i="1"/>
  <c r="I880" i="1"/>
  <c r="I838" i="1"/>
  <c r="I794" i="1"/>
  <c r="I752" i="1"/>
  <c r="I710" i="1"/>
  <c r="I666" i="1"/>
  <c r="I624" i="1"/>
  <c r="I587" i="1"/>
  <c r="I551" i="1"/>
  <c r="I514" i="1"/>
  <c r="I478" i="1"/>
  <c r="I441" i="1"/>
  <c r="I407" i="1"/>
  <c r="I375" i="1"/>
  <c r="H1857" i="1"/>
  <c r="H1825" i="1"/>
  <c r="H1793" i="1"/>
  <c r="H1761" i="1"/>
  <c r="H1729" i="1"/>
  <c r="H1697" i="1"/>
  <c r="H1665" i="1"/>
  <c r="H1633" i="1"/>
  <c r="H1601" i="1"/>
  <c r="H1569" i="1"/>
  <c r="H1537" i="1"/>
  <c r="H1505" i="1"/>
  <c r="H1473" i="1"/>
  <c r="H1441" i="1"/>
  <c r="H1409" i="1"/>
  <c r="H1377" i="1"/>
  <c r="H1345" i="1"/>
  <c r="H1313" i="1"/>
  <c r="K1289" i="1"/>
  <c r="K979" i="1"/>
  <c r="K771" i="1"/>
  <c r="K580" i="1"/>
  <c r="K412" i="1"/>
  <c r="I1696" i="1"/>
  <c r="I1596" i="1"/>
  <c r="I1517" i="1"/>
  <c r="I1449" i="1"/>
  <c r="I1380" i="1"/>
  <c r="I1314" i="1"/>
  <c r="I1247" i="1"/>
  <c r="I1191" i="1"/>
  <c r="I1139" i="1"/>
  <c r="I1091" i="1"/>
  <c r="I1049" i="1"/>
  <c r="I1007" i="1"/>
  <c r="I963" i="1"/>
  <c r="I921" i="1"/>
  <c r="I879" i="1"/>
  <c r="I835" i="1"/>
  <c r="I793" i="1"/>
  <c r="I751" i="1"/>
  <c r="I707" i="1"/>
  <c r="I665" i="1"/>
  <c r="I623" i="1"/>
  <c r="I586" i="1"/>
  <c r="I550" i="1"/>
  <c r="I513" i="1"/>
  <c r="I476" i="1"/>
  <c r="I440" i="1"/>
  <c r="I406" i="1"/>
  <c r="I374" i="1"/>
  <c r="H1856" i="1"/>
  <c r="H1824" i="1"/>
  <c r="H1792" i="1"/>
  <c r="H1760" i="1"/>
  <c r="H1728" i="1"/>
  <c r="H1696" i="1"/>
  <c r="H1664" i="1"/>
  <c r="H1632" i="1"/>
  <c r="H1600" i="1"/>
  <c r="H1568" i="1"/>
  <c r="H1536" i="1"/>
  <c r="H1504" i="1"/>
  <c r="H1472" i="1"/>
  <c r="H1440" i="1"/>
  <c r="H1408" i="1"/>
  <c r="H1376" i="1"/>
  <c r="H1344" i="1"/>
  <c r="H1312" i="1"/>
  <c r="H1280" i="1"/>
  <c r="H1248" i="1"/>
  <c r="H1216" i="1"/>
  <c r="K1599" i="1"/>
  <c r="K971" i="1"/>
  <c r="K661" i="1"/>
  <c r="K394" i="1"/>
  <c r="I1828" i="1"/>
  <c r="I1458" i="1"/>
  <c r="I1345" i="1"/>
  <c r="I1243" i="1"/>
  <c r="I1156" i="1"/>
  <c r="I1079" i="1"/>
  <c r="I1011" i="1"/>
  <c r="I942" i="1"/>
  <c r="I874" i="1"/>
  <c r="I808" i="1"/>
  <c r="I737" i="1"/>
  <c r="I671" i="1"/>
  <c r="I603" i="1"/>
  <c r="I546" i="1"/>
  <c r="I489" i="1"/>
  <c r="I428" i="1"/>
  <c r="I378" i="1"/>
  <c r="H1835" i="1"/>
  <c r="H1782" i="1"/>
  <c r="H1732" i="1"/>
  <c r="H1679" i="1"/>
  <c r="H1629" i="1"/>
  <c r="H1579" i="1"/>
  <c r="H1526" i="1"/>
  <c r="H1476" i="1"/>
  <c r="H1423" i="1"/>
  <c r="H1373" i="1"/>
  <c r="H1323" i="1"/>
  <c r="H1277" i="1"/>
  <c r="H1235" i="1"/>
  <c r="H1192" i="1"/>
  <c r="H1156" i="1"/>
  <c r="H1119" i="1"/>
  <c r="H1083" i="1"/>
  <c r="H1046" i="1"/>
  <c r="H1009" i="1"/>
  <c r="H973" i="1"/>
  <c r="H936" i="1"/>
  <c r="H900" i="1"/>
  <c r="H863" i="1"/>
  <c r="H827" i="1"/>
  <c r="H790" i="1"/>
  <c r="H753" i="1"/>
  <c r="H717" i="1"/>
  <c r="H681" i="1"/>
  <c r="H649" i="1"/>
  <c r="H617" i="1"/>
  <c r="H585" i="1"/>
  <c r="H553" i="1"/>
  <c r="H521" i="1"/>
  <c r="H489" i="1"/>
  <c r="H457" i="1"/>
  <c r="H425" i="1"/>
  <c r="H393" i="1"/>
  <c r="H361" i="1"/>
  <c r="K777" i="1"/>
  <c r="I1716" i="1"/>
  <c r="I1444" i="1"/>
  <c r="I1233" i="1"/>
  <c r="I1074" i="1"/>
  <c r="K1174" i="1"/>
  <c r="K797" i="1"/>
  <c r="K515" i="1"/>
  <c r="I1726" i="1"/>
  <c r="I1532" i="1"/>
  <c r="I1427" i="1"/>
  <c r="I1317" i="1"/>
  <c r="I1215" i="1"/>
  <c r="I1132" i="1"/>
  <c r="I1058" i="1"/>
  <c r="I992" i="1"/>
  <c r="I926" i="1"/>
  <c r="I855" i="1"/>
  <c r="I787" i="1"/>
  <c r="I718" i="1"/>
  <c r="I650" i="1"/>
  <c r="I590" i="1"/>
  <c r="I529" i="1"/>
  <c r="I472" i="1"/>
  <c r="I413" i="1"/>
  <c r="I363" i="1"/>
  <c r="H1820" i="1"/>
  <c r="H1767" i="1"/>
  <c r="H1717" i="1"/>
  <c r="H1667" i="1"/>
  <c r="H1614" i="1"/>
  <c r="H1564" i="1"/>
  <c r="H1511" i="1"/>
  <c r="H1461" i="1"/>
  <c r="H1411" i="1"/>
  <c r="H1358" i="1"/>
  <c r="H1308" i="1"/>
  <c r="H1265" i="1"/>
  <c r="H1222" i="1"/>
  <c r="H1182" i="1"/>
  <c r="H1145" i="1"/>
  <c r="H1109" i="1"/>
  <c r="H1072" i="1"/>
  <c r="H1036" i="1"/>
  <c r="H999" i="1"/>
  <c r="H963" i="1"/>
  <c r="H926" i="1"/>
  <c r="H889" i="1"/>
  <c r="H853" i="1"/>
  <c r="H816" i="1"/>
  <c r="H780" i="1"/>
  <c r="H743" i="1"/>
  <c r="H707" i="1"/>
  <c r="H672" i="1"/>
  <c r="H640" i="1"/>
  <c r="H608" i="1"/>
  <c r="H576" i="1"/>
  <c r="H544" i="1"/>
  <c r="H512" i="1"/>
  <c r="H480" i="1"/>
  <c r="H448" i="1"/>
  <c r="H416" i="1"/>
  <c r="H384" i="1"/>
  <c r="H352" i="1"/>
  <c r="K1458" i="1"/>
  <c r="K567" i="1"/>
  <c r="I1530" i="1"/>
  <c r="I1307" i="1"/>
  <c r="I1124" i="1"/>
  <c r="K1173" i="1"/>
  <c r="K796" i="1"/>
  <c r="K493" i="1"/>
  <c r="I1717" i="1"/>
  <c r="I1531" i="1"/>
  <c r="I1421" i="1"/>
  <c r="I1313" i="1"/>
  <c r="I1213" i="1"/>
  <c r="I1131" i="1"/>
  <c r="I1057" i="1"/>
  <c r="I991" i="1"/>
  <c r="I920" i="1"/>
  <c r="I854" i="1"/>
  <c r="I786" i="1"/>
  <c r="I715" i="1"/>
  <c r="I649" i="1"/>
  <c r="I585" i="1"/>
  <c r="I528" i="1"/>
  <c r="I471" i="1"/>
  <c r="I412" i="1"/>
  <c r="I362" i="1"/>
  <c r="H1819" i="1"/>
  <c r="H1766" i="1"/>
  <c r="H1716" i="1"/>
  <c r="H1663" i="1"/>
  <c r="H1613" i="1"/>
  <c r="H1563" i="1"/>
  <c r="H1510" i="1"/>
  <c r="H1460" i="1"/>
  <c r="H1407" i="1"/>
  <c r="H1357" i="1"/>
  <c r="H1307" i="1"/>
  <c r="H1263" i="1"/>
  <c r="H1221" i="1"/>
  <c r="H1181" i="1"/>
  <c r="H1144" i="1"/>
  <c r="H1108" i="1"/>
  <c r="H1071" i="1"/>
  <c r="H1035" i="1"/>
  <c r="H998" i="1"/>
  <c r="H961" i="1"/>
  <c r="H925" i="1"/>
  <c r="H888" i="1"/>
  <c r="H852" i="1"/>
  <c r="H815" i="1"/>
  <c r="H797" i="1"/>
  <c r="H760" i="1"/>
  <c r="H724" i="1"/>
  <c r="H687" i="1"/>
  <c r="H655" i="1"/>
  <c r="H623" i="1"/>
  <c r="H591" i="1"/>
  <c r="H559" i="1"/>
  <c r="H527" i="1"/>
  <c r="H495" i="1"/>
  <c r="H463" i="1"/>
  <c r="H431" i="1"/>
  <c r="H399" i="1"/>
  <c r="H367" i="1"/>
  <c r="K1097" i="1"/>
  <c r="K447" i="1"/>
  <c r="I1491" i="1"/>
  <c r="I1268" i="1"/>
  <c r="I1098" i="1"/>
  <c r="I982" i="1"/>
  <c r="I866" i="1"/>
  <c r="I760" i="1"/>
  <c r="I654" i="1"/>
  <c r="I554" i="1"/>
  <c r="I463" i="1"/>
  <c r="I372" i="1"/>
  <c r="H1829" i="1"/>
  <c r="H1749" i="1"/>
  <c r="H1669" i="1"/>
  <c r="H1583" i="1"/>
  <c r="H1503" i="1"/>
  <c r="H1420" i="1"/>
  <c r="H1340" i="1"/>
  <c r="H1268" i="1"/>
  <c r="H1197" i="1"/>
  <c r="H1140" i="1"/>
  <c r="H1079" i="1"/>
  <c r="H1022" i="1"/>
  <c r="H965" i="1"/>
  <c r="H904" i="1"/>
  <c r="H847" i="1"/>
  <c r="H787" i="1"/>
  <c r="H729" i="1"/>
  <c r="H674" i="1"/>
  <c r="H621" i="1"/>
  <c r="H571" i="1"/>
  <c r="H518" i="1"/>
  <c r="H468" i="1"/>
  <c r="H418" i="1"/>
  <c r="H365" i="1"/>
  <c r="I1460" i="1"/>
  <c r="I1086" i="1"/>
  <c r="I832" i="1"/>
  <c r="I567" i="1"/>
  <c r="H1700" i="1"/>
  <c r="H1431" i="1"/>
  <c r="H1193" i="1"/>
  <c r="H1003" i="1"/>
  <c r="H840" i="1"/>
  <c r="H668" i="1"/>
  <c r="H515" i="1"/>
  <c r="I1741" i="1"/>
  <c r="I1244" i="1"/>
  <c r="I994" i="1"/>
  <c r="I777" i="1"/>
  <c r="I566" i="1"/>
  <c r="I365" i="1"/>
  <c r="H1719" i="1"/>
  <c r="H1556" i="1"/>
  <c r="H1413" i="1"/>
  <c r="H1259" i="1"/>
  <c r="K1524" i="1"/>
  <c r="K1066" i="1"/>
  <c r="K1857" i="1"/>
  <c r="K1088" i="1"/>
  <c r="K1344" i="1"/>
  <c r="K960" i="1"/>
  <c r="K704" i="1"/>
  <c r="K448" i="1"/>
  <c r="K1269" i="1"/>
  <c r="K919" i="1"/>
  <c r="K1585" i="1"/>
  <c r="K1081" i="1"/>
  <c r="K798" i="1"/>
  <c r="K542" i="1"/>
  <c r="K1251" i="1"/>
  <c r="K756" i="1"/>
  <c r="K435" i="1"/>
  <c r="I1731" i="1"/>
  <c r="K1201" i="1"/>
  <c r="K732" i="1"/>
  <c r="K397" i="1"/>
  <c r="K1682" i="1"/>
  <c r="K932" i="1"/>
  <c r="K561" i="1"/>
  <c r="K1479" i="1"/>
  <c r="K786" i="1"/>
  <c r="K505" i="1"/>
  <c r="I1693" i="1"/>
  <c r="I1504" i="1"/>
  <c r="I1376" i="1"/>
  <c r="I1248" i="1"/>
  <c r="K1472" i="1"/>
  <c r="K945" i="1"/>
  <c r="K674" i="1"/>
  <c r="K403" i="1"/>
  <c r="I1855" i="1"/>
  <c r="I1618" i="1"/>
  <c r="I1471" i="1"/>
  <c r="I1343" i="1"/>
  <c r="K1471" i="1"/>
  <c r="K941" i="1"/>
  <c r="K639" i="1"/>
  <c r="K377" i="1"/>
  <c r="I1804" i="1"/>
  <c r="I1599" i="1"/>
  <c r="I1454" i="1"/>
  <c r="I1326" i="1"/>
  <c r="I1198" i="1"/>
  <c r="K1408" i="1"/>
  <c r="K789" i="1"/>
  <c r="K565" i="1"/>
  <c r="K362" i="1"/>
  <c r="I1740" i="1"/>
  <c r="I1579" i="1"/>
  <c r="I1465" i="1"/>
  <c r="I1362" i="1"/>
  <c r="I1260" i="1"/>
  <c r="I1175" i="1"/>
  <c r="I1101" i="1"/>
  <c r="I1037" i="1"/>
  <c r="I973" i="1"/>
  <c r="I909" i="1"/>
  <c r="I845" i="1"/>
  <c r="I781" i="1"/>
  <c r="I717" i="1"/>
  <c r="I653" i="1"/>
  <c r="I589" i="1"/>
  <c r="I525" i="1"/>
  <c r="I461" i="1"/>
  <c r="K1496" i="1"/>
  <c r="K1033" i="1"/>
  <c r="K753" i="1"/>
  <c r="K533" i="1"/>
  <c r="I1686" i="1"/>
  <c r="I1539" i="1"/>
  <c r="I1436" i="1"/>
  <c r="I1361" i="1"/>
  <c r="I1308" i="1"/>
  <c r="I1259" i="1"/>
  <c r="I1217" i="1"/>
  <c r="I1173" i="1"/>
  <c r="I1136" i="1"/>
  <c r="I1100" i="1"/>
  <c r="I1068" i="1"/>
  <c r="I1036" i="1"/>
  <c r="I1004" i="1"/>
  <c r="I972" i="1"/>
  <c r="I940" i="1"/>
  <c r="I908" i="1"/>
  <c r="I876" i="1"/>
  <c r="I844" i="1"/>
  <c r="I812" i="1"/>
  <c r="I780" i="1"/>
  <c r="I748" i="1"/>
  <c r="I716" i="1"/>
  <c r="I684" i="1"/>
  <c r="I652" i="1"/>
  <c r="K1723" i="1"/>
  <c r="K1395" i="1"/>
  <c r="K1164" i="1"/>
  <c r="K981" i="1"/>
  <c r="K851" i="1"/>
  <c r="K719" i="1"/>
  <c r="K612" i="1"/>
  <c r="K506" i="1"/>
  <c r="K400" i="1"/>
  <c r="I1852" i="1"/>
  <c r="I1751" i="1"/>
  <c r="I1632" i="1"/>
  <c r="I1549" i="1"/>
  <c r="K1207" i="1"/>
  <c r="K938" i="1"/>
  <c r="K735" i="1"/>
  <c r="K634" i="1"/>
  <c r="K463" i="1"/>
  <c r="I1788" i="1"/>
  <c r="I1506" i="1"/>
  <c r="I1435" i="1"/>
  <c r="I1369" i="1"/>
  <c r="I1300" i="1"/>
  <c r="I1236" i="1"/>
  <c r="I1180" i="1"/>
  <c r="I1130" i="1"/>
  <c r="I1083" i="1"/>
  <c r="I1041" i="1"/>
  <c r="I999" i="1"/>
  <c r="I955" i="1"/>
  <c r="I913" i="1"/>
  <c r="I871" i="1"/>
  <c r="I827" i="1"/>
  <c r="I785" i="1"/>
  <c r="I743" i="1"/>
  <c r="I699" i="1"/>
  <c r="I657" i="1"/>
  <c r="I616" i="1"/>
  <c r="I579" i="1"/>
  <c r="I543" i="1"/>
  <c r="I506" i="1"/>
  <c r="I470" i="1"/>
  <c r="I433" i="1"/>
  <c r="I400" i="1"/>
  <c r="I368" i="1"/>
  <c r="H1850" i="1"/>
  <c r="H1818" i="1"/>
  <c r="H1786" i="1"/>
  <c r="H1754" i="1"/>
  <c r="H1722" i="1"/>
  <c r="H1690" i="1"/>
  <c r="H1658" i="1"/>
  <c r="H1626" i="1"/>
  <c r="H1594" i="1"/>
  <c r="H1562" i="1"/>
  <c r="H1530" i="1"/>
  <c r="H1498" i="1"/>
  <c r="H1466" i="1"/>
  <c r="H1434" i="1"/>
  <c r="H1402" i="1"/>
  <c r="H1370" i="1"/>
  <c r="H1338" i="1"/>
  <c r="H1306" i="1"/>
  <c r="H1274" i="1"/>
  <c r="H1242" i="1"/>
  <c r="H1210" i="1"/>
  <c r="H1178" i="1"/>
  <c r="H1146" i="1"/>
  <c r="H1114" i="1"/>
  <c r="H1082" i="1"/>
  <c r="H1050" i="1"/>
  <c r="H1018" i="1"/>
  <c r="H986" i="1"/>
  <c r="H954" i="1"/>
  <c r="H922" i="1"/>
  <c r="H874" i="1"/>
  <c r="H842" i="1"/>
  <c r="H810" i="1"/>
  <c r="H778" i="1"/>
  <c r="H746" i="1"/>
  <c r="H714" i="1"/>
  <c r="K1801" i="1"/>
  <c r="K1307" i="1"/>
  <c r="K980" i="1"/>
  <c r="K772" i="1"/>
  <c r="K597" i="1"/>
  <c r="K417" i="1"/>
  <c r="I1728" i="1"/>
  <c r="I1597" i="1"/>
  <c r="I1505" i="1"/>
  <c r="I1434" i="1"/>
  <c r="I1365" i="1"/>
  <c r="I1299" i="1"/>
  <c r="I1235" i="1"/>
  <c r="I1179" i="1"/>
  <c r="I1129" i="1"/>
  <c r="I1082" i="1"/>
  <c r="I1040" i="1"/>
  <c r="I998" i="1"/>
  <c r="I954" i="1"/>
  <c r="I912" i="1"/>
  <c r="I870" i="1"/>
  <c r="I826" i="1"/>
  <c r="I784" i="1"/>
  <c r="I742" i="1"/>
  <c r="I698" i="1"/>
  <c r="I656" i="1"/>
  <c r="I615" i="1"/>
  <c r="I578" i="1"/>
  <c r="I542" i="1"/>
  <c r="I505" i="1"/>
  <c r="I468" i="1"/>
  <c r="I432" i="1"/>
  <c r="I399" i="1"/>
  <c r="I367" i="1"/>
  <c r="H1849" i="1"/>
  <c r="H1817" i="1"/>
  <c r="H1785" i="1"/>
  <c r="H1753" i="1"/>
  <c r="H1721" i="1"/>
  <c r="H1689" i="1"/>
  <c r="H1657" i="1"/>
  <c r="H1625" i="1"/>
  <c r="H1593" i="1"/>
  <c r="H1561" i="1"/>
  <c r="H1529" i="1"/>
  <c r="H1497" i="1"/>
  <c r="H1465" i="1"/>
  <c r="H1433" i="1"/>
  <c r="H1401" i="1"/>
  <c r="H1369" i="1"/>
  <c r="H1337" i="1"/>
  <c r="K1639" i="1"/>
  <c r="K1191" i="1"/>
  <c r="K930" i="1"/>
  <c r="K716" i="1"/>
  <c r="K546" i="1"/>
  <c r="K376" i="1"/>
  <c r="I1847" i="1"/>
  <c r="I1674" i="1"/>
  <c r="I1572" i="1"/>
  <c r="I1499" i="1"/>
  <c r="I1433" i="1"/>
  <c r="I1364" i="1"/>
  <c r="I1293" i="1"/>
  <c r="I1234" i="1"/>
  <c r="I1178" i="1"/>
  <c r="I1125" i="1"/>
  <c r="I1081" i="1"/>
  <c r="I1039" i="1"/>
  <c r="I995" i="1"/>
  <c r="I953" i="1"/>
  <c r="I911" i="1"/>
  <c r="I867" i="1"/>
  <c r="I825" i="1"/>
  <c r="I783" i="1"/>
  <c r="I739" i="1"/>
  <c r="I697" i="1"/>
  <c r="I655" i="1"/>
  <c r="I614" i="1"/>
  <c r="I577" i="1"/>
  <c r="I540" i="1"/>
  <c r="I504" i="1"/>
  <c r="I467" i="1"/>
  <c r="I431" i="1"/>
  <c r="I398" i="1"/>
  <c r="I366" i="1"/>
  <c r="H1848" i="1"/>
  <c r="H1816" i="1"/>
  <c r="H1784" i="1"/>
  <c r="H1752" i="1"/>
  <c r="H1720" i="1"/>
  <c r="H1688" i="1"/>
  <c r="H1656" i="1"/>
  <c r="H1624" i="1"/>
  <c r="H1592" i="1"/>
  <c r="H1560" i="1"/>
  <c r="H1528" i="1"/>
  <c r="H1496" i="1"/>
  <c r="H1464" i="1"/>
  <c r="H1432" i="1"/>
  <c r="H1400" i="1"/>
  <c r="H1368" i="1"/>
  <c r="H1336" i="1"/>
  <c r="H1304" i="1"/>
  <c r="H1272" i="1"/>
  <c r="H1240" i="1"/>
  <c r="H1208" i="1"/>
  <c r="K1361" i="1"/>
  <c r="K899" i="1"/>
  <c r="K579" i="1"/>
  <c r="I1775" i="1"/>
  <c r="I1570" i="1"/>
  <c r="I1428" i="1"/>
  <c r="I1321" i="1"/>
  <c r="I1219" i="1"/>
  <c r="I1133" i="1"/>
  <c r="I1064" i="1"/>
  <c r="I993" i="1"/>
  <c r="I927" i="1"/>
  <c r="I856" i="1"/>
  <c r="I790" i="1"/>
  <c r="I722" i="1"/>
  <c r="I651" i="1"/>
  <c r="I591" i="1"/>
  <c r="I530" i="1"/>
  <c r="I473" i="1"/>
  <c r="I417" i="1"/>
  <c r="I364" i="1"/>
  <c r="H1821" i="1"/>
  <c r="H1771" i="1"/>
  <c r="H1718" i="1"/>
  <c r="H1668" i="1"/>
  <c r="H1615" i="1"/>
  <c r="H1565" i="1"/>
  <c r="H1515" i="1"/>
  <c r="H1462" i="1"/>
  <c r="H1412" i="1"/>
  <c r="H1359" i="1"/>
  <c r="H1309" i="1"/>
  <c r="H1267" i="1"/>
  <c r="H1223" i="1"/>
  <c r="H1183" i="1"/>
  <c r="H1147" i="1"/>
  <c r="H1110" i="1"/>
  <c r="H1073" i="1"/>
  <c r="H1037" i="1"/>
  <c r="H1000" i="1"/>
  <c r="H964" i="1"/>
  <c r="H927" i="1"/>
  <c r="H891" i="1"/>
  <c r="H854" i="1"/>
  <c r="H817" i="1"/>
  <c r="H781" i="1"/>
  <c r="H744" i="1"/>
  <c r="H708" i="1"/>
  <c r="H673" i="1"/>
  <c r="H641" i="1"/>
  <c r="H609" i="1"/>
  <c r="H577" i="1"/>
  <c r="H545" i="1"/>
  <c r="H513" i="1"/>
  <c r="H481" i="1"/>
  <c r="H449" i="1"/>
  <c r="H417" i="1"/>
  <c r="H385" i="1"/>
  <c r="H353" i="1"/>
  <c r="K1316" i="1"/>
  <c r="K629" i="1"/>
  <c r="I1630" i="1"/>
  <c r="I1393" i="1"/>
  <c r="I1188" i="1"/>
  <c r="K1762" i="1"/>
  <c r="K1086" i="1"/>
  <c r="K715" i="1"/>
  <c r="K441" i="1"/>
  <c r="I1684" i="1"/>
  <c r="I1508" i="1"/>
  <c r="I1395" i="1"/>
  <c r="I1290" i="1"/>
  <c r="I1197" i="1"/>
  <c r="I1112" i="1"/>
  <c r="I1043" i="1"/>
  <c r="I974" i="1"/>
  <c r="I906" i="1"/>
  <c r="I840" i="1"/>
  <c r="I769" i="1"/>
  <c r="I703" i="1"/>
  <c r="I632" i="1"/>
  <c r="I574" i="1"/>
  <c r="I516" i="1"/>
  <c r="I456" i="1"/>
  <c r="I402" i="1"/>
  <c r="H1859" i="1"/>
  <c r="H1806" i="1"/>
  <c r="H1756" i="1"/>
  <c r="H1703" i="1"/>
  <c r="H1653" i="1"/>
  <c r="H1603" i="1"/>
  <c r="H1550" i="1"/>
  <c r="H1500" i="1"/>
  <c r="H1447" i="1"/>
  <c r="H1397" i="1"/>
  <c r="H1347" i="1"/>
  <c r="H1297" i="1"/>
  <c r="H1254" i="1"/>
  <c r="H1212" i="1"/>
  <c r="H1173" i="1"/>
  <c r="H1136" i="1"/>
  <c r="H1100" i="1"/>
  <c r="H1063" i="1"/>
  <c r="H1027" i="1"/>
  <c r="H990" i="1"/>
  <c r="H953" i="1"/>
  <c r="H917" i="1"/>
  <c r="H880" i="1"/>
  <c r="H844" i="1"/>
  <c r="H807" i="1"/>
  <c r="H771" i="1"/>
  <c r="H734" i="1"/>
  <c r="H697" i="1"/>
  <c r="H664" i="1"/>
  <c r="H632" i="1"/>
  <c r="H600" i="1"/>
  <c r="H568" i="1"/>
  <c r="H536" i="1"/>
  <c r="H504" i="1"/>
  <c r="H472" i="1"/>
  <c r="H440" i="1"/>
  <c r="H408" i="1"/>
  <c r="H376" i="1"/>
  <c r="K1036" i="1"/>
  <c r="K429" i="1"/>
  <c r="I1474" i="1"/>
  <c r="I1257" i="1"/>
  <c r="I1089" i="1"/>
  <c r="K1065" i="1"/>
  <c r="K714" i="1"/>
  <c r="K439" i="1"/>
  <c r="I1678" i="1"/>
  <c r="I1507" i="1"/>
  <c r="I1394" i="1"/>
  <c r="I1289" i="1"/>
  <c r="I1189" i="1"/>
  <c r="I1111" i="1"/>
  <c r="I1042" i="1"/>
  <c r="I971" i="1"/>
  <c r="I905" i="1"/>
  <c r="I834" i="1"/>
  <c r="I768" i="1"/>
  <c r="I702" i="1"/>
  <c r="I631" i="1"/>
  <c r="I572" i="1"/>
  <c r="I512" i="1"/>
  <c r="I455" i="1"/>
  <c r="I401" i="1"/>
  <c r="H1855" i="1"/>
  <c r="H1805" i="1"/>
  <c r="H1755" i="1"/>
  <c r="H1702" i="1"/>
  <c r="H1652" i="1"/>
  <c r="H1599" i="1"/>
  <c r="H1549" i="1"/>
  <c r="H1499" i="1"/>
  <c r="H1446" i="1"/>
  <c r="H1396" i="1"/>
  <c r="H1343" i="1"/>
  <c r="H1295" i="1"/>
  <c r="H1253" i="1"/>
  <c r="H1211" i="1"/>
  <c r="H1172" i="1"/>
  <c r="H1135" i="1"/>
  <c r="H1099" i="1"/>
  <c r="H1062" i="1"/>
  <c r="H1025" i="1"/>
  <c r="H989" i="1"/>
  <c r="H952" i="1"/>
  <c r="H916" i="1"/>
  <c r="H879" i="1"/>
  <c r="H843" i="1"/>
  <c r="H806" i="1"/>
  <c r="H788" i="1"/>
  <c r="H751" i="1"/>
  <c r="H715" i="1"/>
  <c r="H679" i="1"/>
  <c r="H647" i="1"/>
  <c r="H615" i="1"/>
  <c r="H583" i="1"/>
  <c r="H551" i="1"/>
  <c r="H519" i="1"/>
  <c r="H487" i="1"/>
  <c r="H455" i="1"/>
  <c r="H423" i="1"/>
  <c r="H391" i="1"/>
  <c r="H359" i="1"/>
  <c r="K900" i="1"/>
  <c r="I1782" i="1"/>
  <c r="I1429" i="1"/>
  <c r="I1225" i="1"/>
  <c r="I1065" i="1"/>
  <c r="I951" i="1"/>
  <c r="I843" i="1"/>
  <c r="I734" i="1"/>
  <c r="I626" i="1"/>
  <c r="I535" i="1"/>
  <c r="I436" i="1"/>
  <c r="I355" i="1"/>
  <c r="H1812" i="1"/>
  <c r="H1726" i="1"/>
  <c r="H1646" i="1"/>
  <c r="H1566" i="1"/>
  <c r="H1483" i="1"/>
  <c r="H1403" i="1"/>
  <c r="H1317" i="1"/>
  <c r="H1249" i="1"/>
  <c r="H1184" i="1"/>
  <c r="H1124" i="1"/>
  <c r="H1067" i="1"/>
  <c r="H1006" i="1"/>
  <c r="H949" i="1"/>
  <c r="H892" i="1"/>
  <c r="H831" i="1"/>
  <c r="H774" i="1"/>
  <c r="H713" i="1"/>
  <c r="H660" i="1"/>
  <c r="H610" i="1"/>
  <c r="H557" i="1"/>
  <c r="H507" i="1"/>
  <c r="H454" i="1"/>
  <c r="H404" i="1"/>
  <c r="H354" i="1"/>
  <c r="K1244" i="1"/>
  <c r="I1355" i="1"/>
  <c r="I1023" i="1"/>
  <c r="I778" i="1"/>
  <c r="I521" i="1"/>
  <c r="H1637" i="1"/>
  <c r="H1374" i="1"/>
  <c r="H1149" i="1"/>
  <c r="H958" i="1"/>
  <c r="H796" i="1"/>
  <c r="H629" i="1"/>
  <c r="H462" i="1"/>
  <c r="I1201" i="1"/>
  <c r="I937" i="1"/>
  <c r="I723" i="1"/>
  <c r="I520" i="1"/>
  <c r="H1839" i="1"/>
  <c r="H1676" i="1"/>
  <c r="H1516" i="1"/>
  <c r="H1367" i="1"/>
  <c r="H1225" i="1"/>
  <c r="K1770" i="1"/>
  <c r="K1226" i="1"/>
  <c r="K1157" i="1"/>
  <c r="K734" i="1"/>
  <c r="K366" i="1"/>
  <c r="K647" i="1"/>
  <c r="K829" i="1"/>
  <c r="K1155" i="1"/>
  <c r="I1216" i="1"/>
  <c r="K353" i="1"/>
  <c r="I1439" i="1"/>
  <c r="K569" i="1"/>
  <c r="I1558" i="1"/>
  <c r="K1172" i="1"/>
  <c r="I1437" i="1"/>
  <c r="I1085" i="1"/>
  <c r="I829" i="1"/>
  <c r="I573" i="1"/>
  <c r="K954" i="1"/>
  <c r="I1411" i="1"/>
  <c r="I1205" i="1"/>
  <c r="I1060" i="1"/>
  <c r="I932" i="1"/>
  <c r="I804" i="1"/>
  <c r="I676" i="1"/>
  <c r="K1117" i="1"/>
  <c r="K586" i="1"/>
  <c r="I1736" i="1"/>
  <c r="K876" i="1"/>
  <c r="I1557" i="1"/>
  <c r="I1282" i="1"/>
  <c r="I1073" i="1"/>
  <c r="I903" i="1"/>
  <c r="I731" i="1"/>
  <c r="I570" i="1"/>
  <c r="I424" i="1"/>
  <c r="H1778" i="1"/>
  <c r="H1650" i="1"/>
  <c r="H1522" i="1"/>
  <c r="H1394" i="1"/>
  <c r="H1266" i="1"/>
  <c r="H1138" i="1"/>
  <c r="H1010" i="1"/>
  <c r="H898" i="1"/>
  <c r="H770" i="1"/>
  <c r="K1199" i="1"/>
  <c r="K386" i="1"/>
  <c r="I1698" i="1"/>
  <c r="I1349" i="1"/>
  <c r="I1115" i="1"/>
  <c r="I944" i="1"/>
  <c r="I774" i="1"/>
  <c r="I606" i="1"/>
  <c r="I459" i="1"/>
  <c r="H1809" i="1"/>
  <c r="H1681" i="1"/>
  <c r="H1553" i="1"/>
  <c r="H1425" i="1"/>
  <c r="K1511" i="1"/>
  <c r="K495" i="1"/>
  <c r="I1783" i="1"/>
  <c r="I1417" i="1"/>
  <c r="I1162" i="1"/>
  <c r="I985" i="1"/>
  <c r="I815" i="1"/>
  <c r="I643" i="1"/>
  <c r="I495" i="1"/>
  <c r="I358" i="1"/>
  <c r="H1840" i="1"/>
  <c r="H1712" i="1"/>
  <c r="H1584" i="1"/>
  <c r="H1456" i="1"/>
  <c r="H1328" i="1"/>
  <c r="H1200" i="1"/>
  <c r="I1404" i="1"/>
  <c r="I1046" i="1"/>
  <c r="I770" i="1"/>
  <c r="I562" i="1"/>
  <c r="I444" i="1"/>
  <c r="H1796" i="1"/>
  <c r="H1693" i="1"/>
  <c r="H1590" i="1"/>
  <c r="H1487" i="1"/>
  <c r="H1387" i="1"/>
  <c r="H1287" i="1"/>
  <c r="H1203" i="1"/>
  <c r="H1128" i="1"/>
  <c r="H1055" i="1"/>
  <c r="H982" i="1"/>
  <c r="H909" i="1"/>
  <c r="H836" i="1"/>
  <c r="H763" i="1"/>
  <c r="H689" i="1"/>
  <c r="H625" i="1"/>
  <c r="H561" i="1"/>
  <c r="H497" i="1"/>
  <c r="H433" i="1"/>
  <c r="H369" i="1"/>
  <c r="K940" i="1"/>
  <c r="I1807" i="1"/>
  <c r="I1285" i="1"/>
  <c r="K1353" i="1"/>
  <c r="K578" i="1"/>
  <c r="I1569" i="1"/>
  <c r="I1341" i="1"/>
  <c r="I1149" i="1"/>
  <c r="I1010" i="1"/>
  <c r="I873" i="1"/>
  <c r="I736" i="1"/>
  <c r="I602" i="1"/>
  <c r="I484" i="1"/>
  <c r="I377" i="1"/>
  <c r="H1831" i="1"/>
  <c r="H1731" i="1"/>
  <c r="H1628" i="1"/>
  <c r="H1525" i="1"/>
  <c r="H1422" i="1"/>
  <c r="H1319" i="1"/>
  <c r="H1233" i="1"/>
  <c r="H1155" i="1"/>
  <c r="H1081" i="1"/>
  <c r="H1008" i="1"/>
  <c r="H935" i="1"/>
  <c r="H862" i="1"/>
  <c r="H789" i="1"/>
  <c r="H716" i="1"/>
  <c r="H648" i="1"/>
  <c r="H584" i="1"/>
  <c r="H520" i="1"/>
  <c r="H456" i="1"/>
  <c r="H392" i="1"/>
  <c r="I1363" i="1"/>
  <c r="K1324" i="1"/>
  <c r="K577" i="1"/>
  <c r="I1562" i="1"/>
  <c r="I1340" i="1"/>
  <c r="I1148" i="1"/>
  <c r="I1006" i="1"/>
  <c r="I872" i="1"/>
  <c r="I735" i="1"/>
  <c r="I601" i="1"/>
  <c r="I483" i="1"/>
  <c r="I373" i="1"/>
  <c r="H1830" i="1"/>
  <c r="H1727" i="1"/>
  <c r="H1627" i="1"/>
  <c r="H1524" i="1"/>
  <c r="H1421" i="1"/>
  <c r="H1318" i="1"/>
  <c r="H1231" i="1"/>
  <c r="H1153" i="1"/>
  <c r="H1080" i="1"/>
  <c r="H1007" i="1"/>
  <c r="H934" i="1"/>
  <c r="H861" i="1"/>
  <c r="H733" i="1"/>
  <c r="H663" i="1"/>
  <c r="H599" i="1"/>
  <c r="H535" i="1"/>
  <c r="H471" i="1"/>
  <c r="H407" i="1"/>
  <c r="K601" i="1"/>
  <c r="I1545" i="1"/>
  <c r="I1135" i="1"/>
  <c r="I897" i="1"/>
  <c r="I680" i="1"/>
  <c r="I482" i="1"/>
  <c r="H1852" i="1"/>
  <c r="H1686" i="1"/>
  <c r="H1523" i="1"/>
  <c r="H1363" i="1"/>
  <c r="H1215" i="1"/>
  <c r="H1095" i="1"/>
  <c r="H977" i="1"/>
  <c r="H860" i="1"/>
  <c r="H745" i="1"/>
  <c r="H635" i="1"/>
  <c r="H532" i="1"/>
  <c r="H429" i="1"/>
  <c r="I1581" i="1"/>
  <c r="I886" i="1"/>
  <c r="I386" i="1"/>
  <c r="H1740" i="1"/>
  <c r="H1241" i="1"/>
  <c r="H885" i="1"/>
  <c r="H554" i="1"/>
  <c r="I1048" i="1"/>
  <c r="I611" i="1"/>
  <c r="H1759" i="1"/>
  <c r="H1430" i="1"/>
  <c r="H1160" i="1"/>
  <c r="H1043" i="1"/>
  <c r="H928" i="1"/>
  <c r="H811" i="1"/>
  <c r="H750" i="1"/>
  <c r="H642" i="1"/>
  <c r="H539" i="1"/>
  <c r="H436" i="1"/>
  <c r="K1027" i="1"/>
  <c r="K411" i="1"/>
  <c r="I1864" i="1"/>
  <c r="I1473" i="1"/>
  <c r="I1255" i="1"/>
  <c r="I1088" i="1"/>
  <c r="I979" i="1"/>
  <c r="I865" i="1"/>
  <c r="I759" i="1"/>
  <c r="I648" i="1"/>
  <c r="I553" i="1"/>
  <c r="I462" i="1"/>
  <c r="I371" i="1"/>
  <c r="H1828" i="1"/>
  <c r="H1748" i="1"/>
  <c r="H1662" i="1"/>
  <c r="H1582" i="1"/>
  <c r="H1502" i="1"/>
  <c r="H1419" i="1"/>
  <c r="H1339" i="1"/>
  <c r="H1262" i="1"/>
  <c r="H1196" i="1"/>
  <c r="H1139" i="1"/>
  <c r="H1078" i="1"/>
  <c r="H1021" i="1"/>
  <c r="H960" i="1"/>
  <c r="H903" i="1"/>
  <c r="H846" i="1"/>
  <c r="H785" i="1"/>
  <c r="H728" i="1"/>
  <c r="H670" i="1"/>
  <c r="H620" i="1"/>
  <c r="H570" i="1"/>
  <c r="H517" i="1"/>
  <c r="H467" i="1"/>
  <c r="H414" i="1"/>
  <c r="H364" i="1"/>
  <c r="I1202" i="1"/>
  <c r="I946" i="1"/>
  <c r="I672" i="1"/>
  <c r="I409" i="1"/>
  <c r="H1763" i="1"/>
  <c r="H1477" i="1"/>
  <c r="H1227" i="1"/>
  <c r="H1060" i="1"/>
  <c r="H869" i="1"/>
  <c r="H694" i="1"/>
  <c r="H540" i="1"/>
  <c r="H387" i="1"/>
  <c r="K1256" i="1"/>
  <c r="K545" i="1"/>
  <c r="I1585" i="1"/>
  <c r="I1356" i="1"/>
  <c r="I1160" i="1"/>
  <c r="I1032" i="1"/>
  <c r="I918" i="1"/>
  <c r="I810" i="1"/>
  <c r="I696" i="1"/>
  <c r="I594" i="1"/>
  <c r="I503" i="1"/>
  <c r="I410" i="1"/>
  <c r="H1867" i="1"/>
  <c r="H1787" i="1"/>
  <c r="H1701" i="1"/>
  <c r="H1621" i="1"/>
  <c r="H1541" i="1"/>
  <c r="H1455" i="1"/>
  <c r="H1375" i="1"/>
  <c r="H1294" i="1"/>
  <c r="H1228" i="1"/>
  <c r="H1166" i="1"/>
  <c r="H1105" i="1"/>
  <c r="H1048" i="1"/>
  <c r="H988" i="1"/>
  <c r="H931" i="1"/>
  <c r="H873" i="1"/>
  <c r="H784" i="1"/>
  <c r="H727" i="1"/>
  <c r="H669" i="1"/>
  <c r="H619" i="1"/>
  <c r="H566" i="1"/>
  <c r="H516" i="1"/>
  <c r="H466" i="1"/>
  <c r="H413" i="1"/>
  <c r="H363" i="1"/>
  <c r="I593" i="1"/>
  <c r="H1723" i="1"/>
  <c r="H1517" i="1"/>
  <c r="H1293" i="1"/>
  <c r="H1120" i="1"/>
  <c r="H942" i="1"/>
  <c r="H767" i="1"/>
  <c r="H604" i="1"/>
  <c r="H451" i="1"/>
  <c r="K811" i="1"/>
  <c r="I1513" i="1"/>
  <c r="I1080" i="1"/>
  <c r="I862" i="1"/>
  <c r="I640" i="1"/>
  <c r="I448" i="1"/>
  <c r="H1862" i="1"/>
  <c r="H1699" i="1"/>
  <c r="H1533" i="1"/>
  <c r="H1350" i="1"/>
  <c r="H1206" i="1"/>
  <c r="H1087" i="1"/>
  <c r="H969" i="1"/>
  <c r="H795" i="1"/>
  <c r="H678" i="1"/>
  <c r="H578" i="1"/>
  <c r="H475" i="1"/>
  <c r="H372" i="1"/>
  <c r="H720" i="1"/>
  <c r="H1113" i="1"/>
  <c r="H1773" i="1"/>
  <c r="H523" i="1"/>
  <c r="H692" i="1"/>
  <c r="H849" i="1"/>
  <c r="H1011" i="1"/>
  <c r="H1159" i="1"/>
  <c r="H1342" i="1"/>
  <c r="H1567" i="1"/>
  <c r="H1775" i="1"/>
  <c r="I404" i="1"/>
  <c r="I659" i="1"/>
  <c r="I952" i="1"/>
  <c r="I1338" i="1"/>
  <c r="K359" i="1"/>
  <c r="H421" i="1"/>
  <c r="H562" i="1"/>
  <c r="H702" i="1"/>
  <c r="H851" i="1"/>
  <c r="H1012" i="1"/>
  <c r="H1169" i="1"/>
  <c r="H1349" i="1"/>
  <c r="H1571" i="1"/>
  <c r="H1790" i="1"/>
  <c r="I357" i="1"/>
  <c r="I608" i="1"/>
  <c r="I882" i="1"/>
  <c r="I1229" i="1"/>
  <c r="H410" i="1"/>
  <c r="H651" i="1"/>
  <c r="H1237" i="1"/>
  <c r="I447" i="1"/>
  <c r="I1070" i="1"/>
  <c r="H622" i="1"/>
  <c r="H357" i="1"/>
  <c r="H498" i="1"/>
  <c r="H636" i="1"/>
  <c r="H777" i="1"/>
  <c r="H1013" i="1"/>
  <c r="H1171" i="1"/>
  <c r="H1364" i="1"/>
  <c r="H1572" i="1"/>
  <c r="H1797" i="1"/>
  <c r="I361" i="1"/>
  <c r="I609" i="1"/>
  <c r="I898" i="1"/>
  <c r="I1231" i="1"/>
  <c r="H445" i="1"/>
  <c r="H764" i="1"/>
  <c r="H1284" i="1"/>
  <c r="H1815" i="1"/>
  <c r="I396" i="1"/>
  <c r="I930" i="1"/>
  <c r="I1614" i="1"/>
  <c r="H587" i="1"/>
  <c r="H805" i="1"/>
  <c r="H883" i="1"/>
  <c r="H966" i="1"/>
  <c r="H1158" i="1"/>
  <c r="H1341" i="1"/>
  <c r="H1555" i="1"/>
  <c r="H1774" i="1"/>
  <c r="I583" i="1"/>
  <c r="I875" i="1"/>
  <c r="I1187" i="1"/>
  <c r="H355" i="1"/>
  <c r="H469" i="1"/>
  <c r="H602" i="1"/>
  <c r="H748" i="1"/>
  <c r="H983" i="1"/>
  <c r="H1141" i="1"/>
  <c r="H1305" i="1"/>
  <c r="H1531" i="1"/>
  <c r="H1750" i="1"/>
  <c r="I555" i="1"/>
  <c r="I830" i="1"/>
  <c r="I1143" i="1"/>
  <c r="I1798" i="1"/>
  <c r="K1451" i="1"/>
  <c r="K1862" i="1"/>
  <c r="K1765" i="1"/>
  <c r="K1326" i="1"/>
  <c r="K1645" i="1"/>
  <c r="K1813" i="1"/>
  <c r="K1454" i="1"/>
  <c r="K1096" i="1"/>
  <c r="K1229" i="1"/>
  <c r="K1376" i="1"/>
  <c r="K1576" i="1"/>
  <c r="K1169" i="1"/>
  <c r="K1313" i="1"/>
  <c r="K1488" i="1"/>
  <c r="K1755" i="1"/>
  <c r="K1082" i="1"/>
  <c r="K1162" i="1"/>
  <c r="K1360" i="1"/>
  <c r="K1617" i="1"/>
  <c r="K1444" i="1"/>
  <c r="K1636" i="1"/>
  <c r="K1397" i="1"/>
  <c r="K1581" i="1"/>
  <c r="K1040" i="1"/>
  <c r="K1104" i="1"/>
  <c r="K1239" i="1"/>
  <c r="K1386" i="1"/>
  <c r="K1587" i="1"/>
  <c r="K1177" i="1"/>
  <c r="K1322" i="1"/>
  <c r="K1499" i="1"/>
  <c r="K1769" i="1"/>
  <c r="K1178" i="1"/>
  <c r="K1369" i="1"/>
  <c r="K1460" i="1"/>
  <c r="K1405" i="1"/>
  <c r="K1589" i="1"/>
  <c r="I1556" i="1"/>
  <c r="I1574" i="1"/>
  <c r="I1589" i="1"/>
  <c r="I1601" i="1"/>
  <c r="I1622" i="1"/>
  <c r="I1640" i="1"/>
  <c r="I1656" i="1"/>
  <c r="K1671" i="1"/>
  <c r="K1689" i="1"/>
  <c r="K1701" i="1"/>
  <c r="K1713" i="1"/>
  <c r="K1728" i="1"/>
  <c r="K1743" i="1"/>
  <c r="K1761" i="1"/>
  <c r="K1776" i="1"/>
  <c r="K1788" i="1"/>
  <c r="I1809" i="1"/>
  <c r="I1836" i="1"/>
  <c r="I1848" i="1"/>
  <c r="I1859" i="1"/>
  <c r="K1565" i="1"/>
  <c r="K1583" i="1"/>
  <c r="K1604" i="1"/>
  <c r="K1619" i="1"/>
  <c r="K1634" i="1"/>
  <c r="I1664" i="1"/>
  <c r="I1676" i="1"/>
  <c r="I1691" i="1"/>
  <c r="I1703" i="1"/>
  <c r="I1718" i="1"/>
  <c r="I1730" i="1"/>
  <c r="I1757" i="1"/>
  <c r="I1772" i="1"/>
  <c r="K1803" i="1"/>
  <c r="K1838" i="1"/>
  <c r="I1857" i="1"/>
  <c r="K1730" i="1"/>
  <c r="K1010" i="1"/>
  <c r="K1074" i="1"/>
  <c r="K1277" i="1"/>
  <c r="K1439" i="1"/>
  <c r="K1745" i="1"/>
  <c r="K1452" i="1"/>
  <c r="K1612" i="1"/>
  <c r="K1772" i="1"/>
  <c r="K1744" i="1"/>
  <c r="K896" i="1"/>
  <c r="K855" i="1"/>
  <c r="K478" i="1"/>
  <c r="K475" i="1"/>
  <c r="K708" i="1"/>
  <c r="I1639" i="1"/>
  <c r="K1301" i="1"/>
  <c r="I1311" i="1"/>
  <c r="I1422" i="1"/>
  <c r="K730" i="1"/>
  <c r="I1337" i="1"/>
  <c r="I1021" i="1"/>
  <c r="I765" i="1"/>
  <c r="I509" i="1"/>
  <c r="K698" i="1"/>
  <c r="I1813" i="1"/>
  <c r="I1347" i="1"/>
  <c r="I1163" i="1"/>
  <c r="I1028" i="1"/>
  <c r="I900" i="1"/>
  <c r="I772" i="1"/>
  <c r="I644" i="1"/>
  <c r="K953" i="1"/>
  <c r="K479" i="1"/>
  <c r="I1604" i="1"/>
  <c r="I1485" i="1"/>
  <c r="I1223" i="1"/>
  <c r="I1031" i="1"/>
  <c r="I859" i="1"/>
  <c r="I689" i="1"/>
  <c r="I534" i="1"/>
  <c r="I392" i="1"/>
  <c r="H1746" i="1"/>
  <c r="H1618" i="1"/>
  <c r="H1490" i="1"/>
  <c r="H1362" i="1"/>
  <c r="H1234" i="1"/>
  <c r="H1106" i="1"/>
  <c r="H978" i="1"/>
  <c r="H866" i="1"/>
  <c r="H738" i="1"/>
  <c r="K931" i="1"/>
  <c r="I1573" i="1"/>
  <c r="I1281" i="1"/>
  <c r="I1072" i="1"/>
  <c r="I902" i="1"/>
  <c r="I730" i="1"/>
  <c r="I569" i="1"/>
  <c r="I423" i="1"/>
  <c r="H1777" i="1"/>
  <c r="H1649" i="1"/>
  <c r="H1521" i="1"/>
  <c r="H1393" i="1"/>
  <c r="K1111" i="1"/>
  <c r="I1644" i="1"/>
  <c r="I1346" i="1"/>
  <c r="I1114" i="1"/>
  <c r="I943" i="1"/>
  <c r="I771" i="1"/>
  <c r="I604" i="1"/>
  <c r="I458" i="1"/>
  <c r="H1808" i="1"/>
  <c r="H1680" i="1"/>
  <c r="H1552" i="1"/>
  <c r="H1424" i="1"/>
  <c r="H1296" i="1"/>
  <c r="K1235" i="1"/>
  <c r="I1291" i="1"/>
  <c r="I978" i="1"/>
  <c r="I704" i="1"/>
  <c r="I518" i="1"/>
  <c r="I403" i="1"/>
  <c r="H1860" i="1"/>
  <c r="H1757" i="1"/>
  <c r="H1654" i="1"/>
  <c r="H1551" i="1"/>
  <c r="H1451" i="1"/>
  <c r="H1348" i="1"/>
  <c r="H1255" i="1"/>
  <c r="H1174" i="1"/>
  <c r="H1101" i="1"/>
  <c r="H1028" i="1"/>
  <c r="H955" i="1"/>
  <c r="H881" i="1"/>
  <c r="H808" i="1"/>
  <c r="H735" i="1"/>
  <c r="H665" i="1"/>
  <c r="H601" i="1"/>
  <c r="H537" i="1"/>
  <c r="H473" i="1"/>
  <c r="H409" i="1"/>
  <c r="K492" i="1"/>
  <c r="I1561" i="1"/>
  <c r="I1147" i="1"/>
  <c r="K963" i="1"/>
  <c r="K375" i="1"/>
  <c r="I1824" i="1"/>
  <c r="I1481" i="1"/>
  <c r="I1261" i="1"/>
  <c r="I1096" i="1"/>
  <c r="I959" i="1"/>
  <c r="I822" i="1"/>
  <c r="I683" i="1"/>
  <c r="I558" i="1"/>
  <c r="I443" i="1"/>
  <c r="H1795" i="1"/>
  <c r="H1692" i="1"/>
  <c r="H1589" i="1"/>
  <c r="H1486" i="1"/>
  <c r="H1383" i="1"/>
  <c r="H1286" i="1"/>
  <c r="H1201" i="1"/>
  <c r="H1127" i="1"/>
  <c r="H1054" i="1"/>
  <c r="H981" i="1"/>
  <c r="H908" i="1"/>
  <c r="H835" i="1"/>
  <c r="H761" i="1"/>
  <c r="H688" i="1"/>
  <c r="H624" i="1"/>
  <c r="H560" i="1"/>
  <c r="H496" i="1"/>
  <c r="H432" i="1"/>
  <c r="H368" i="1"/>
  <c r="K860" i="1"/>
  <c r="I1762" i="1"/>
  <c r="I1212" i="1"/>
  <c r="K956" i="1"/>
  <c r="K371" i="1"/>
  <c r="I1808" i="1"/>
  <c r="I1477" i="1"/>
  <c r="I1258" i="1"/>
  <c r="I1090" i="1"/>
  <c r="I958" i="1"/>
  <c r="I819" i="1"/>
  <c r="I682" i="1"/>
  <c r="I556" i="1"/>
  <c r="I439" i="1"/>
  <c r="H1791" i="1"/>
  <c r="H1691" i="1"/>
  <c r="H1588" i="1"/>
  <c r="H1485" i="1"/>
  <c r="H1382" i="1"/>
  <c r="H1285" i="1"/>
  <c r="H1199" i="1"/>
  <c r="H1126" i="1"/>
  <c r="H1053" i="1"/>
  <c r="H980" i="1"/>
  <c r="H907" i="1"/>
  <c r="H833" i="1"/>
  <c r="H779" i="1"/>
  <c r="H705" i="1"/>
  <c r="H639" i="1"/>
  <c r="H575" i="1"/>
  <c r="H511" i="1"/>
  <c r="H447" i="1"/>
  <c r="H383" i="1"/>
  <c r="K1703" i="1"/>
  <c r="I1378" i="1"/>
  <c r="I1034" i="1"/>
  <c r="I814" i="1"/>
  <c r="I600" i="1"/>
  <c r="I418" i="1"/>
  <c r="H1789" i="1"/>
  <c r="H1623" i="1"/>
  <c r="H1463" i="1"/>
  <c r="H1301" i="1"/>
  <c r="H1168" i="1"/>
  <c r="H1051" i="1"/>
  <c r="H933" i="1"/>
  <c r="H819" i="1"/>
  <c r="H701" i="1"/>
  <c r="H596" i="1"/>
  <c r="H493" i="1"/>
  <c r="H390" i="1"/>
  <c r="K836" i="1"/>
  <c r="I1245" i="1"/>
  <c r="I695" i="1"/>
  <c r="H1580" i="1"/>
  <c r="H1088" i="1"/>
  <c r="H755" i="1"/>
  <c r="H426" i="1"/>
  <c r="I1459" i="1"/>
  <c r="I883" i="1"/>
  <c r="I474" i="1"/>
  <c r="H1636" i="1"/>
  <c r="H1327" i="1"/>
  <c r="H1132" i="1"/>
  <c r="H1014" i="1"/>
  <c r="H896" i="1"/>
  <c r="K1562" i="1"/>
  <c r="K640" i="1"/>
  <c r="K1402" i="1"/>
  <c r="K1095" i="1"/>
  <c r="I1643" i="1"/>
  <c r="K437" i="1"/>
  <c r="I1472" i="1"/>
  <c r="K865" i="1"/>
  <c r="I1805" i="1"/>
  <c r="K1290" i="1"/>
  <c r="I1294" i="1"/>
  <c r="K513" i="1"/>
  <c r="I1687" i="1"/>
  <c r="I1239" i="1"/>
  <c r="I957" i="1"/>
  <c r="I701" i="1"/>
  <c r="I445" i="1"/>
  <c r="K481" i="1"/>
  <c r="I1653" i="1"/>
  <c r="I1297" i="1"/>
  <c r="I1127" i="1"/>
  <c r="I996" i="1"/>
  <c r="I868" i="1"/>
  <c r="I740" i="1"/>
  <c r="K1643" i="1"/>
  <c r="K813" i="1"/>
  <c r="K383" i="1"/>
  <c r="K1543" i="1"/>
  <c r="K599" i="1"/>
  <c r="I1419" i="1"/>
  <c r="I1167" i="1"/>
  <c r="I987" i="1"/>
  <c r="I817" i="1"/>
  <c r="I647" i="1"/>
  <c r="I497" i="1"/>
  <c r="I360" i="1"/>
  <c r="H1842" i="1"/>
  <c r="H1714" i="1"/>
  <c r="H1586" i="1"/>
  <c r="H1458" i="1"/>
  <c r="H1330" i="1"/>
  <c r="H1202" i="1"/>
  <c r="H1074" i="1"/>
  <c r="H946" i="1"/>
  <c r="H834" i="1"/>
  <c r="H706" i="1"/>
  <c r="K717" i="1"/>
  <c r="I1484" i="1"/>
  <c r="I1221" i="1"/>
  <c r="I1030" i="1"/>
  <c r="I858" i="1"/>
  <c r="I688" i="1"/>
  <c r="I532" i="1"/>
  <c r="I391" i="1"/>
  <c r="H1745" i="1"/>
  <c r="H1617" i="1"/>
  <c r="H1489" i="1"/>
  <c r="H1361" i="1"/>
  <c r="K874" i="1"/>
  <c r="I1555" i="1"/>
  <c r="I1277" i="1"/>
  <c r="I1071" i="1"/>
  <c r="I899" i="1"/>
  <c r="I729" i="1"/>
  <c r="I568" i="1"/>
  <c r="I422" i="1"/>
  <c r="H1776" i="1"/>
  <c r="H1648" i="1"/>
  <c r="H1520" i="1"/>
  <c r="H1392" i="1"/>
  <c r="H1264" i="1"/>
  <c r="K810" i="1"/>
  <c r="I1732" i="1"/>
  <c r="I1199" i="1"/>
  <c r="I907" i="1"/>
  <c r="I638" i="1"/>
  <c r="I502" i="1"/>
  <c r="I389" i="1"/>
  <c r="H1846" i="1"/>
  <c r="H1743" i="1"/>
  <c r="H1643" i="1"/>
  <c r="H1540" i="1"/>
  <c r="H1437" i="1"/>
  <c r="H1334" i="1"/>
  <c r="H1245" i="1"/>
  <c r="H1165" i="1"/>
  <c r="H1092" i="1"/>
  <c r="H1019" i="1"/>
  <c r="H945" i="1"/>
  <c r="H872" i="1"/>
  <c r="H799" i="1"/>
  <c r="H726" i="1"/>
  <c r="H657" i="1"/>
  <c r="H593" i="1"/>
  <c r="H529" i="1"/>
  <c r="H465" i="1"/>
  <c r="H401" i="1"/>
  <c r="K370" i="1"/>
  <c r="I1498" i="1"/>
  <c r="I1107" i="1"/>
  <c r="K892" i="1"/>
  <c r="I1768" i="1"/>
  <c r="I1457" i="1"/>
  <c r="I1242" i="1"/>
  <c r="I1078" i="1"/>
  <c r="I939" i="1"/>
  <c r="I802" i="1"/>
  <c r="I670" i="1"/>
  <c r="I545" i="1"/>
  <c r="I427" i="1"/>
  <c r="H1781" i="1"/>
  <c r="H1678" i="1"/>
  <c r="H1575" i="1"/>
  <c r="H1475" i="1"/>
  <c r="H1372" i="1"/>
  <c r="H1276" i="1"/>
  <c r="H1191" i="1"/>
  <c r="H1118" i="1"/>
  <c r="H1045" i="1"/>
  <c r="H972" i="1"/>
  <c r="H899" i="1"/>
  <c r="H825" i="1"/>
  <c r="H752" i="1"/>
  <c r="H680" i="1"/>
  <c r="H616" i="1"/>
  <c r="H552" i="1"/>
  <c r="H488" i="1"/>
  <c r="H424" i="1"/>
  <c r="H360" i="1"/>
  <c r="K705" i="1"/>
  <c r="I1587" i="1"/>
  <c r="I1169" i="1"/>
  <c r="K867" i="1"/>
  <c r="I1764" i="1"/>
  <c r="I1445" i="1"/>
  <c r="I1241" i="1"/>
  <c r="I1075" i="1"/>
  <c r="I938" i="1"/>
  <c r="I801" i="1"/>
  <c r="I664" i="1"/>
  <c r="I544" i="1"/>
  <c r="I426" i="1"/>
  <c r="H1780" i="1"/>
  <c r="H1677" i="1"/>
  <c r="H1574" i="1"/>
  <c r="H1471" i="1"/>
  <c r="H1371" i="1"/>
  <c r="H1275" i="1"/>
  <c r="H1190" i="1"/>
  <c r="H1117" i="1"/>
  <c r="H1044" i="1"/>
  <c r="H971" i="1"/>
  <c r="H897" i="1"/>
  <c r="H824" i="1"/>
  <c r="H769" i="1"/>
  <c r="H696" i="1"/>
  <c r="H631" i="1"/>
  <c r="H567" i="1"/>
  <c r="H503" i="1"/>
  <c r="H439" i="1"/>
  <c r="H375" i="1"/>
  <c r="K1362" i="1"/>
  <c r="I1324" i="1"/>
  <c r="I1003" i="1"/>
  <c r="I791" i="1"/>
  <c r="I580" i="1"/>
  <c r="I395" i="1"/>
  <c r="H1772" i="1"/>
  <c r="H1606" i="1"/>
  <c r="H1443" i="1"/>
  <c r="H1283" i="1"/>
  <c r="H1152" i="1"/>
  <c r="H1038" i="1"/>
  <c r="H920" i="1"/>
  <c r="H803" i="1"/>
  <c r="H685" i="1"/>
  <c r="H582" i="1"/>
  <c r="H482" i="1"/>
  <c r="H379" i="1"/>
  <c r="K527" i="1"/>
  <c r="I1159" i="1"/>
  <c r="I641" i="1"/>
  <c r="H1494" i="1"/>
  <c r="H1047" i="1"/>
  <c r="H710" i="1"/>
  <c r="H398" i="1"/>
  <c r="I1354" i="1"/>
  <c r="I831" i="1"/>
  <c r="I405" i="1"/>
  <c r="H1596" i="1"/>
  <c r="H1292" i="1"/>
  <c r="H1103" i="1"/>
  <c r="H985" i="1"/>
  <c r="H868" i="1"/>
  <c r="H693" i="1"/>
  <c r="H589" i="1"/>
  <c r="H486" i="1"/>
  <c r="H386" i="1"/>
  <c r="K1699" i="1"/>
  <c r="K695" i="1"/>
  <c r="I1663" i="1"/>
  <c r="I1357" i="1"/>
  <c r="I1161" i="1"/>
  <c r="I1033" i="1"/>
  <c r="I919" i="1"/>
  <c r="I811" i="1"/>
  <c r="I705" i="1"/>
  <c r="I599" i="1"/>
  <c r="I507" i="1"/>
  <c r="I411" i="1"/>
  <c r="H1788" i="1"/>
  <c r="H1708" i="1"/>
  <c r="H1622" i="1"/>
  <c r="H1542" i="1"/>
  <c r="H1459" i="1"/>
  <c r="H1379" i="1"/>
  <c r="H1300" i="1"/>
  <c r="H1229" i="1"/>
  <c r="H1167" i="1"/>
  <c r="H1107" i="1"/>
  <c r="H1049" i="1"/>
  <c r="H992" i="1"/>
  <c r="H932" i="1"/>
  <c r="H875" i="1"/>
  <c r="H814" i="1"/>
  <c r="H757" i="1"/>
  <c r="H700" i="1"/>
  <c r="H645" i="1"/>
  <c r="H595" i="1"/>
  <c r="H542" i="1"/>
  <c r="H492" i="1"/>
  <c r="H442" i="1"/>
  <c r="H389" i="1"/>
  <c r="K665" i="1"/>
  <c r="I1409" i="1"/>
  <c r="I1054" i="1"/>
  <c r="I809" i="1"/>
  <c r="I547" i="1"/>
  <c r="H1620" i="1"/>
  <c r="H1331" i="1"/>
  <c r="H1133" i="1"/>
  <c r="H974" i="1"/>
  <c r="H783" i="1"/>
  <c r="H618" i="1"/>
  <c r="H476" i="1"/>
  <c r="K837" i="1"/>
  <c r="I1748" i="1"/>
  <c r="I1466" i="1"/>
  <c r="I1253" i="1"/>
  <c r="I1087" i="1"/>
  <c r="I970" i="1"/>
  <c r="I864" i="1"/>
  <c r="I758" i="1"/>
  <c r="I642" i="1"/>
  <c r="I548" i="1"/>
  <c r="I454" i="1"/>
  <c r="I370" i="1"/>
  <c r="H1827" i="1"/>
  <c r="H1747" i="1"/>
  <c r="H1661" i="1"/>
  <c r="H1581" i="1"/>
  <c r="H1495" i="1"/>
  <c r="H1415" i="1"/>
  <c r="H1335" i="1"/>
  <c r="H1261" i="1"/>
  <c r="H1195" i="1"/>
  <c r="H1134" i="1"/>
  <c r="H1077" i="1"/>
  <c r="H1020" i="1"/>
  <c r="H959" i="1"/>
  <c r="H902" i="1"/>
  <c r="H841" i="1"/>
  <c r="H813" i="1"/>
  <c r="H756" i="1"/>
  <c r="H695" i="1"/>
  <c r="H644" i="1"/>
  <c r="H594" i="1"/>
  <c r="H541" i="1"/>
  <c r="H491" i="1"/>
  <c r="H438" i="1"/>
  <c r="H388" i="1"/>
  <c r="I915" i="1"/>
  <c r="I430" i="1"/>
  <c r="H1803" i="1"/>
  <c r="H1597" i="1"/>
  <c r="H1391" i="1"/>
  <c r="H1207" i="1"/>
  <c r="H1031" i="1"/>
  <c r="H856" i="1"/>
  <c r="H682" i="1"/>
  <c r="H526" i="1"/>
  <c r="H373" i="1"/>
  <c r="K1600" i="1"/>
  <c r="K525" i="1"/>
  <c r="I1838" i="1"/>
  <c r="I1292" i="1"/>
  <c r="I968" i="1"/>
  <c r="I746" i="1"/>
  <c r="I539" i="1"/>
  <c r="I385" i="1"/>
  <c r="H1779" i="1"/>
  <c r="H1619" i="1"/>
  <c r="H1453" i="1"/>
  <c r="H1273" i="1"/>
  <c r="H1148" i="1"/>
  <c r="H1030" i="1"/>
  <c r="H912" i="1"/>
  <c r="H855" i="1"/>
  <c r="H737" i="1"/>
  <c r="H628" i="1"/>
  <c r="H525" i="1"/>
  <c r="H422" i="1"/>
  <c r="H483" i="1"/>
  <c r="H878" i="1"/>
  <c r="H1326" i="1"/>
  <c r="H549" i="1"/>
  <c r="H458" i="1"/>
  <c r="H588" i="1"/>
  <c r="H775" i="1"/>
  <c r="H924" i="1"/>
  <c r="H1085" i="1"/>
  <c r="H1251" i="1"/>
  <c r="H1452" i="1"/>
  <c r="H1671" i="1"/>
  <c r="I536" i="1"/>
  <c r="I799" i="1"/>
  <c r="I1102" i="1"/>
  <c r="I1695" i="1"/>
  <c r="H356" i="1"/>
  <c r="H494" i="1"/>
  <c r="H627" i="1"/>
  <c r="H776" i="1"/>
  <c r="H937" i="1"/>
  <c r="H1086" i="1"/>
  <c r="H1252" i="1"/>
  <c r="H1467" i="1"/>
  <c r="H1675" i="1"/>
  <c r="I466" i="1"/>
  <c r="I744" i="1"/>
  <c r="I1035" i="1"/>
  <c r="I1497" i="1"/>
  <c r="K748" i="1"/>
  <c r="H956" i="1"/>
  <c r="H1607" i="1"/>
  <c r="I713" i="1"/>
  <c r="K1107" i="1"/>
  <c r="H446" i="1"/>
  <c r="H1040" i="1"/>
  <c r="H430" i="1"/>
  <c r="H563" i="1"/>
  <c r="H703" i="1"/>
  <c r="H864" i="1"/>
  <c r="H939" i="1"/>
  <c r="H1096" i="1"/>
  <c r="H1257" i="1"/>
  <c r="H1468" i="1"/>
  <c r="H1687" i="1"/>
  <c r="I490" i="1"/>
  <c r="I745" i="1"/>
  <c r="I1038" i="1"/>
  <c r="I1546" i="1"/>
  <c r="K764" i="1"/>
  <c r="H586" i="1"/>
  <c r="H1039" i="1"/>
  <c r="H1548" i="1"/>
  <c r="I639" i="1"/>
  <c r="I1183" i="1"/>
  <c r="H419" i="1"/>
  <c r="H691" i="1"/>
  <c r="H1084" i="1"/>
  <c r="H1238" i="1"/>
  <c r="H1445" i="1"/>
  <c r="H1670" i="1"/>
  <c r="I464" i="1"/>
  <c r="I714" i="1"/>
  <c r="I1015" i="1"/>
  <c r="I1492" i="1"/>
  <c r="K1140" i="1"/>
  <c r="H661" i="1"/>
  <c r="H396" i="1"/>
  <c r="H534" i="1"/>
  <c r="H675" i="1"/>
  <c r="H822" i="1"/>
  <c r="H905" i="1"/>
  <c r="H1057" i="1"/>
  <c r="H1219" i="1"/>
  <c r="H1427" i="1"/>
  <c r="H1635" i="1"/>
  <c r="H1854" i="1"/>
  <c r="I421" i="1"/>
  <c r="I690" i="1"/>
  <c r="I983" i="1"/>
  <c r="I1389" i="1"/>
  <c r="K474" i="1"/>
  <c r="I1862" i="1"/>
  <c r="K1358" i="1"/>
  <c r="K1733" i="1"/>
  <c r="K1486" i="1"/>
  <c r="K1677" i="1"/>
  <c r="K1797" i="1"/>
  <c r="K1032" i="1"/>
  <c r="K1160" i="1"/>
  <c r="K1303" i="1"/>
  <c r="K1473" i="1"/>
  <c r="K1729" i="1"/>
  <c r="K1240" i="1"/>
  <c r="K1387" i="1"/>
  <c r="K1602" i="1"/>
  <c r="K994" i="1"/>
  <c r="K1259" i="1"/>
  <c r="K1475" i="1"/>
  <c r="K1784" i="1"/>
  <c r="K1532" i="1"/>
  <c r="K1756" i="1"/>
  <c r="K1485" i="1"/>
  <c r="K1168" i="1"/>
  <c r="K1312" i="1"/>
  <c r="K1487" i="1"/>
  <c r="K1754" i="1"/>
  <c r="K1249" i="1"/>
  <c r="K1399" i="1"/>
  <c r="K1627" i="1"/>
  <c r="K1002" i="1"/>
  <c r="K1090" i="1"/>
  <c r="K1268" i="1"/>
  <c r="K1503" i="1"/>
  <c r="K1809" i="1"/>
  <c r="K1540" i="1"/>
  <c r="K1780" i="1"/>
  <c r="K1493" i="1"/>
  <c r="I1541" i="1"/>
  <c r="I1565" i="1"/>
  <c r="I1583" i="1"/>
  <c r="I1595" i="1"/>
  <c r="I1616" i="1"/>
  <c r="I1631" i="1"/>
  <c r="I1649" i="1"/>
  <c r="K1665" i="1"/>
  <c r="K1680" i="1"/>
  <c r="K1695" i="1"/>
  <c r="K1707" i="1"/>
  <c r="K1719" i="1"/>
  <c r="K1737" i="1"/>
  <c r="K1749" i="1"/>
  <c r="K1767" i="1"/>
  <c r="K1781" i="1"/>
  <c r="K1802" i="1"/>
  <c r="I1821" i="1"/>
  <c r="I1842" i="1"/>
  <c r="I1854" i="1"/>
  <c r="K1547" i="1"/>
  <c r="K1577" i="1"/>
  <c r="K1592" i="1"/>
  <c r="K1613" i="1"/>
  <c r="K1628" i="1"/>
  <c r="K1640" i="1"/>
  <c r="I1670" i="1"/>
  <c r="I1682" i="1"/>
  <c r="I1697" i="1"/>
  <c r="I1712" i="1"/>
  <c r="I1724" i="1"/>
  <c r="I1739" i="1"/>
  <c r="I1763" i="1"/>
  <c r="I1787" i="1"/>
  <c r="K1823" i="1"/>
  <c r="K1844" i="1"/>
  <c r="K1833" i="1"/>
  <c r="K1138" i="1"/>
  <c r="K1204" i="1"/>
  <c r="K1351" i="1"/>
  <c r="K1539" i="1"/>
  <c r="K1848" i="1"/>
  <c r="K1516" i="1"/>
  <c r="K1676" i="1"/>
  <c r="K1836" i="1"/>
  <c r="K1477" i="1"/>
  <c r="K1605" i="1"/>
  <c r="K1230" i="1"/>
  <c r="H1585" i="1"/>
  <c r="I816" i="1"/>
  <c r="I1822" i="1"/>
  <c r="H914" i="1"/>
  <c r="H1426" i="1"/>
  <c r="I607" i="1"/>
  <c r="I1353" i="1"/>
  <c r="I1832" i="1"/>
  <c r="I708" i="1"/>
  <c r="I1249" i="1"/>
  <c r="I637" i="1"/>
  <c r="I1575" i="1"/>
  <c r="I1817" i="1"/>
  <c r="K996" i="1"/>
  <c r="I1514" i="1"/>
  <c r="I893" i="1"/>
  <c r="I1166" i="1"/>
  <c r="K607" i="1"/>
  <c r="K1392" i="1"/>
  <c r="K1792" i="1"/>
  <c r="I1550" i="1"/>
  <c r="I1571" i="1"/>
  <c r="I1580" i="1"/>
  <c r="I1607" i="1"/>
  <c r="I1634" i="1"/>
  <c r="I1812" i="1"/>
  <c r="K1791" i="1"/>
  <c r="I1818" i="1"/>
  <c r="I1830" i="1"/>
  <c r="I1833" i="1"/>
  <c r="L2" i="1" l="1"/>
  <c r="M172" i="1"/>
  <c r="O172" i="1" s="1"/>
  <c r="M125" i="1"/>
  <c r="O125" i="1" s="1"/>
  <c r="M342" i="1"/>
  <c r="O342" i="1" s="1"/>
  <c r="M395" i="1"/>
  <c r="O395" i="1" s="1"/>
  <c r="M305" i="1"/>
  <c r="O305" i="1" s="1"/>
  <c r="M313" i="1"/>
  <c r="O313" i="1" s="1"/>
  <c r="M317" i="1"/>
  <c r="O317" i="1" s="1"/>
  <c r="M297" i="1"/>
  <c r="O297" i="1" s="1"/>
  <c r="M319" i="1"/>
  <c r="O319" i="1" s="1"/>
  <c r="M243" i="1"/>
  <c r="O243" i="1" s="1"/>
  <c r="M247" i="1"/>
  <c r="O247" i="1" s="1"/>
  <c r="M272" i="1"/>
  <c r="O272" i="1" s="1"/>
  <c r="M344" i="1"/>
  <c r="O344" i="1" s="1"/>
  <c r="M340" i="1"/>
  <c r="O340" i="1" s="1"/>
  <c r="M300" i="1"/>
  <c r="O300" i="1" s="1"/>
  <c r="M180" i="1"/>
  <c r="O180" i="1" s="1"/>
  <c r="M343" i="1"/>
  <c r="O343" i="1" s="1"/>
  <c r="M308" i="1"/>
  <c r="O308" i="1" s="1"/>
  <c r="M337" i="1"/>
  <c r="O337" i="1" s="1"/>
  <c r="M259" i="1"/>
  <c r="O259" i="1" s="1"/>
  <c r="M292" i="1"/>
  <c r="O292" i="1" s="1"/>
  <c r="M287" i="1"/>
  <c r="O287" i="1" s="1"/>
  <c r="M258" i="1"/>
  <c r="O258" i="1" s="1"/>
  <c r="M205" i="1"/>
  <c r="O205" i="1" s="1"/>
  <c r="M213" i="1"/>
  <c r="O213" i="1" s="1"/>
  <c r="M192" i="1"/>
  <c r="O192" i="1" s="1"/>
  <c r="M219" i="1"/>
  <c r="O219" i="1" s="1"/>
  <c r="M198" i="1"/>
  <c r="O198" i="1" s="1"/>
  <c r="M128" i="1"/>
  <c r="O128" i="1" s="1"/>
  <c r="M231" i="1"/>
  <c r="O231" i="1" s="1"/>
  <c r="M165" i="1"/>
  <c r="O165" i="1" s="1"/>
  <c r="M136" i="1"/>
  <c r="O136" i="1" s="1"/>
  <c r="M148" i="1"/>
  <c r="O148" i="1" s="1"/>
  <c r="M135" i="1"/>
  <c r="O135" i="1" s="1"/>
  <c r="M199" i="1"/>
  <c r="O199" i="1" s="1"/>
  <c r="M307" i="1"/>
  <c r="O307" i="1" s="1"/>
  <c r="M326" i="1"/>
  <c r="O326" i="1" s="1"/>
  <c r="M334" i="1"/>
  <c r="O334" i="1" s="1"/>
  <c r="M224" i="1"/>
  <c r="O224" i="1" s="1"/>
  <c r="M316" i="1"/>
  <c r="O316" i="1" s="1"/>
  <c r="M324" i="1"/>
  <c r="O324" i="1" s="1"/>
  <c r="M345" i="1"/>
  <c r="O345" i="1" s="1"/>
  <c r="M245" i="1"/>
  <c r="O245" i="1" s="1"/>
  <c r="M302" i="1"/>
  <c r="O302" i="1" s="1"/>
  <c r="M310" i="1"/>
  <c r="O310" i="1" s="1"/>
  <c r="M331" i="1"/>
  <c r="O331" i="1" s="1"/>
  <c r="M284" i="1"/>
  <c r="O284" i="1" s="1"/>
  <c r="M265" i="1"/>
  <c r="O265" i="1" s="1"/>
  <c r="M257" i="1"/>
  <c r="O257" i="1" s="1"/>
  <c r="M226" i="1"/>
  <c r="O226" i="1" s="1"/>
  <c r="M155" i="1"/>
  <c r="O155" i="1" s="1"/>
  <c r="M290" i="1"/>
  <c r="O290" i="1" s="1"/>
  <c r="M271" i="1"/>
  <c r="O271" i="1" s="1"/>
  <c r="M250" i="1"/>
  <c r="O250" i="1" s="1"/>
  <c r="M242" i="1"/>
  <c r="O242" i="1" s="1"/>
  <c r="M220" i="1"/>
  <c r="O220" i="1" s="1"/>
  <c r="M203" i="1"/>
  <c r="O203" i="1" s="1"/>
  <c r="M185" i="1"/>
  <c r="O185" i="1" s="1"/>
  <c r="M147" i="1"/>
  <c r="O147" i="1" s="1"/>
  <c r="M285" i="1"/>
  <c r="O285" i="1" s="1"/>
  <c r="M264" i="1"/>
  <c r="O264" i="1" s="1"/>
  <c r="M256" i="1"/>
  <c r="O256" i="1" s="1"/>
  <c r="M197" i="1"/>
  <c r="O197" i="1" s="1"/>
  <c r="M132" i="1"/>
  <c r="O132" i="1" s="1"/>
  <c r="M238" i="1"/>
  <c r="O238" i="1" s="1"/>
  <c r="M230" i="1"/>
  <c r="O230" i="1" s="1"/>
  <c r="M211" i="1"/>
  <c r="O211" i="1" s="1"/>
  <c r="M225" i="1"/>
  <c r="O225" i="1" s="1"/>
  <c r="M204" i="1"/>
  <c r="O204" i="1" s="1"/>
  <c r="M196" i="1"/>
  <c r="O196" i="1" s="1"/>
  <c r="M237" i="1"/>
  <c r="O237" i="1" s="1"/>
  <c r="M216" i="1"/>
  <c r="O216" i="1" s="1"/>
  <c r="M208" i="1"/>
  <c r="O208" i="1" s="1"/>
  <c r="M190" i="1"/>
  <c r="O190" i="1" s="1"/>
  <c r="M182" i="1"/>
  <c r="O182" i="1" s="1"/>
  <c r="M163" i="1"/>
  <c r="O163" i="1" s="1"/>
  <c r="M142" i="1"/>
  <c r="O142" i="1" s="1"/>
  <c r="M134" i="1"/>
  <c r="O134" i="1" s="1"/>
  <c r="M175" i="1"/>
  <c r="O175" i="1" s="1"/>
  <c r="M154" i="1"/>
  <c r="O154" i="1" s="1"/>
  <c r="M146" i="1"/>
  <c r="O146" i="1" s="1"/>
  <c r="M127" i="1"/>
  <c r="O127" i="1" s="1"/>
  <c r="M168" i="1"/>
  <c r="O168" i="1" s="1"/>
  <c r="M160" i="1"/>
  <c r="O160" i="1" s="1"/>
  <c r="M141" i="1"/>
  <c r="O141" i="1" s="1"/>
  <c r="J3" i="1"/>
  <c r="J4" i="1" s="1"/>
  <c r="J5" i="1" s="1"/>
  <c r="J6" i="1" s="1"/>
  <c r="J7" i="1" s="1"/>
  <c r="J8" i="1" s="1"/>
  <c r="J9" i="1" s="1"/>
  <c r="J10" i="1" s="1"/>
  <c r="J11" i="1" s="1"/>
  <c r="J12" i="1" s="1"/>
  <c r="J13" i="1" s="1"/>
  <c r="J14" i="1" s="1"/>
  <c r="J15" i="1" s="1"/>
  <c r="J16" i="1" s="1"/>
  <c r="J17" i="1" s="1"/>
  <c r="J18" i="1" s="1"/>
  <c r="J19" i="1" s="1"/>
  <c r="J20" i="1" s="1"/>
  <c r="J21" i="1" s="1"/>
  <c r="J22" i="1" s="1"/>
  <c r="J23" i="1" s="1"/>
  <c r="J24" i="1" s="1"/>
  <c r="J25" i="1" s="1"/>
  <c r="J26" i="1" s="1"/>
  <c r="J27" i="1" s="1"/>
  <c r="J28" i="1" s="1"/>
  <c r="J29" i="1" s="1"/>
  <c r="J30" i="1" s="1"/>
  <c r="J31" i="1" s="1"/>
  <c r="J32" i="1" s="1"/>
  <c r="J33" i="1" s="1"/>
  <c r="J34" i="1" s="1"/>
  <c r="J35" i="1" s="1"/>
  <c r="J36" i="1" s="1"/>
  <c r="J37" i="1" s="1"/>
  <c r="J38" i="1" s="1"/>
  <c r="J39" i="1" s="1"/>
  <c r="J40" i="1" s="1"/>
  <c r="J41" i="1" s="1"/>
  <c r="J42" i="1" s="1"/>
  <c r="J43" i="1" s="1"/>
  <c r="J44" i="1" s="1"/>
  <c r="J45" i="1" s="1"/>
  <c r="J46" i="1" s="1"/>
  <c r="J47" i="1" s="1"/>
  <c r="J48" i="1" s="1"/>
  <c r="J49" i="1" s="1"/>
  <c r="J50" i="1" s="1"/>
  <c r="J51" i="1" s="1"/>
  <c r="J52" i="1" s="1"/>
  <c r="J53" i="1" s="1"/>
  <c r="J54" i="1" s="1"/>
  <c r="J55" i="1" s="1"/>
  <c r="J56" i="1" s="1"/>
  <c r="J57" i="1" s="1"/>
  <c r="J58" i="1" s="1"/>
  <c r="J59" i="1" s="1"/>
  <c r="J60" i="1" s="1"/>
  <c r="J61" i="1" s="1"/>
  <c r="J62" i="1" s="1"/>
  <c r="J63" i="1" s="1"/>
  <c r="J64" i="1" s="1"/>
  <c r="J65" i="1" s="1"/>
  <c r="J66" i="1" s="1"/>
  <c r="J67" i="1" s="1"/>
  <c r="J68" i="1" s="1"/>
  <c r="J69" i="1" s="1"/>
  <c r="J70" i="1" s="1"/>
  <c r="J71" i="1" s="1"/>
  <c r="J72" i="1" s="1"/>
  <c r="J73" i="1" s="1"/>
  <c r="J74" i="1" s="1"/>
  <c r="J75" i="1" s="1"/>
  <c r="J76" i="1" s="1"/>
  <c r="J77" i="1" s="1"/>
  <c r="J78" i="1" s="1"/>
  <c r="J79" i="1" s="1"/>
  <c r="J80" i="1" s="1"/>
  <c r="J81" i="1" s="1"/>
  <c r="J82" i="1" s="1"/>
  <c r="J83" i="1" s="1"/>
  <c r="J84" i="1" s="1"/>
  <c r="J85" i="1" s="1"/>
  <c r="J86" i="1" s="1"/>
  <c r="J87" i="1" s="1"/>
  <c r="J88" i="1" s="1"/>
  <c r="J89" i="1" s="1"/>
  <c r="J90" i="1" s="1"/>
  <c r="J91" i="1" s="1"/>
  <c r="J92" i="1" s="1"/>
  <c r="J93" i="1" s="1"/>
  <c r="J94" i="1" s="1"/>
  <c r="J95" i="1" s="1"/>
  <c r="J96" i="1" s="1"/>
  <c r="J97" i="1" s="1"/>
  <c r="J98" i="1" s="1"/>
  <c r="J99" i="1" s="1"/>
  <c r="J100" i="1" s="1"/>
  <c r="J101" i="1" s="1"/>
  <c r="J102" i="1" s="1"/>
  <c r="J103" i="1" s="1"/>
  <c r="J104" i="1" s="1"/>
  <c r="J105" i="1" s="1"/>
  <c r="J106" i="1" s="1"/>
  <c r="J107" i="1" s="1"/>
  <c r="J108" i="1" s="1"/>
  <c r="J109" i="1" s="1"/>
  <c r="J110" i="1" s="1"/>
  <c r="J111" i="1" s="1"/>
  <c r="J112" i="1" s="1"/>
  <c r="J113" i="1" s="1"/>
  <c r="J114" i="1" s="1"/>
  <c r="J115" i="1" s="1"/>
  <c r="J116" i="1" s="1"/>
  <c r="J117" i="1" s="1"/>
  <c r="J118" i="1" s="1"/>
  <c r="J119" i="1" s="1"/>
  <c r="J120" i="1" s="1"/>
  <c r="J121" i="1" s="1"/>
  <c r="J122" i="1" s="1"/>
  <c r="L122" i="1" s="1"/>
  <c r="M291" i="1"/>
  <c r="O291" i="1" s="1"/>
  <c r="M346" i="1"/>
  <c r="O346" i="1" s="1"/>
  <c r="M298" i="1"/>
  <c r="O298" i="1" s="1"/>
  <c r="M322" i="1"/>
  <c r="O322" i="1" s="1"/>
  <c r="M286" i="1"/>
  <c r="O286" i="1" s="1"/>
  <c r="M273" i="1"/>
  <c r="O273" i="1" s="1"/>
  <c r="M228" i="1"/>
  <c r="O228" i="1" s="1"/>
  <c r="M222" i="1"/>
  <c r="O222" i="1" s="1"/>
  <c r="M338" i="1"/>
  <c r="O338" i="1" s="1"/>
  <c r="M249" i="1"/>
  <c r="O249" i="1" s="1"/>
  <c r="M266" i="1"/>
  <c r="O266" i="1" s="1"/>
  <c r="M309" i="1"/>
  <c r="O309" i="1" s="1"/>
  <c r="M328" i="1"/>
  <c r="O328" i="1" s="1"/>
  <c r="M336" i="1"/>
  <c r="O336" i="1" s="1"/>
  <c r="M295" i="1"/>
  <c r="O295" i="1" s="1"/>
  <c r="M318" i="1"/>
  <c r="O318" i="1" s="1"/>
  <c r="M339" i="1"/>
  <c r="O339" i="1" s="1"/>
  <c r="M347" i="1"/>
  <c r="O347" i="1" s="1"/>
  <c r="M253" i="1"/>
  <c r="O253" i="1" s="1"/>
  <c r="M270" i="1"/>
  <c r="O270" i="1" s="1"/>
  <c r="M293" i="1"/>
  <c r="O293" i="1" s="1"/>
  <c r="M304" i="1"/>
  <c r="O304" i="1" s="1"/>
  <c r="M312" i="1"/>
  <c r="O312" i="1" s="1"/>
  <c r="M333" i="1"/>
  <c r="O333" i="1" s="1"/>
  <c r="M282" i="1"/>
  <c r="O282" i="1" s="1"/>
  <c r="M263" i="1"/>
  <c r="O263" i="1" s="1"/>
  <c r="M255" i="1"/>
  <c r="O255" i="1" s="1"/>
  <c r="M218" i="1"/>
  <c r="O218" i="1" s="1"/>
  <c r="M201" i="1"/>
  <c r="O201" i="1" s="1"/>
  <c r="M277" i="1"/>
  <c r="O277" i="1" s="1"/>
  <c r="M269" i="1"/>
  <c r="O269" i="1" s="1"/>
  <c r="M248" i="1"/>
  <c r="O248" i="1" s="1"/>
  <c r="M195" i="1"/>
  <c r="O195" i="1" s="1"/>
  <c r="M181" i="1"/>
  <c r="O181" i="1" s="1"/>
  <c r="M283" i="1"/>
  <c r="O283" i="1" s="1"/>
  <c r="M262" i="1"/>
  <c r="O262" i="1" s="1"/>
  <c r="M254" i="1"/>
  <c r="O254" i="1" s="1"/>
  <c r="M236" i="1"/>
  <c r="O236" i="1" s="1"/>
  <c r="M217" i="1"/>
  <c r="O217" i="1" s="1"/>
  <c r="M209" i="1"/>
  <c r="O209" i="1" s="1"/>
  <c r="M174" i="1"/>
  <c r="O174" i="1" s="1"/>
  <c r="M157" i="1"/>
  <c r="O157" i="1" s="1"/>
  <c r="M223" i="1"/>
  <c r="O223" i="1" s="1"/>
  <c r="M202" i="1"/>
  <c r="O202" i="1" s="1"/>
  <c r="M194" i="1"/>
  <c r="O194" i="1" s="1"/>
  <c r="M235" i="1"/>
  <c r="O235" i="1" s="1"/>
  <c r="M214" i="1"/>
  <c r="O214" i="1" s="1"/>
  <c r="M206" i="1"/>
  <c r="O206" i="1" s="1"/>
  <c r="M178" i="1"/>
  <c r="O178" i="1" s="1"/>
  <c r="M188" i="1"/>
  <c r="O188" i="1" s="1"/>
  <c r="M169" i="1"/>
  <c r="O169" i="1" s="1"/>
  <c r="M161" i="1"/>
  <c r="O161" i="1" s="1"/>
  <c r="M140" i="1"/>
  <c r="O140" i="1" s="1"/>
  <c r="M173" i="1"/>
  <c r="O173" i="1" s="1"/>
  <c r="M152" i="1"/>
  <c r="O152" i="1" s="1"/>
  <c r="M133" i="1"/>
  <c r="O133" i="1" s="1"/>
  <c r="M124" i="1"/>
  <c r="O124" i="1" s="1"/>
  <c r="M166" i="1"/>
  <c r="O166" i="1" s="1"/>
  <c r="M158" i="1"/>
  <c r="O158" i="1" s="1"/>
  <c r="M139" i="1"/>
  <c r="O139" i="1" s="1"/>
  <c r="L5" i="1"/>
  <c r="M315" i="1"/>
  <c r="O315" i="1" s="1"/>
  <c r="M332" i="1"/>
  <c r="O332" i="1" s="1"/>
  <c r="M314" i="1"/>
  <c r="O314" i="1" s="1"/>
  <c r="M329" i="1"/>
  <c r="O329" i="1" s="1"/>
  <c r="M278" i="1"/>
  <c r="O278" i="1" s="1"/>
  <c r="M252" i="1"/>
  <c r="O252" i="1" s="1"/>
  <c r="M244" i="1"/>
  <c r="O244" i="1" s="1"/>
  <c r="M279" i="1"/>
  <c r="O279" i="1" s="1"/>
  <c r="M232" i="1"/>
  <c r="O232" i="1" s="1"/>
  <c r="M227" i="1"/>
  <c r="O227" i="1" s="1"/>
  <c r="M176" i="1"/>
  <c r="O176" i="1" s="1"/>
  <c r="M151" i="1"/>
  <c r="O151" i="1" s="1"/>
  <c r="M239" i="1"/>
  <c r="O239" i="1" s="1"/>
  <c r="M210" i="1"/>
  <c r="O210" i="1" s="1"/>
  <c r="M191" i="1"/>
  <c r="O191" i="1" s="1"/>
  <c r="M184" i="1"/>
  <c r="O184" i="1" s="1"/>
  <c r="M144" i="1"/>
  <c r="O144" i="1" s="1"/>
  <c r="M177" i="1"/>
  <c r="O177" i="1" s="1"/>
  <c r="M156" i="1"/>
  <c r="O156" i="1" s="1"/>
  <c r="M129" i="1"/>
  <c r="O129" i="1" s="1"/>
  <c r="M183" i="1"/>
  <c r="O183" i="1" s="1"/>
  <c r="M162" i="1"/>
  <c r="O162" i="1" s="1"/>
  <c r="M143" i="1"/>
  <c r="O143" i="1" s="1"/>
  <c r="L3" i="1"/>
  <c r="M276" i="1"/>
  <c r="O276" i="1" s="1"/>
  <c r="M1164" i="1"/>
  <c r="O1164" i="1" s="1"/>
  <c r="M839" i="1"/>
  <c r="O839" i="1" s="1"/>
  <c r="M274" i="1"/>
  <c r="O274" i="1" s="1"/>
  <c r="M303" i="1"/>
  <c r="O303" i="1" s="1"/>
  <c r="M311" i="1"/>
  <c r="O311" i="1" s="1"/>
  <c r="M330" i="1"/>
  <c r="O330" i="1" s="1"/>
  <c r="M251" i="1"/>
  <c r="O251" i="1" s="1"/>
  <c r="M299" i="1"/>
  <c r="O299" i="1" s="1"/>
  <c r="M301" i="1"/>
  <c r="O301" i="1" s="1"/>
  <c r="M320" i="1"/>
  <c r="O320" i="1" s="1"/>
  <c r="M341" i="1"/>
  <c r="O341" i="1" s="1"/>
  <c r="M349" i="1"/>
  <c r="O349" i="1" s="1"/>
  <c r="M306" i="1"/>
  <c r="O306" i="1" s="1"/>
  <c r="M327" i="1"/>
  <c r="O327" i="1" s="1"/>
  <c r="M335" i="1"/>
  <c r="O335" i="1" s="1"/>
  <c r="M288" i="1"/>
  <c r="O288" i="1" s="1"/>
  <c r="M280" i="1"/>
  <c r="O280" i="1" s="1"/>
  <c r="M261" i="1"/>
  <c r="O261" i="1" s="1"/>
  <c r="M240" i="1"/>
  <c r="O240" i="1" s="1"/>
  <c r="M294" i="1"/>
  <c r="O294" i="1" s="1"/>
  <c r="M275" i="1"/>
  <c r="O275" i="1" s="1"/>
  <c r="M267" i="1"/>
  <c r="O267" i="1" s="1"/>
  <c r="M246" i="1"/>
  <c r="O246" i="1" s="1"/>
  <c r="M289" i="1"/>
  <c r="O289" i="1" s="1"/>
  <c r="M281" i="1"/>
  <c r="O281" i="1" s="1"/>
  <c r="M260" i="1"/>
  <c r="O260" i="1" s="1"/>
  <c r="M241" i="1"/>
  <c r="O241" i="1" s="1"/>
  <c r="M234" i="1"/>
  <c r="O234" i="1" s="1"/>
  <c r="M215" i="1"/>
  <c r="O215" i="1" s="1"/>
  <c r="M207" i="1"/>
  <c r="O207" i="1" s="1"/>
  <c r="M187" i="1"/>
  <c r="O187" i="1" s="1"/>
  <c r="M149" i="1"/>
  <c r="O149" i="1" s="1"/>
  <c r="M126" i="1"/>
  <c r="O126" i="1" s="1"/>
  <c r="M229" i="1"/>
  <c r="O229" i="1" s="1"/>
  <c r="M221" i="1"/>
  <c r="O221" i="1" s="1"/>
  <c r="M200" i="1"/>
  <c r="O200" i="1" s="1"/>
  <c r="M189" i="1"/>
  <c r="O189" i="1" s="1"/>
  <c r="M233" i="1"/>
  <c r="O233" i="1" s="1"/>
  <c r="M212" i="1"/>
  <c r="O212" i="1" s="1"/>
  <c r="M193" i="1"/>
  <c r="O193" i="1" s="1"/>
  <c r="M170" i="1"/>
  <c r="O170" i="1" s="1"/>
  <c r="M153" i="1"/>
  <c r="O153" i="1" s="1"/>
  <c r="M130" i="1"/>
  <c r="O130" i="1" s="1"/>
  <c r="M186" i="1"/>
  <c r="O186" i="1" s="1"/>
  <c r="M296" i="1"/>
  <c r="O296" i="1" s="1"/>
  <c r="M167" i="1"/>
  <c r="O167" i="1" s="1"/>
  <c r="M159" i="1"/>
  <c r="O159" i="1" s="1"/>
  <c r="M138" i="1"/>
  <c r="O138" i="1" s="1"/>
  <c r="M122" i="1"/>
  <c r="O122" i="1" s="1"/>
  <c r="M179" i="1"/>
  <c r="O179" i="1" s="1"/>
  <c r="M171" i="1"/>
  <c r="O171" i="1" s="1"/>
  <c r="M150" i="1"/>
  <c r="O150" i="1" s="1"/>
  <c r="M131" i="1"/>
  <c r="O131" i="1" s="1"/>
  <c r="M164" i="1"/>
  <c r="O164" i="1" s="1"/>
  <c r="M145" i="1"/>
  <c r="O145" i="1" s="1"/>
  <c r="M137" i="1"/>
  <c r="O137" i="1" s="1"/>
  <c r="M123" i="1"/>
  <c r="O123" i="1" s="1"/>
  <c r="L66" i="1"/>
  <c r="M268" i="1"/>
  <c r="O268" i="1" s="1"/>
  <c r="M325" i="1"/>
  <c r="O325" i="1" s="1"/>
  <c r="M323" i="1"/>
  <c r="O323" i="1" s="1"/>
  <c r="M321" i="1"/>
  <c r="O321" i="1" s="1"/>
  <c r="M348" i="1"/>
  <c r="O348" i="1" s="1"/>
  <c r="M731" i="1"/>
  <c r="O731" i="1" s="1"/>
  <c r="M1161" i="1"/>
  <c r="O1161" i="1" s="1"/>
  <c r="M1733" i="1"/>
  <c r="O1733" i="1" s="1"/>
  <c r="M704" i="1"/>
  <c r="O704" i="1" s="1"/>
  <c r="M1315" i="1"/>
  <c r="O1315" i="1" s="1"/>
  <c r="M411" i="1"/>
  <c r="O411" i="1" s="1"/>
  <c r="M759" i="1"/>
  <c r="O759" i="1" s="1"/>
  <c r="M1329" i="1"/>
  <c r="O1329" i="1" s="1"/>
  <c r="M1324" i="1"/>
  <c r="O1324" i="1" s="1"/>
  <c r="M1501" i="1"/>
  <c r="O1501" i="1" s="1"/>
  <c r="M400" i="1"/>
  <c r="O400" i="1" s="1"/>
  <c r="M378" i="1"/>
  <c r="O378" i="1" s="1"/>
  <c r="M371" i="1"/>
  <c r="O371" i="1" s="1"/>
  <c r="M420" i="1"/>
  <c r="O420" i="1" s="1"/>
  <c r="M1351" i="1"/>
  <c r="O1351" i="1" s="1"/>
  <c r="M823" i="1"/>
  <c r="O823" i="1" s="1"/>
  <c r="M1655" i="1"/>
  <c r="O1655" i="1" s="1"/>
  <c r="M427" i="1"/>
  <c r="O427" i="1" s="1"/>
  <c r="M913" i="1"/>
  <c r="O913" i="1" s="1"/>
  <c r="M1302" i="1"/>
  <c r="O1302" i="1" s="1"/>
  <c r="M1573" i="1"/>
  <c r="O1573" i="1" s="1"/>
  <c r="M443" i="1"/>
  <c r="O443" i="1" s="1"/>
  <c r="M793" i="1"/>
  <c r="O793" i="1" s="1"/>
  <c r="M1426" i="1"/>
  <c r="O1426" i="1" s="1"/>
  <c r="M1445" i="1"/>
  <c r="O1445" i="1" s="1"/>
  <c r="M586" i="1"/>
  <c r="O586" i="1" s="1"/>
  <c r="M563" i="1"/>
  <c r="O563" i="1" s="1"/>
  <c r="M956" i="1"/>
  <c r="O956" i="1" s="1"/>
  <c r="M1086" i="1"/>
  <c r="O1086" i="1" s="1"/>
  <c r="M494" i="1"/>
  <c r="O494" i="1" s="1"/>
  <c r="M1452" i="1"/>
  <c r="O1452" i="1" s="1"/>
  <c r="M775" i="1"/>
  <c r="O775" i="1" s="1"/>
  <c r="M549" i="1"/>
  <c r="O549" i="1" s="1"/>
  <c r="M525" i="1"/>
  <c r="O525" i="1" s="1"/>
  <c r="M912" i="1"/>
  <c r="O912" i="1" s="1"/>
  <c r="M1453" i="1"/>
  <c r="O1453" i="1" s="1"/>
  <c r="M526" i="1"/>
  <c r="O526" i="1" s="1"/>
  <c r="M491" i="1"/>
  <c r="O491" i="1" s="1"/>
  <c r="M902" i="1"/>
  <c r="O902" i="1" s="1"/>
  <c r="M1415" i="1"/>
  <c r="O1415" i="1" s="1"/>
  <c r="M783" i="1"/>
  <c r="O783" i="1" s="1"/>
  <c r="M875" i="1"/>
  <c r="O875" i="1" s="1"/>
  <c r="M1379" i="1"/>
  <c r="O1379" i="1" s="1"/>
  <c r="M1292" i="1"/>
  <c r="O1292" i="1" s="1"/>
  <c r="M582" i="1"/>
  <c r="O582" i="1" s="1"/>
  <c r="M1038" i="1"/>
  <c r="O1038" i="1" s="1"/>
  <c r="M897" i="1"/>
  <c r="O897" i="1" s="1"/>
  <c r="M747" i="1"/>
  <c r="O747" i="1" s="1"/>
  <c r="M488" i="1"/>
  <c r="O488" i="1" s="1"/>
  <c r="M1045" i="1"/>
  <c r="O1045" i="1" s="1"/>
  <c r="M1372" i="1"/>
  <c r="O1372" i="1" s="1"/>
  <c r="M593" i="1"/>
  <c r="O593" i="1" s="1"/>
  <c r="M872" i="1"/>
  <c r="O872" i="1" s="1"/>
  <c r="M834" i="1"/>
  <c r="O834" i="1" s="1"/>
  <c r="M896" i="1"/>
  <c r="O896" i="1" s="1"/>
  <c r="M1088" i="1"/>
  <c r="O1088" i="1" s="1"/>
  <c r="M980" i="1"/>
  <c r="O980" i="1" s="1"/>
  <c r="M560" i="1"/>
  <c r="O560" i="1" s="1"/>
  <c r="M835" i="1"/>
  <c r="O835" i="1" s="1"/>
  <c r="M955" i="1"/>
  <c r="O955" i="1" s="1"/>
  <c r="M883" i="1"/>
  <c r="O883" i="1" s="1"/>
  <c r="M851" i="1"/>
  <c r="O851" i="1" s="1"/>
  <c r="M869" i="1"/>
  <c r="O869" i="1" s="1"/>
  <c r="M1758" i="1"/>
  <c r="O1758" i="1" s="1"/>
  <c r="M613" i="1"/>
  <c r="O613" i="1" s="1"/>
  <c r="M358" i="1"/>
  <c r="O358" i="1" s="1"/>
  <c r="M1270" i="1"/>
  <c r="O1270" i="1" s="1"/>
  <c r="M1102" i="1"/>
  <c r="O1102" i="1" s="1"/>
  <c r="M1001" i="1"/>
  <c r="O1001" i="1" s="1"/>
  <c r="M1695" i="1"/>
  <c r="O1695" i="1" s="1"/>
  <c r="M505" i="1"/>
  <c r="O505" i="1" s="1"/>
  <c r="M478" i="1"/>
  <c r="O478" i="1" s="1"/>
  <c r="M1177" i="1"/>
  <c r="O1177" i="1" s="1"/>
  <c r="M1734" i="1"/>
  <c r="O1734" i="1" s="1"/>
  <c r="M1115" i="1"/>
  <c r="O1115" i="1" s="1"/>
  <c r="M1180" i="1"/>
  <c r="O1180" i="1" s="1"/>
  <c r="M1170" i="1"/>
  <c r="O1170" i="1" s="1"/>
  <c r="M1064" i="1"/>
  <c r="O1064" i="1" s="1"/>
  <c r="M598" i="1"/>
  <c r="O598" i="1" s="1"/>
  <c r="M1187" i="1"/>
  <c r="O1187" i="1" s="1"/>
  <c r="M1605" i="1"/>
  <c r="O1605" i="1" s="1"/>
  <c r="M868" i="1"/>
  <c r="O868" i="1" s="1"/>
  <c r="M819" i="1"/>
  <c r="O819" i="1" s="1"/>
  <c r="M675" i="1"/>
  <c r="O675" i="1" s="1"/>
  <c r="M1096" i="1"/>
  <c r="O1096" i="1" s="1"/>
  <c r="M1301" i="1"/>
  <c r="O1301" i="1" s="1"/>
  <c r="M1822" i="1"/>
  <c r="O1822" i="1" s="1"/>
  <c r="M511" i="1"/>
  <c r="O511" i="1" s="1"/>
  <c r="M779" i="1"/>
  <c r="O779" i="1" s="1"/>
  <c r="M1053" i="1"/>
  <c r="O1053" i="1" s="1"/>
  <c r="M1382" i="1"/>
  <c r="O1382" i="1" s="1"/>
  <c r="M1791" i="1"/>
  <c r="O1791" i="1" s="1"/>
  <c r="M368" i="1"/>
  <c r="O368" i="1" s="1"/>
  <c r="M624" i="1"/>
  <c r="O624" i="1" s="1"/>
  <c r="M908" i="1"/>
  <c r="O908" i="1" s="1"/>
  <c r="M1201" i="1"/>
  <c r="O1201" i="1" s="1"/>
  <c r="M1589" i="1"/>
  <c r="O1589" i="1" s="1"/>
  <c r="M612" i="1"/>
  <c r="O612" i="1" s="1"/>
  <c r="M611" i="1"/>
  <c r="O611" i="1" s="1"/>
  <c r="M473" i="1"/>
  <c r="O473" i="1" s="1"/>
  <c r="M735" i="1"/>
  <c r="O735" i="1" s="1"/>
  <c r="M1028" i="1"/>
  <c r="O1028" i="1" s="1"/>
  <c r="M1348" i="1"/>
  <c r="O1348" i="1" s="1"/>
  <c r="M1757" i="1"/>
  <c r="O1757" i="1" s="1"/>
  <c r="M1296" i="1"/>
  <c r="O1296" i="1" s="1"/>
  <c r="M1808" i="1"/>
  <c r="O1808" i="1" s="1"/>
  <c r="M1777" i="1"/>
  <c r="O1777" i="1" s="1"/>
  <c r="M1106" i="1"/>
  <c r="O1106" i="1" s="1"/>
  <c r="M1618" i="1"/>
  <c r="O1618" i="1" s="1"/>
  <c r="M1707" i="1"/>
  <c r="O1707" i="1" s="1"/>
  <c r="M1289" i="1"/>
  <c r="O1289" i="1" s="1"/>
  <c r="M1305" i="1"/>
  <c r="O1305" i="1" s="1"/>
  <c r="M602" i="1"/>
  <c r="O602" i="1" s="1"/>
  <c r="M1341" i="1"/>
  <c r="O1341" i="1" s="1"/>
  <c r="M805" i="1"/>
  <c r="O805" i="1" s="1"/>
  <c r="M1284" i="1"/>
  <c r="O1284" i="1" s="1"/>
  <c r="M1364" i="1"/>
  <c r="O1364" i="1" s="1"/>
  <c r="M636" i="1"/>
  <c r="O636" i="1" s="1"/>
  <c r="M1237" i="1"/>
  <c r="O1237" i="1" s="1"/>
  <c r="M1349" i="1"/>
  <c r="O1349" i="1" s="1"/>
  <c r="M702" i="1"/>
  <c r="O702" i="1" s="1"/>
  <c r="M1775" i="1"/>
  <c r="O1775" i="1" s="1"/>
  <c r="M1011" i="1"/>
  <c r="O1011" i="1" s="1"/>
  <c r="M720" i="1"/>
  <c r="O720" i="1" s="1"/>
  <c r="M372" i="1"/>
  <c r="O372" i="1" s="1"/>
  <c r="M795" i="1"/>
  <c r="O795" i="1" s="1"/>
  <c r="M1350" i="1"/>
  <c r="O1350" i="1" s="1"/>
  <c r="M604" i="1"/>
  <c r="O604" i="1" s="1"/>
  <c r="M1293" i="1"/>
  <c r="O1293" i="1" s="1"/>
  <c r="M516" i="1"/>
  <c r="O516" i="1" s="1"/>
  <c r="M727" i="1"/>
  <c r="O727" i="1" s="1"/>
  <c r="M988" i="1"/>
  <c r="O988" i="1" s="1"/>
  <c r="M1228" i="1"/>
  <c r="O1228" i="1" s="1"/>
  <c r="M1541" i="1"/>
  <c r="O1541" i="1" s="1"/>
  <c r="M1867" i="1"/>
  <c r="O1867" i="1" s="1"/>
  <c r="M387" i="1"/>
  <c r="O387" i="1" s="1"/>
  <c r="M1060" i="1"/>
  <c r="O1060" i="1" s="1"/>
  <c r="M517" i="1"/>
  <c r="O517" i="1" s="1"/>
  <c r="M728" i="1"/>
  <c r="O728" i="1" s="1"/>
  <c r="M960" i="1"/>
  <c r="O960" i="1" s="1"/>
  <c r="M1196" i="1"/>
  <c r="O1196" i="1" s="1"/>
  <c r="M1502" i="1"/>
  <c r="O1502" i="1" s="1"/>
  <c r="M1828" i="1"/>
  <c r="O1828" i="1" s="1"/>
  <c r="M530" i="1"/>
  <c r="O530" i="1" s="1"/>
  <c r="M531" i="1"/>
  <c r="O531" i="1" s="1"/>
  <c r="M436" i="1"/>
  <c r="O436" i="1" s="1"/>
  <c r="M811" i="1"/>
  <c r="O811" i="1" s="1"/>
  <c r="M1430" i="1"/>
  <c r="O1430" i="1" s="1"/>
  <c r="M885" i="1"/>
  <c r="O885" i="1" s="1"/>
  <c r="M635" i="1"/>
  <c r="O635" i="1" s="1"/>
  <c r="M1095" i="1"/>
  <c r="O1095" i="1" s="1"/>
  <c r="M1686" i="1"/>
  <c r="O1686" i="1" s="1"/>
  <c r="M407" i="1"/>
  <c r="O407" i="1" s="1"/>
  <c r="M663" i="1"/>
  <c r="O663" i="1" s="1"/>
  <c r="M1007" i="1"/>
  <c r="O1007" i="1" s="1"/>
  <c r="M1318" i="1"/>
  <c r="O1318" i="1" s="1"/>
  <c r="M1727" i="1"/>
  <c r="O1727" i="1" s="1"/>
  <c r="M1444" i="1"/>
  <c r="O1444" i="1" s="1"/>
  <c r="M584" i="1"/>
  <c r="O584" i="1" s="1"/>
  <c r="M862" i="1"/>
  <c r="O862" i="1" s="1"/>
  <c r="M1155" i="1"/>
  <c r="O1155" i="1" s="1"/>
  <c r="M1525" i="1"/>
  <c r="O1525" i="1" s="1"/>
  <c r="M433" i="1"/>
  <c r="O433" i="1" s="1"/>
  <c r="M689" i="1"/>
  <c r="O689" i="1" s="1"/>
  <c r="M982" i="1"/>
  <c r="O982" i="1" s="1"/>
  <c r="M1287" i="1"/>
  <c r="O1287" i="1" s="1"/>
  <c r="M1693" i="1"/>
  <c r="O1693" i="1" s="1"/>
  <c r="M1200" i="1"/>
  <c r="O1200" i="1" s="1"/>
  <c r="M1712" i="1"/>
  <c r="O1712" i="1" s="1"/>
  <c r="M1681" i="1"/>
  <c r="O1681" i="1" s="1"/>
  <c r="M506" i="1"/>
  <c r="O506" i="1" s="1"/>
  <c r="M1010" i="1"/>
  <c r="O1010" i="1" s="1"/>
  <c r="M1522" i="1"/>
  <c r="O1522" i="1" s="1"/>
  <c r="M1367" i="1"/>
  <c r="O1367" i="1" s="1"/>
  <c r="M958" i="1"/>
  <c r="O958" i="1" s="1"/>
  <c r="M454" i="1"/>
  <c r="O454" i="1" s="1"/>
  <c r="M660" i="1"/>
  <c r="O660" i="1" s="1"/>
  <c r="M892" i="1"/>
  <c r="O892" i="1" s="1"/>
  <c r="M1124" i="1"/>
  <c r="O1124" i="1" s="1"/>
  <c r="M1403" i="1"/>
  <c r="O1403" i="1" s="1"/>
  <c r="M1726" i="1"/>
  <c r="O1726" i="1" s="1"/>
  <c r="M423" i="1"/>
  <c r="O423" i="1" s="1"/>
  <c r="M551" i="1"/>
  <c r="O551" i="1" s="1"/>
  <c r="M679" i="1"/>
  <c r="O679" i="1" s="1"/>
  <c r="M806" i="1"/>
  <c r="O806" i="1" s="1"/>
  <c r="M952" i="1"/>
  <c r="O952" i="1" s="1"/>
  <c r="M1099" i="1"/>
  <c r="O1099" i="1" s="1"/>
  <c r="M1253" i="1"/>
  <c r="O1253" i="1" s="1"/>
  <c r="M1446" i="1"/>
  <c r="O1446" i="1" s="1"/>
  <c r="M1652" i="1"/>
  <c r="O1652" i="1" s="1"/>
  <c r="M1855" i="1"/>
  <c r="O1855" i="1" s="1"/>
  <c r="M408" i="1"/>
  <c r="O408" i="1" s="1"/>
  <c r="M536" i="1"/>
  <c r="O536" i="1" s="1"/>
  <c r="M664" i="1"/>
  <c r="O664" i="1" s="1"/>
  <c r="M807" i="1"/>
  <c r="O807" i="1" s="1"/>
  <c r="M953" i="1"/>
  <c r="O953" i="1" s="1"/>
  <c r="M1100" i="1"/>
  <c r="O1100" i="1" s="1"/>
  <c r="M1254" i="1"/>
  <c r="O1254" i="1" s="1"/>
  <c r="M1447" i="1"/>
  <c r="O1447" i="1" s="1"/>
  <c r="M1653" i="1"/>
  <c r="O1653" i="1" s="1"/>
  <c r="M1859" i="1"/>
  <c r="O1859" i="1" s="1"/>
  <c r="M1436" i="1"/>
  <c r="O1436" i="1" s="1"/>
  <c r="M385" i="1"/>
  <c r="O385" i="1" s="1"/>
  <c r="M513" i="1"/>
  <c r="O513" i="1" s="1"/>
  <c r="M641" i="1"/>
  <c r="O641" i="1" s="1"/>
  <c r="M781" i="1"/>
  <c r="O781" i="1" s="1"/>
  <c r="M927" i="1"/>
  <c r="O927" i="1" s="1"/>
  <c r="M1073" i="1"/>
  <c r="O1073" i="1" s="1"/>
  <c r="M1223" i="1"/>
  <c r="O1223" i="1" s="1"/>
  <c r="M1412" i="1"/>
  <c r="O1412" i="1" s="1"/>
  <c r="M1615" i="1"/>
  <c r="O1615" i="1" s="1"/>
  <c r="M1821" i="1"/>
  <c r="O1821" i="1" s="1"/>
  <c r="M699" i="1"/>
  <c r="O699" i="1" s="1"/>
  <c r="M1240" i="1"/>
  <c r="O1240" i="1" s="1"/>
  <c r="M1368" i="1"/>
  <c r="O1368" i="1" s="1"/>
  <c r="M1496" i="1"/>
  <c r="O1496" i="1" s="1"/>
  <c r="M1624" i="1"/>
  <c r="O1624" i="1" s="1"/>
  <c r="M1752" i="1"/>
  <c r="O1752" i="1" s="1"/>
  <c r="M1337" i="1"/>
  <c r="O1337" i="1" s="1"/>
  <c r="M1465" i="1"/>
  <c r="O1465" i="1" s="1"/>
  <c r="M1593" i="1"/>
  <c r="O1593" i="1" s="1"/>
  <c r="M1721" i="1"/>
  <c r="O1721" i="1" s="1"/>
  <c r="M1849" i="1"/>
  <c r="O1849" i="1" s="1"/>
  <c r="M810" i="1"/>
  <c r="O810" i="1" s="1"/>
  <c r="M954" i="1"/>
  <c r="O954" i="1" s="1"/>
  <c r="M1082" i="1"/>
  <c r="O1082" i="1" s="1"/>
  <c r="M1210" i="1"/>
  <c r="O1210" i="1" s="1"/>
  <c r="M1338" i="1"/>
  <c r="O1338" i="1" s="1"/>
  <c r="M1466" i="1"/>
  <c r="O1466" i="1" s="1"/>
  <c r="M1594" i="1"/>
  <c r="O1594" i="1" s="1"/>
  <c r="M1722" i="1"/>
  <c r="O1722" i="1" s="1"/>
  <c r="M1850" i="1"/>
  <c r="O1850" i="1" s="1"/>
  <c r="M662" i="1"/>
  <c r="O662" i="1" s="1"/>
  <c r="M1556" i="1"/>
  <c r="O1556" i="1" s="1"/>
  <c r="M1003" i="1"/>
  <c r="O1003" i="1" s="1"/>
  <c r="M468" i="1"/>
  <c r="O468" i="1" s="1"/>
  <c r="M674" i="1"/>
  <c r="O674" i="1" s="1"/>
  <c r="M904" i="1"/>
  <c r="O904" i="1" s="1"/>
  <c r="M1140" i="1"/>
  <c r="O1140" i="1" s="1"/>
  <c r="M1420" i="1"/>
  <c r="O1420" i="1" s="1"/>
  <c r="M1749" i="1"/>
  <c r="O1749" i="1" s="1"/>
  <c r="M431" i="1"/>
  <c r="O431" i="1" s="1"/>
  <c r="M559" i="1"/>
  <c r="O559" i="1" s="1"/>
  <c r="M687" i="1"/>
  <c r="O687" i="1" s="1"/>
  <c r="M815" i="1"/>
  <c r="O815" i="1" s="1"/>
  <c r="M961" i="1"/>
  <c r="O961" i="1" s="1"/>
  <c r="M1108" i="1"/>
  <c r="O1108" i="1" s="1"/>
  <c r="M1263" i="1"/>
  <c r="O1263" i="1" s="1"/>
  <c r="M1460" i="1"/>
  <c r="O1460" i="1" s="1"/>
  <c r="M1663" i="1"/>
  <c r="O1663" i="1" s="1"/>
  <c r="M416" i="1"/>
  <c r="O416" i="1" s="1"/>
  <c r="M544" i="1"/>
  <c r="O544" i="1" s="1"/>
  <c r="M672" i="1"/>
  <c r="O672" i="1" s="1"/>
  <c r="M816" i="1"/>
  <c r="O816" i="1" s="1"/>
  <c r="M963" i="1"/>
  <c r="O963" i="1" s="1"/>
  <c r="M1109" i="1"/>
  <c r="O1109" i="1" s="1"/>
  <c r="M1265" i="1"/>
  <c r="O1265" i="1" s="1"/>
  <c r="M1461" i="1"/>
  <c r="O1461" i="1" s="1"/>
  <c r="M1667" i="1"/>
  <c r="O1667" i="1" s="1"/>
  <c r="M393" i="1"/>
  <c r="O393" i="1" s="1"/>
  <c r="M521" i="1"/>
  <c r="O521" i="1" s="1"/>
  <c r="M649" i="1"/>
  <c r="O649" i="1" s="1"/>
  <c r="M790" i="1"/>
  <c r="O790" i="1" s="1"/>
  <c r="M936" i="1"/>
  <c r="O936" i="1" s="1"/>
  <c r="M1083" i="1"/>
  <c r="O1083" i="1" s="1"/>
  <c r="M1235" i="1"/>
  <c r="O1235" i="1" s="1"/>
  <c r="M1423" i="1"/>
  <c r="O1423" i="1" s="1"/>
  <c r="M1629" i="1"/>
  <c r="O1629" i="1" s="1"/>
  <c r="M1835" i="1"/>
  <c r="O1835" i="1" s="1"/>
  <c r="M1091" i="1"/>
  <c r="O1091" i="1" s="1"/>
  <c r="M1280" i="1"/>
  <c r="O1280" i="1" s="1"/>
  <c r="M1408" i="1"/>
  <c r="O1408" i="1" s="1"/>
  <c r="M1536" i="1"/>
  <c r="O1536" i="1" s="1"/>
  <c r="M1664" i="1"/>
  <c r="O1664" i="1" s="1"/>
  <c r="M1792" i="1"/>
  <c r="O1792" i="1" s="1"/>
  <c r="M403" i="1"/>
  <c r="O403" i="1" s="1"/>
  <c r="M1377" i="1"/>
  <c r="O1377" i="1" s="1"/>
  <c r="M1505" i="1"/>
  <c r="O1505" i="1" s="1"/>
  <c r="M1633" i="1"/>
  <c r="O1633" i="1" s="1"/>
  <c r="M1761" i="1"/>
  <c r="O1761" i="1" s="1"/>
  <c r="M948" i="1"/>
  <c r="O948" i="1" s="1"/>
  <c r="M722" i="1"/>
  <c r="O722" i="1" s="1"/>
  <c r="M850" i="1"/>
  <c r="O850" i="1" s="1"/>
  <c r="M994" i="1"/>
  <c r="O994" i="1" s="1"/>
  <c r="M1122" i="1"/>
  <c r="O1122" i="1" s="1"/>
  <c r="M1250" i="1"/>
  <c r="O1250" i="1" s="1"/>
  <c r="M1378" i="1"/>
  <c r="O1378" i="1" s="1"/>
  <c r="M1506" i="1"/>
  <c r="O1506" i="1" s="1"/>
  <c r="M1634" i="1"/>
  <c r="O1634" i="1" s="1"/>
  <c r="M1762" i="1"/>
  <c r="O1762" i="1" s="1"/>
  <c r="M893" i="1"/>
  <c r="O893" i="1" s="1"/>
  <c r="M652" i="1"/>
  <c r="O652" i="1" s="1"/>
  <c r="M362" i="1"/>
  <c r="O362" i="1" s="1"/>
  <c r="M1175" i="1"/>
  <c r="O1175" i="1" s="1"/>
  <c r="M1224" i="1"/>
  <c r="O1224" i="1" s="1"/>
  <c r="M1352" i="1"/>
  <c r="O1352" i="1" s="1"/>
  <c r="M1480" i="1"/>
  <c r="O1480" i="1" s="1"/>
  <c r="M1608" i="1"/>
  <c r="O1608" i="1" s="1"/>
  <c r="M1736" i="1"/>
  <c r="O1736" i="1" s="1"/>
  <c r="M1864" i="1"/>
  <c r="O1864" i="1" s="1"/>
  <c r="M1321" i="1"/>
  <c r="O1321" i="1" s="1"/>
  <c r="M1449" i="1"/>
  <c r="O1449" i="1" s="1"/>
  <c r="M1577" i="1"/>
  <c r="O1577" i="1" s="1"/>
  <c r="M1705" i="1"/>
  <c r="O1705" i="1" s="1"/>
  <c r="M1833" i="1"/>
  <c r="O1833" i="1" s="1"/>
  <c r="M794" i="1"/>
  <c r="O794" i="1" s="1"/>
  <c r="M906" i="1"/>
  <c r="O906" i="1" s="1"/>
  <c r="M1034" i="1"/>
  <c r="O1034" i="1" s="1"/>
  <c r="M1162" i="1"/>
  <c r="O1162" i="1" s="1"/>
  <c r="M1290" i="1"/>
  <c r="O1290" i="1" s="1"/>
  <c r="M1418" i="1"/>
  <c r="O1418" i="1" s="1"/>
  <c r="M1546" i="1"/>
  <c r="O1546" i="1" s="1"/>
  <c r="M1674" i="1"/>
  <c r="O1674" i="1" s="1"/>
  <c r="M1802" i="1"/>
  <c r="O1802" i="1" s="1"/>
  <c r="M569" i="1"/>
  <c r="O569" i="1" s="1"/>
  <c r="M911" i="1"/>
  <c r="O911" i="1" s="1"/>
  <c r="M877" i="1"/>
  <c r="O877" i="1" s="1"/>
  <c r="M773" i="1"/>
  <c r="O773" i="1" s="1"/>
  <c r="M1651" i="1"/>
  <c r="O1651" i="1" s="1"/>
  <c r="M643" i="1"/>
  <c r="O643" i="1" s="1"/>
  <c r="M923" i="1"/>
  <c r="O923" i="1" s="1"/>
  <c r="M412" i="1"/>
  <c r="O412" i="1" s="1"/>
  <c r="M543" i="1"/>
  <c r="O543" i="1" s="1"/>
  <c r="M871" i="1"/>
  <c r="O871" i="1" s="1"/>
  <c r="M1404" i="1"/>
  <c r="O1404" i="1" s="1"/>
  <c r="M1488" i="1"/>
  <c r="O1488" i="1" s="1"/>
  <c r="M1493" i="1"/>
  <c r="O1493" i="1" s="1"/>
  <c r="M556" i="1"/>
  <c r="O556" i="1" s="1"/>
  <c r="M1220" i="1"/>
  <c r="O1220" i="1" s="1"/>
  <c r="M474" i="1"/>
  <c r="O474" i="1" s="1"/>
  <c r="M943" i="1"/>
  <c r="O943" i="1" s="1"/>
  <c r="M1711" i="1"/>
  <c r="O1711" i="1" s="1"/>
  <c r="M1041" i="1"/>
  <c r="O1041" i="1" s="1"/>
  <c r="M509" i="1"/>
  <c r="O509" i="1" s="1"/>
  <c r="M1299" i="1"/>
  <c r="O1299" i="1" s="1"/>
  <c r="M654" i="1"/>
  <c r="O654" i="1" s="1"/>
  <c r="M1491" i="1"/>
  <c r="O1491" i="1" s="1"/>
  <c r="M1150" i="1"/>
  <c r="O1150" i="1" s="1"/>
  <c r="M1587" i="1"/>
  <c r="O1587" i="1" s="1"/>
  <c r="M1414" i="1"/>
  <c r="O1414" i="1" s="1"/>
  <c r="M1851" i="1"/>
  <c r="O1851" i="1" s="1"/>
  <c r="M820" i="1"/>
  <c r="O820" i="1" s="1"/>
  <c r="M1017" i="1"/>
  <c r="O1017" i="1" s="1"/>
  <c r="M1303" i="1"/>
  <c r="O1303" i="1" s="1"/>
  <c r="M638" i="1"/>
  <c r="O638" i="1" s="1"/>
  <c r="M766" i="1"/>
  <c r="O766" i="1" s="1"/>
  <c r="M894" i="1"/>
  <c r="O894" i="1" s="1"/>
  <c r="M1356" i="1"/>
  <c r="O1356" i="1" s="1"/>
  <c r="M887" i="1"/>
  <c r="O887" i="1" s="1"/>
  <c r="M1015" i="1"/>
  <c r="O1015" i="1" s="1"/>
  <c r="M800" i="1"/>
  <c r="O800" i="1" s="1"/>
  <c r="M1056" i="1"/>
  <c r="O1056" i="1" s="1"/>
  <c r="M1214" i="1"/>
  <c r="O1214" i="1" s="1"/>
  <c r="M1209" i="1"/>
  <c r="O1209" i="1" s="1"/>
  <c r="M501" i="1"/>
  <c r="O501" i="1" s="1"/>
  <c r="M901" i="1"/>
  <c r="O901" i="1" s="1"/>
  <c r="M1111" i="1"/>
  <c r="O1111" i="1" s="1"/>
  <c r="M550" i="1"/>
  <c r="O550" i="1" s="1"/>
  <c r="M677" i="1"/>
  <c r="O677" i="1" s="1"/>
  <c r="M1429" i="1"/>
  <c r="O1429" i="1" s="1"/>
  <c r="M1213" i="1"/>
  <c r="O1213" i="1" s="1"/>
  <c r="M712" i="1"/>
  <c r="O712" i="1" s="1"/>
  <c r="M1097" i="1"/>
  <c r="O1097" i="1" s="1"/>
  <c r="M1647" i="1"/>
  <c r="O1647" i="1" s="1"/>
  <c r="M1645" i="1"/>
  <c r="O1645" i="1" s="1"/>
  <c r="M1684" i="1"/>
  <c r="O1684" i="1" s="1"/>
  <c r="M1604" i="1"/>
  <c r="O1604" i="1" s="1"/>
  <c r="M910" i="1"/>
  <c r="O910" i="1" s="1"/>
  <c r="M1694" i="1"/>
  <c r="O1694" i="1" s="1"/>
  <c r="M1151" i="1"/>
  <c r="O1151" i="1" s="1"/>
  <c r="M380" i="1"/>
  <c r="O380" i="1" s="1"/>
  <c r="M650" i="1"/>
  <c r="O650" i="1" s="1"/>
  <c r="M1271" i="1"/>
  <c r="O1271" i="1" s="1"/>
  <c r="M1813" i="1"/>
  <c r="O1813" i="1" s="1"/>
  <c r="M1814" i="1"/>
  <c r="O1814" i="1" s="1"/>
  <c r="M1811" i="1"/>
  <c r="O1811" i="1" s="1"/>
  <c r="M1660" i="1"/>
  <c r="O1660" i="1" s="1"/>
  <c r="M1219" i="1"/>
  <c r="O1219" i="1" s="1"/>
  <c r="M1134" i="1"/>
  <c r="O1134" i="1" s="1"/>
  <c r="M1747" i="1"/>
  <c r="O1747" i="1" s="1"/>
  <c r="M442" i="1"/>
  <c r="O442" i="1" s="1"/>
  <c r="M645" i="1"/>
  <c r="O645" i="1" s="1"/>
  <c r="M693" i="1"/>
  <c r="O693" i="1" s="1"/>
  <c r="M1606" i="1"/>
  <c r="O1606" i="1" s="1"/>
  <c r="M631" i="1"/>
  <c r="O631" i="1" s="1"/>
  <c r="M1190" i="1"/>
  <c r="O1190" i="1" s="1"/>
  <c r="M1520" i="1"/>
  <c r="O1520" i="1" s="1"/>
  <c r="M1168" i="1"/>
  <c r="O1168" i="1" s="1"/>
  <c r="M1076" i="1"/>
  <c r="O1076" i="1" s="1"/>
  <c r="M409" i="1"/>
  <c r="O409" i="1" s="1"/>
  <c r="M1255" i="1"/>
  <c r="O1255" i="1" s="1"/>
  <c r="M1355" i="1"/>
  <c r="O1355" i="1" s="1"/>
  <c r="M1490" i="1"/>
  <c r="O1490" i="1" s="1"/>
  <c r="M1016" i="1"/>
  <c r="O1016" i="1" s="1"/>
  <c r="M1724" i="1"/>
  <c r="O1724" i="1" s="1"/>
  <c r="M1765" i="1"/>
  <c r="O1765" i="1" s="1"/>
  <c r="M1764" i="1"/>
  <c r="O1764" i="1" s="1"/>
  <c r="M1815" i="1"/>
  <c r="O1815" i="1" s="1"/>
  <c r="M1572" i="1"/>
  <c r="O1572" i="1" s="1"/>
  <c r="M1571" i="1"/>
  <c r="O1571" i="1" s="1"/>
  <c r="M451" i="1"/>
  <c r="O451" i="1" s="1"/>
  <c r="M914" i="1"/>
  <c r="O914" i="1" s="1"/>
  <c r="M461" i="1"/>
  <c r="O461" i="1" s="1"/>
  <c r="M1659" i="1"/>
  <c r="O1659" i="1" s="1"/>
  <c r="M1799" i="1"/>
  <c r="O1799" i="1" s="1"/>
  <c r="M1798" i="1"/>
  <c r="O1798" i="1" s="1"/>
  <c r="M1595" i="1"/>
  <c r="O1595" i="1" s="1"/>
  <c r="M1854" i="1"/>
  <c r="O1854" i="1" s="1"/>
  <c r="M534" i="1"/>
  <c r="O534" i="1" s="1"/>
  <c r="M1687" i="1"/>
  <c r="O1687" i="1" s="1"/>
  <c r="M430" i="1"/>
  <c r="O430" i="1" s="1"/>
  <c r="M937" i="1"/>
  <c r="O937" i="1" s="1"/>
  <c r="M588" i="1"/>
  <c r="O588" i="1" s="1"/>
  <c r="M1326" i="1"/>
  <c r="O1326" i="1" s="1"/>
  <c r="M1030" i="1"/>
  <c r="O1030" i="1" s="1"/>
  <c r="M682" i="1"/>
  <c r="O682" i="1" s="1"/>
  <c r="M756" i="1"/>
  <c r="O756" i="1" s="1"/>
  <c r="M1195" i="1"/>
  <c r="O1195" i="1" s="1"/>
  <c r="M1827" i="1"/>
  <c r="O1827" i="1" s="1"/>
  <c r="M700" i="1"/>
  <c r="O700" i="1" s="1"/>
  <c r="M932" i="1"/>
  <c r="O932" i="1" s="1"/>
  <c r="M1459" i="1"/>
  <c r="O1459" i="1" s="1"/>
  <c r="M1788" i="1"/>
  <c r="O1788" i="1" s="1"/>
  <c r="M386" i="1"/>
  <c r="O386" i="1" s="1"/>
  <c r="M1596" i="1"/>
  <c r="O1596" i="1" s="1"/>
  <c r="M1047" i="1"/>
  <c r="O1047" i="1" s="1"/>
  <c r="M685" i="1"/>
  <c r="O685" i="1" s="1"/>
  <c r="M1772" i="1"/>
  <c r="O1772" i="1" s="1"/>
  <c r="M439" i="1"/>
  <c r="O439" i="1" s="1"/>
  <c r="M696" i="1"/>
  <c r="O696" i="1" s="1"/>
  <c r="M1677" i="1"/>
  <c r="O1677" i="1" s="1"/>
  <c r="M987" i="1"/>
  <c r="O987" i="1" s="1"/>
  <c r="M552" i="1"/>
  <c r="O552" i="1" s="1"/>
  <c r="M1118" i="1"/>
  <c r="O1118" i="1" s="1"/>
  <c r="M657" i="1"/>
  <c r="O657" i="1" s="1"/>
  <c r="M1245" i="1"/>
  <c r="O1245" i="1" s="1"/>
  <c r="M1617" i="1"/>
  <c r="O1617" i="1" s="1"/>
  <c r="M1458" i="1"/>
  <c r="O1458" i="1" s="1"/>
  <c r="M633" i="1"/>
  <c r="O633" i="1" s="1"/>
  <c r="M1014" i="1"/>
  <c r="O1014" i="1" s="1"/>
  <c r="M1580" i="1"/>
  <c r="O1580" i="1" s="1"/>
  <c r="M477" i="1"/>
  <c r="O477" i="1" s="1"/>
  <c r="M905" i="1"/>
  <c r="O905" i="1" s="1"/>
  <c r="M661" i="1"/>
  <c r="O661" i="1" s="1"/>
  <c r="M1084" i="1"/>
  <c r="O1084" i="1" s="1"/>
  <c r="M1548" i="1"/>
  <c r="O1548" i="1" s="1"/>
  <c r="M884" i="1"/>
  <c r="O884" i="1" s="1"/>
  <c r="M1468" i="1"/>
  <c r="O1468" i="1" s="1"/>
  <c r="M864" i="1"/>
  <c r="O864" i="1" s="1"/>
  <c r="M446" i="1"/>
  <c r="O446" i="1" s="1"/>
  <c r="M867" i="1"/>
  <c r="O867" i="1" s="1"/>
  <c r="M1467" i="1"/>
  <c r="O1467" i="1" s="1"/>
  <c r="M776" i="1"/>
  <c r="O776" i="1" s="1"/>
  <c r="M1085" i="1"/>
  <c r="O1085" i="1" s="1"/>
  <c r="M458" i="1"/>
  <c r="O458" i="1" s="1"/>
  <c r="M878" i="1"/>
  <c r="O878" i="1" s="1"/>
  <c r="M737" i="1"/>
  <c r="O737" i="1" s="1"/>
  <c r="M1148" i="1"/>
  <c r="O1148" i="1" s="1"/>
  <c r="M1779" i="1"/>
  <c r="O1779" i="1" s="1"/>
  <c r="M856" i="1"/>
  <c r="O856" i="1" s="1"/>
  <c r="M1597" i="1"/>
  <c r="O1597" i="1" s="1"/>
  <c r="M388" i="1"/>
  <c r="O388" i="1" s="1"/>
  <c r="M594" i="1"/>
  <c r="O594" i="1" s="1"/>
  <c r="M813" i="1"/>
  <c r="O813" i="1" s="1"/>
  <c r="M1020" i="1"/>
  <c r="O1020" i="1" s="1"/>
  <c r="M1261" i="1"/>
  <c r="O1261" i="1" s="1"/>
  <c r="M1581" i="1"/>
  <c r="O1581" i="1" s="1"/>
  <c r="M957" i="1"/>
  <c r="O957" i="1" s="1"/>
  <c r="M476" i="1"/>
  <c r="O476" i="1" s="1"/>
  <c r="M1133" i="1"/>
  <c r="O1133" i="1" s="1"/>
  <c r="M542" i="1"/>
  <c r="O542" i="1" s="1"/>
  <c r="M757" i="1"/>
  <c r="O757" i="1" s="1"/>
  <c r="M992" i="1"/>
  <c r="O992" i="1" s="1"/>
  <c r="M1229" i="1"/>
  <c r="O1229" i="1" s="1"/>
  <c r="M1542" i="1"/>
  <c r="O1542" i="1" s="1"/>
  <c r="M486" i="1"/>
  <c r="O486" i="1" s="1"/>
  <c r="M985" i="1"/>
  <c r="O985" i="1" s="1"/>
  <c r="M1494" i="1"/>
  <c r="O1494" i="1" s="1"/>
  <c r="M379" i="1"/>
  <c r="O379" i="1" s="1"/>
  <c r="M803" i="1"/>
  <c r="O803" i="1" s="1"/>
  <c r="M1283" i="1"/>
  <c r="O1283" i="1" s="1"/>
  <c r="M503" i="1"/>
  <c r="O503" i="1" s="1"/>
  <c r="M769" i="1"/>
  <c r="O769" i="1" s="1"/>
  <c r="M1044" i="1"/>
  <c r="O1044" i="1" s="1"/>
  <c r="M1371" i="1"/>
  <c r="O1371" i="1" s="1"/>
  <c r="M1780" i="1"/>
  <c r="O1780" i="1" s="1"/>
  <c r="M360" i="1"/>
  <c r="O360" i="1" s="1"/>
  <c r="M616" i="1"/>
  <c r="O616" i="1" s="1"/>
  <c r="M899" i="1"/>
  <c r="O899" i="1" s="1"/>
  <c r="M1191" i="1"/>
  <c r="O1191" i="1" s="1"/>
  <c r="M1575" i="1"/>
  <c r="O1575" i="1" s="1"/>
  <c r="M490" i="1"/>
  <c r="O490" i="1" s="1"/>
  <c r="M465" i="1"/>
  <c r="O465" i="1" s="1"/>
  <c r="M726" i="1"/>
  <c r="O726" i="1" s="1"/>
  <c r="M1019" i="1"/>
  <c r="O1019" i="1" s="1"/>
  <c r="M1334" i="1"/>
  <c r="O1334" i="1" s="1"/>
  <c r="M1743" i="1"/>
  <c r="O1743" i="1" s="1"/>
  <c r="M1264" i="1"/>
  <c r="O1264" i="1" s="1"/>
  <c r="M1776" i="1"/>
  <c r="O1776" i="1" s="1"/>
  <c r="M1745" i="1"/>
  <c r="O1745" i="1" s="1"/>
  <c r="M1074" i="1"/>
  <c r="O1074" i="1" s="1"/>
  <c r="M1586" i="1"/>
  <c r="O1586" i="1" s="1"/>
  <c r="M1132" i="1"/>
  <c r="O1132" i="1" s="1"/>
  <c r="M426" i="1"/>
  <c r="O426" i="1" s="1"/>
  <c r="M493" i="1"/>
  <c r="O493" i="1" s="1"/>
  <c r="M933" i="1"/>
  <c r="O933" i="1" s="1"/>
  <c r="M1463" i="1"/>
  <c r="O1463" i="1" s="1"/>
  <c r="M575" i="1"/>
  <c r="O575" i="1" s="1"/>
  <c r="M833" i="1"/>
  <c r="O833" i="1" s="1"/>
  <c r="M1126" i="1"/>
  <c r="O1126" i="1" s="1"/>
  <c r="M1485" i="1"/>
  <c r="O1485" i="1" s="1"/>
  <c r="M432" i="1"/>
  <c r="O432" i="1" s="1"/>
  <c r="M688" i="1"/>
  <c r="O688" i="1" s="1"/>
  <c r="M981" i="1"/>
  <c r="O981" i="1" s="1"/>
  <c r="M1286" i="1"/>
  <c r="O1286" i="1" s="1"/>
  <c r="M1692" i="1"/>
  <c r="O1692" i="1" s="1"/>
  <c r="M537" i="1"/>
  <c r="O537" i="1" s="1"/>
  <c r="M808" i="1"/>
  <c r="O808" i="1" s="1"/>
  <c r="M1101" i="1"/>
  <c r="O1101" i="1" s="1"/>
  <c r="M1451" i="1"/>
  <c r="O1451" i="1" s="1"/>
  <c r="M1860" i="1"/>
  <c r="O1860" i="1" s="1"/>
  <c r="M1424" i="1"/>
  <c r="O1424" i="1" s="1"/>
  <c r="M1393" i="1"/>
  <c r="O1393" i="1" s="1"/>
  <c r="M738" i="1"/>
  <c r="O738" i="1" s="1"/>
  <c r="M1234" i="1"/>
  <c r="O1234" i="1" s="1"/>
  <c r="M1746" i="1"/>
  <c r="O1746" i="1" s="1"/>
  <c r="M828" i="1"/>
  <c r="O828" i="1" s="1"/>
  <c r="M1558" i="1"/>
  <c r="O1558" i="1" s="1"/>
  <c r="M1557" i="1"/>
  <c r="O1557" i="1" s="1"/>
  <c r="M1559" i="1"/>
  <c r="O1559" i="1" s="1"/>
  <c r="M1685" i="1"/>
  <c r="O1685" i="1" s="1"/>
  <c r="M1863" i="1"/>
  <c r="O1863" i="1" s="1"/>
  <c r="M1141" i="1"/>
  <c r="O1141" i="1" s="1"/>
  <c r="M469" i="1"/>
  <c r="O469" i="1" s="1"/>
  <c r="M1158" i="1"/>
  <c r="O1158" i="1" s="1"/>
  <c r="M587" i="1"/>
  <c r="O587" i="1" s="1"/>
  <c r="M764" i="1"/>
  <c r="O764" i="1" s="1"/>
  <c r="M1171" i="1"/>
  <c r="O1171" i="1" s="1"/>
  <c r="M498" i="1"/>
  <c r="O498" i="1" s="1"/>
  <c r="M651" i="1"/>
  <c r="O651" i="1" s="1"/>
  <c r="M1169" i="1"/>
  <c r="O1169" i="1" s="1"/>
  <c r="M562" i="1"/>
  <c r="O562" i="1" s="1"/>
  <c r="M1567" i="1"/>
  <c r="O1567" i="1" s="1"/>
  <c r="M849" i="1"/>
  <c r="O849" i="1" s="1"/>
  <c r="M475" i="1"/>
  <c r="O475" i="1" s="1"/>
  <c r="M969" i="1"/>
  <c r="O969" i="1" s="1"/>
  <c r="M1533" i="1"/>
  <c r="O1533" i="1" s="1"/>
  <c r="M767" i="1"/>
  <c r="O767" i="1" s="1"/>
  <c r="M1517" i="1"/>
  <c r="O1517" i="1" s="1"/>
  <c r="M363" i="1"/>
  <c r="O363" i="1" s="1"/>
  <c r="M566" i="1"/>
  <c r="O566" i="1" s="1"/>
  <c r="M784" i="1"/>
  <c r="O784" i="1" s="1"/>
  <c r="M1048" i="1"/>
  <c r="O1048" i="1" s="1"/>
  <c r="M1294" i="1"/>
  <c r="O1294" i="1" s="1"/>
  <c r="M1621" i="1"/>
  <c r="O1621" i="1" s="1"/>
  <c r="M540" i="1"/>
  <c r="O540" i="1" s="1"/>
  <c r="M1227" i="1"/>
  <c r="O1227" i="1" s="1"/>
  <c r="M364" i="1"/>
  <c r="O364" i="1" s="1"/>
  <c r="M570" i="1"/>
  <c r="O570" i="1" s="1"/>
  <c r="M785" i="1"/>
  <c r="O785" i="1" s="1"/>
  <c r="M1021" i="1"/>
  <c r="O1021" i="1" s="1"/>
  <c r="M1262" i="1"/>
  <c r="O1262" i="1" s="1"/>
  <c r="M1582" i="1"/>
  <c r="O1582" i="1" s="1"/>
  <c r="M539" i="1"/>
  <c r="O539" i="1" s="1"/>
  <c r="M928" i="1"/>
  <c r="O928" i="1" s="1"/>
  <c r="M1759" i="1"/>
  <c r="O1759" i="1" s="1"/>
  <c r="M1241" i="1"/>
  <c r="O1241" i="1" s="1"/>
  <c r="M745" i="1"/>
  <c r="O745" i="1" s="1"/>
  <c r="M1215" i="1"/>
  <c r="O1215" i="1" s="1"/>
  <c r="M1852" i="1"/>
  <c r="O1852" i="1" s="1"/>
  <c r="M721" i="1"/>
  <c r="O721" i="1" s="1"/>
  <c r="M471" i="1"/>
  <c r="O471" i="1" s="1"/>
  <c r="M733" i="1"/>
  <c r="O733" i="1" s="1"/>
  <c r="M1080" i="1"/>
  <c r="O1080" i="1" s="1"/>
  <c r="M1421" i="1"/>
  <c r="O1421" i="1" s="1"/>
  <c r="M1830" i="1"/>
  <c r="O1830" i="1" s="1"/>
  <c r="M392" i="1"/>
  <c r="O392" i="1" s="1"/>
  <c r="M648" i="1"/>
  <c r="O648" i="1" s="1"/>
  <c r="M935" i="1"/>
  <c r="O935" i="1" s="1"/>
  <c r="M1233" i="1"/>
  <c r="O1233" i="1" s="1"/>
  <c r="M1628" i="1"/>
  <c r="O1628" i="1" s="1"/>
  <c r="M497" i="1"/>
  <c r="O497" i="1" s="1"/>
  <c r="M763" i="1"/>
  <c r="O763" i="1" s="1"/>
  <c r="M1055" i="1"/>
  <c r="O1055" i="1" s="1"/>
  <c r="M1387" i="1"/>
  <c r="O1387" i="1" s="1"/>
  <c r="M1796" i="1"/>
  <c r="O1796" i="1" s="1"/>
  <c r="M1328" i="1"/>
  <c r="O1328" i="1" s="1"/>
  <c r="M1840" i="1"/>
  <c r="O1840" i="1" s="1"/>
  <c r="M1631" i="1"/>
  <c r="O1631" i="1" s="1"/>
  <c r="M1809" i="1"/>
  <c r="O1809" i="1" s="1"/>
  <c r="M1138" i="1"/>
  <c r="O1138" i="1" s="1"/>
  <c r="M1650" i="1"/>
  <c r="O1650" i="1" s="1"/>
  <c r="M1516" i="1"/>
  <c r="O1516" i="1" s="1"/>
  <c r="M462" i="1"/>
  <c r="O462" i="1" s="1"/>
  <c r="M1149" i="1"/>
  <c r="O1149" i="1" s="1"/>
  <c r="M507" i="1"/>
  <c r="O507" i="1" s="1"/>
  <c r="M713" i="1"/>
  <c r="O713" i="1" s="1"/>
  <c r="M949" i="1"/>
  <c r="O949" i="1" s="1"/>
  <c r="M1184" i="1"/>
  <c r="O1184" i="1" s="1"/>
  <c r="M1483" i="1"/>
  <c r="O1483" i="1" s="1"/>
  <c r="M1812" i="1"/>
  <c r="O1812" i="1" s="1"/>
  <c r="M455" i="1"/>
  <c r="O455" i="1" s="1"/>
  <c r="M583" i="1"/>
  <c r="O583" i="1" s="1"/>
  <c r="M715" i="1"/>
  <c r="O715" i="1" s="1"/>
  <c r="M843" i="1"/>
  <c r="O843" i="1" s="1"/>
  <c r="M989" i="1"/>
  <c r="O989" i="1" s="1"/>
  <c r="M1135" i="1"/>
  <c r="O1135" i="1" s="1"/>
  <c r="M1295" i="1"/>
  <c r="O1295" i="1" s="1"/>
  <c r="M1499" i="1"/>
  <c r="O1499" i="1" s="1"/>
  <c r="M1702" i="1"/>
  <c r="O1702" i="1" s="1"/>
  <c r="M1185" i="1"/>
  <c r="O1185" i="1" s="1"/>
  <c r="M440" i="1"/>
  <c r="O440" i="1" s="1"/>
  <c r="M568" i="1"/>
  <c r="O568" i="1" s="1"/>
  <c r="M697" i="1"/>
  <c r="O697" i="1" s="1"/>
  <c r="M844" i="1"/>
  <c r="O844" i="1" s="1"/>
  <c r="M990" i="1"/>
  <c r="O990" i="1" s="1"/>
  <c r="M1136" i="1"/>
  <c r="O1136" i="1" s="1"/>
  <c r="M1297" i="1"/>
  <c r="O1297" i="1" s="1"/>
  <c r="M1500" i="1"/>
  <c r="O1500" i="1" s="1"/>
  <c r="M1703" i="1"/>
  <c r="O1703" i="1" s="1"/>
  <c r="M417" i="1"/>
  <c r="O417" i="1" s="1"/>
  <c r="M545" i="1"/>
  <c r="O545" i="1" s="1"/>
  <c r="M673" i="1"/>
  <c r="O673" i="1" s="1"/>
  <c r="M817" i="1"/>
  <c r="O817" i="1" s="1"/>
  <c r="M964" i="1"/>
  <c r="O964" i="1" s="1"/>
  <c r="M1110" i="1"/>
  <c r="O1110" i="1" s="1"/>
  <c r="M1267" i="1"/>
  <c r="O1267" i="1" s="1"/>
  <c r="M1462" i="1"/>
  <c r="O1462" i="1" s="1"/>
  <c r="M1668" i="1"/>
  <c r="O1668" i="1" s="1"/>
  <c r="M1272" i="1"/>
  <c r="O1272" i="1" s="1"/>
  <c r="M1400" i="1"/>
  <c r="O1400" i="1" s="1"/>
  <c r="M1528" i="1"/>
  <c r="O1528" i="1" s="1"/>
  <c r="M1656" i="1"/>
  <c r="O1656" i="1" s="1"/>
  <c r="M1784" i="1"/>
  <c r="O1784" i="1" s="1"/>
  <c r="M1369" i="1"/>
  <c r="O1369" i="1" s="1"/>
  <c r="M1497" i="1"/>
  <c r="O1497" i="1" s="1"/>
  <c r="M1625" i="1"/>
  <c r="O1625" i="1" s="1"/>
  <c r="M1753" i="1"/>
  <c r="O1753" i="1" s="1"/>
  <c r="M714" i="1"/>
  <c r="O714" i="1" s="1"/>
  <c r="M842" i="1"/>
  <c r="O842" i="1" s="1"/>
  <c r="M986" i="1"/>
  <c r="O986" i="1" s="1"/>
  <c r="M1114" i="1"/>
  <c r="O1114" i="1" s="1"/>
  <c r="M1242" i="1"/>
  <c r="O1242" i="1" s="1"/>
  <c r="M1370" i="1"/>
  <c r="O1370" i="1" s="1"/>
  <c r="M1498" i="1"/>
  <c r="O1498" i="1" s="1"/>
  <c r="M1626" i="1"/>
  <c r="O1626" i="1" s="1"/>
  <c r="M1754" i="1"/>
  <c r="O1754" i="1" s="1"/>
  <c r="M1598" i="1"/>
  <c r="O1598" i="1" s="1"/>
  <c r="M1052" i="1"/>
  <c r="O1052" i="1" s="1"/>
  <c r="M555" i="1"/>
  <c r="O555" i="1" s="1"/>
  <c r="M918" i="1"/>
  <c r="O918" i="1" s="1"/>
  <c r="M1389" i="1"/>
  <c r="O1389" i="1" s="1"/>
  <c r="M1644" i="1"/>
  <c r="O1644" i="1" s="1"/>
  <c r="M1719" i="1"/>
  <c r="O1719" i="1" s="1"/>
  <c r="M515" i="1"/>
  <c r="O515" i="1" s="1"/>
  <c r="M1193" i="1"/>
  <c r="O1193" i="1" s="1"/>
  <c r="M518" i="1"/>
  <c r="O518" i="1" s="1"/>
  <c r="M729" i="1"/>
  <c r="O729" i="1" s="1"/>
  <c r="M965" i="1"/>
  <c r="O965" i="1" s="1"/>
  <c r="M1197" i="1"/>
  <c r="O1197" i="1" s="1"/>
  <c r="M1503" i="1"/>
  <c r="O1503" i="1" s="1"/>
  <c r="M1829" i="1"/>
  <c r="O1829" i="1" s="1"/>
  <c r="M463" i="1"/>
  <c r="O463" i="1" s="1"/>
  <c r="M591" i="1"/>
  <c r="O591" i="1" s="1"/>
  <c r="M724" i="1"/>
  <c r="O724" i="1" s="1"/>
  <c r="M852" i="1"/>
  <c r="O852" i="1" s="1"/>
  <c r="M998" i="1"/>
  <c r="O998" i="1" s="1"/>
  <c r="M1144" i="1"/>
  <c r="O1144" i="1" s="1"/>
  <c r="M1307" i="1"/>
  <c r="O1307" i="1" s="1"/>
  <c r="M1510" i="1"/>
  <c r="O1510" i="1" s="1"/>
  <c r="M1716" i="1"/>
  <c r="O1716" i="1" s="1"/>
  <c r="M448" i="1"/>
  <c r="O448" i="1" s="1"/>
  <c r="M576" i="1"/>
  <c r="O576" i="1" s="1"/>
  <c r="M707" i="1"/>
  <c r="O707" i="1" s="1"/>
  <c r="M853" i="1"/>
  <c r="O853" i="1" s="1"/>
  <c r="M999" i="1"/>
  <c r="O999" i="1" s="1"/>
  <c r="M1145" i="1"/>
  <c r="O1145" i="1" s="1"/>
  <c r="M1308" i="1"/>
  <c r="O1308" i="1" s="1"/>
  <c r="M1511" i="1"/>
  <c r="O1511" i="1" s="1"/>
  <c r="M1717" i="1"/>
  <c r="O1717" i="1" s="1"/>
  <c r="M425" i="1"/>
  <c r="O425" i="1" s="1"/>
  <c r="M553" i="1"/>
  <c r="O553" i="1" s="1"/>
  <c r="M681" i="1"/>
  <c r="O681" i="1" s="1"/>
  <c r="M827" i="1"/>
  <c r="O827" i="1" s="1"/>
  <c r="M973" i="1"/>
  <c r="O973" i="1" s="1"/>
  <c r="M1119" i="1"/>
  <c r="O1119" i="1" s="1"/>
  <c r="M1277" i="1"/>
  <c r="O1277" i="1" s="1"/>
  <c r="M1476" i="1"/>
  <c r="O1476" i="1" s="1"/>
  <c r="M1679" i="1"/>
  <c r="O1679" i="1" s="1"/>
  <c r="M1312" i="1"/>
  <c r="O1312" i="1" s="1"/>
  <c r="M1440" i="1"/>
  <c r="O1440" i="1" s="1"/>
  <c r="M1568" i="1"/>
  <c r="O1568" i="1" s="1"/>
  <c r="M1696" i="1"/>
  <c r="O1696" i="1" s="1"/>
  <c r="M1824" i="1"/>
  <c r="O1824" i="1" s="1"/>
  <c r="M1409" i="1"/>
  <c r="O1409" i="1" s="1"/>
  <c r="M1537" i="1"/>
  <c r="O1537" i="1" s="1"/>
  <c r="M1665" i="1"/>
  <c r="O1665" i="1" s="1"/>
  <c r="M1793" i="1"/>
  <c r="O1793" i="1" s="1"/>
  <c r="M754" i="1"/>
  <c r="O754" i="1" s="1"/>
  <c r="M882" i="1"/>
  <c r="O882" i="1" s="1"/>
  <c r="M1026" i="1"/>
  <c r="O1026" i="1" s="1"/>
  <c r="M1154" i="1"/>
  <c r="O1154" i="1" s="1"/>
  <c r="M1282" i="1"/>
  <c r="O1282" i="1" s="1"/>
  <c r="M1410" i="1"/>
  <c r="O1410" i="1" s="1"/>
  <c r="M1538" i="1"/>
  <c r="O1538" i="1" s="1"/>
  <c r="M1666" i="1"/>
  <c r="O1666" i="1" s="1"/>
  <c r="M1794" i="1"/>
  <c r="O1794" i="1" s="1"/>
  <c r="M1121" i="1"/>
  <c r="O1121" i="1" s="1"/>
  <c r="M377" i="1"/>
  <c r="O377" i="1" s="1"/>
  <c r="M1333" i="1"/>
  <c r="O1333" i="1" s="1"/>
  <c r="M1332" i="1"/>
  <c r="O1332" i="1" s="1"/>
  <c r="M979" i="1"/>
  <c r="O979" i="1" s="1"/>
  <c r="M1256" i="1"/>
  <c r="O1256" i="1" s="1"/>
  <c r="M1384" i="1"/>
  <c r="O1384" i="1" s="1"/>
  <c r="M1512" i="1"/>
  <c r="O1512" i="1" s="1"/>
  <c r="M1640" i="1"/>
  <c r="O1640" i="1" s="1"/>
  <c r="M1768" i="1"/>
  <c r="O1768" i="1" s="1"/>
  <c r="M1353" i="1"/>
  <c r="O1353" i="1" s="1"/>
  <c r="M1481" i="1"/>
  <c r="O1481" i="1" s="1"/>
  <c r="M1609" i="1"/>
  <c r="O1609" i="1" s="1"/>
  <c r="M1737" i="1"/>
  <c r="O1737" i="1" s="1"/>
  <c r="M1865" i="1"/>
  <c r="O1865" i="1" s="1"/>
  <c r="M698" i="1"/>
  <c r="O698" i="1" s="1"/>
  <c r="M826" i="1"/>
  <c r="O826" i="1" s="1"/>
  <c r="M938" i="1"/>
  <c r="O938" i="1" s="1"/>
  <c r="M1066" i="1"/>
  <c r="O1066" i="1" s="1"/>
  <c r="M1194" i="1"/>
  <c r="O1194" i="1" s="1"/>
  <c r="M1322" i="1"/>
  <c r="O1322" i="1" s="1"/>
  <c r="M1450" i="1"/>
  <c r="O1450" i="1" s="1"/>
  <c r="M1578" i="1"/>
  <c r="O1578" i="1" s="1"/>
  <c r="M1706" i="1"/>
  <c r="O1706" i="1" s="1"/>
  <c r="M1834" i="1"/>
  <c r="O1834" i="1" s="1"/>
  <c r="M667" i="1"/>
  <c r="O667" i="1" s="1"/>
  <c r="M1246" i="1"/>
  <c r="O1246" i="1" s="1"/>
  <c r="M441" i="1"/>
  <c r="O441" i="1" s="1"/>
  <c r="M548" i="1"/>
  <c r="O548" i="1" s="1"/>
  <c r="M1188" i="1"/>
  <c r="O1188" i="1" s="1"/>
  <c r="M845" i="1"/>
  <c r="O845" i="1" s="1"/>
  <c r="M1189" i="1"/>
  <c r="O1189" i="1" s="1"/>
  <c r="M709" i="1"/>
  <c r="O709" i="1" s="1"/>
  <c r="M1611" i="1"/>
  <c r="O1611" i="1" s="1"/>
  <c r="M382" i="1"/>
  <c r="O382" i="1" s="1"/>
  <c r="M558" i="1"/>
  <c r="O558" i="1" s="1"/>
  <c r="M976" i="1"/>
  <c r="O976" i="1" s="1"/>
  <c r="M1278" i="1"/>
  <c r="O1278" i="1" s="1"/>
  <c r="M1683" i="1"/>
  <c r="O1683" i="1" s="1"/>
  <c r="M1715" i="1"/>
  <c r="O1715" i="1" s="1"/>
  <c r="M637" i="1"/>
  <c r="O637" i="1" s="1"/>
  <c r="M1639" i="1"/>
  <c r="O1639" i="1" s="1"/>
  <c r="M485" i="1"/>
  <c r="O485" i="1" s="1"/>
  <c r="M1247" i="1"/>
  <c r="O1247" i="1" s="1"/>
  <c r="M886" i="1"/>
  <c r="O886" i="1" s="1"/>
  <c r="M792" i="1"/>
  <c r="O792" i="1" s="1"/>
  <c r="M1554" i="1"/>
  <c r="O1554" i="1" s="1"/>
  <c r="M1534" i="1"/>
  <c r="O1534" i="1" s="1"/>
  <c r="M1535" i="1"/>
  <c r="O1535" i="1" s="1"/>
  <c r="M435" i="1"/>
  <c r="O435" i="1" s="1"/>
  <c r="M676" i="1"/>
  <c r="O676" i="1" s="1"/>
  <c r="M444" i="1"/>
  <c r="O444" i="1" s="1"/>
  <c r="M1157" i="1"/>
  <c r="O1157" i="1" s="1"/>
  <c r="M1484" i="1"/>
  <c r="O1484" i="1" s="1"/>
  <c r="M350" i="1"/>
  <c r="O350" i="1" s="1"/>
  <c r="M718" i="1"/>
  <c r="O718" i="1" s="1"/>
  <c r="M944" i="1"/>
  <c r="O944" i="1" s="1"/>
  <c r="M524" i="1"/>
  <c r="O524" i="1" s="1"/>
  <c r="M565" i="1"/>
  <c r="O565" i="1" s="1"/>
  <c r="M1094" i="1"/>
  <c r="O1094" i="1" s="1"/>
  <c r="M798" i="1"/>
  <c r="O798" i="1" s="1"/>
  <c r="M1232" i="1"/>
  <c r="O1232" i="1" s="1"/>
  <c r="M500" i="1"/>
  <c r="O500" i="1" s="1"/>
  <c r="M659" i="1"/>
  <c r="O659" i="1" s="1"/>
  <c r="M829" i="1"/>
  <c r="O829" i="1" s="1"/>
  <c r="M1279" i="1"/>
  <c r="O1279" i="1" s="1"/>
  <c r="M838" i="1"/>
  <c r="O838" i="1" s="1"/>
  <c r="M1741" i="1"/>
  <c r="O1741" i="1" s="1"/>
  <c r="M1823" i="1"/>
  <c r="O1823" i="1" s="1"/>
  <c r="M397" i="1"/>
  <c r="O397" i="1" s="1"/>
  <c r="M626" i="1"/>
  <c r="O626" i="1" s="1"/>
  <c r="M1069" i="1"/>
  <c r="O1069" i="1" s="1"/>
  <c r="M772" i="1"/>
  <c r="O772" i="1" s="1"/>
  <c r="M1239" i="1"/>
  <c r="O1239" i="1" s="1"/>
  <c r="M1861" i="1"/>
  <c r="O1861" i="1" s="1"/>
  <c r="M1366" i="1"/>
  <c r="O1366" i="1" s="1"/>
  <c r="M857" i="1"/>
  <c r="O857" i="1" s="1"/>
  <c r="M1131" i="1"/>
  <c r="O1131" i="1" s="1"/>
  <c r="M1532" i="1"/>
  <c r="O1532" i="1" s="1"/>
  <c r="M406" i="1"/>
  <c r="O406" i="1" s="1"/>
  <c r="M1033" i="1"/>
  <c r="O1033" i="1" s="1"/>
  <c r="M1179" i="1"/>
  <c r="O1179" i="1" s="1"/>
  <c r="M1638" i="1"/>
  <c r="O1638" i="1" s="1"/>
  <c r="M1260" i="1"/>
  <c r="O1260" i="1" s="1"/>
  <c r="M419" i="1"/>
  <c r="O419" i="1" s="1"/>
  <c r="M1207" i="1"/>
  <c r="O1207" i="1" s="1"/>
  <c r="M695" i="1"/>
  <c r="O695" i="1" s="1"/>
  <c r="M1620" i="1"/>
  <c r="O1620" i="1" s="1"/>
  <c r="M1107" i="1"/>
  <c r="O1107" i="1" s="1"/>
  <c r="M1708" i="1"/>
  <c r="O1708" i="1" s="1"/>
  <c r="M375" i="1"/>
  <c r="O375" i="1" s="1"/>
  <c r="M752" i="1"/>
  <c r="O752" i="1" s="1"/>
  <c r="M1781" i="1"/>
  <c r="O1781" i="1" s="1"/>
  <c r="M1540" i="1"/>
  <c r="O1540" i="1" s="1"/>
  <c r="M1489" i="1"/>
  <c r="O1489" i="1" s="1"/>
  <c r="M1842" i="1"/>
  <c r="O1842" i="1" s="1"/>
  <c r="M447" i="1"/>
  <c r="O447" i="1" s="1"/>
  <c r="M1285" i="1"/>
  <c r="O1285" i="1" s="1"/>
  <c r="M1486" i="1"/>
  <c r="O1486" i="1" s="1"/>
  <c r="M665" i="1"/>
  <c r="O665" i="1" s="1"/>
  <c r="M1654" i="1"/>
  <c r="O1654" i="1" s="1"/>
  <c r="M1649" i="1"/>
  <c r="O1649" i="1" s="1"/>
  <c r="M1298" i="1"/>
  <c r="O1298" i="1" s="1"/>
  <c r="M777" i="1"/>
  <c r="O777" i="1" s="1"/>
  <c r="M402" i="1"/>
  <c r="O402" i="1" s="1"/>
  <c r="M1116" i="1"/>
  <c r="O1116" i="1" s="1"/>
  <c r="M1585" i="1"/>
  <c r="O1585" i="1" s="1"/>
  <c r="M812" i="1"/>
  <c r="O812" i="1" s="1"/>
  <c r="M1057" i="1"/>
  <c r="O1057" i="1" s="1"/>
  <c r="M1238" i="1"/>
  <c r="O1238" i="1" s="1"/>
  <c r="M939" i="1"/>
  <c r="O939" i="1" s="1"/>
  <c r="M1040" i="1"/>
  <c r="O1040" i="1" s="1"/>
  <c r="M1675" i="1"/>
  <c r="O1675" i="1" s="1"/>
  <c r="M356" i="1"/>
  <c r="O356" i="1" s="1"/>
  <c r="M1251" i="1"/>
  <c r="O1251" i="1" s="1"/>
  <c r="M628" i="1"/>
  <c r="O628" i="1" s="1"/>
  <c r="M1619" i="1"/>
  <c r="O1619" i="1" s="1"/>
  <c r="M1391" i="1"/>
  <c r="O1391" i="1" s="1"/>
  <c r="M541" i="1"/>
  <c r="O541" i="1" s="1"/>
  <c r="M959" i="1"/>
  <c r="O959" i="1" s="1"/>
  <c r="M1495" i="1"/>
  <c r="O1495" i="1" s="1"/>
  <c r="M974" i="1"/>
  <c r="O974" i="1" s="1"/>
  <c r="M492" i="1"/>
  <c r="O492" i="1" s="1"/>
  <c r="M1167" i="1"/>
  <c r="O1167" i="1" s="1"/>
  <c r="M1152" i="1"/>
  <c r="O1152" i="1" s="1"/>
  <c r="M971" i="1"/>
  <c r="O971" i="1" s="1"/>
  <c r="M1275" i="1"/>
  <c r="O1275" i="1" s="1"/>
  <c r="M825" i="1"/>
  <c r="O825" i="1" s="1"/>
  <c r="M1475" i="1"/>
  <c r="O1475" i="1" s="1"/>
  <c r="M401" i="1"/>
  <c r="O401" i="1" s="1"/>
  <c r="M945" i="1"/>
  <c r="O945" i="1" s="1"/>
  <c r="M1643" i="1"/>
  <c r="O1643" i="1" s="1"/>
  <c r="M1648" i="1"/>
  <c r="O1648" i="1" s="1"/>
  <c r="M946" i="1"/>
  <c r="O946" i="1" s="1"/>
  <c r="M390" i="1"/>
  <c r="O390" i="1" s="1"/>
  <c r="M732" i="1"/>
  <c r="O732" i="1" s="1"/>
  <c r="M1469" i="1"/>
  <c r="O1469" i="1" s="1"/>
  <c r="M1470" i="1"/>
  <c r="O1470" i="1" s="1"/>
  <c r="M1836" i="1"/>
  <c r="O1836" i="1" s="1"/>
  <c r="M1612" i="1"/>
  <c r="O1612" i="1" s="1"/>
  <c r="M1360" i="1"/>
  <c r="O1360" i="1" s="1"/>
  <c r="M1635" i="1"/>
  <c r="O1635" i="1" s="1"/>
  <c r="M396" i="1"/>
  <c r="O396" i="1" s="1"/>
  <c r="M459" i="1"/>
  <c r="O459" i="1" s="1"/>
  <c r="M415" i="1"/>
  <c r="O415" i="1" s="1"/>
  <c r="M374" i="1"/>
  <c r="O374" i="1" s="1"/>
  <c r="M1725" i="1"/>
  <c r="O1725" i="1" s="1"/>
  <c r="M1388" i="1"/>
  <c r="O1388" i="1" s="1"/>
  <c r="M1519" i="1"/>
  <c r="O1519" i="1" s="1"/>
  <c r="M1518" i="1"/>
  <c r="O1518" i="1" s="1"/>
  <c r="M1853" i="1"/>
  <c r="O1853" i="1" s="1"/>
  <c r="M1427" i="1"/>
  <c r="O1427" i="1" s="1"/>
  <c r="M822" i="1"/>
  <c r="O822" i="1" s="1"/>
  <c r="M1670" i="1"/>
  <c r="O1670" i="1" s="1"/>
  <c r="M691" i="1"/>
  <c r="O691" i="1" s="1"/>
  <c r="M1039" i="1"/>
  <c r="O1039" i="1" s="1"/>
  <c r="M1257" i="1"/>
  <c r="O1257" i="1" s="1"/>
  <c r="M703" i="1"/>
  <c r="O703" i="1" s="1"/>
  <c r="M1607" i="1"/>
  <c r="O1607" i="1" s="1"/>
  <c r="M1252" i="1"/>
  <c r="O1252" i="1" s="1"/>
  <c r="M627" i="1"/>
  <c r="O627" i="1" s="1"/>
  <c r="M1671" i="1"/>
  <c r="O1671" i="1" s="1"/>
  <c r="M924" i="1"/>
  <c r="O924" i="1" s="1"/>
  <c r="M483" i="1"/>
  <c r="O483" i="1" s="1"/>
  <c r="M422" i="1"/>
  <c r="O422" i="1" s="1"/>
  <c r="M855" i="1"/>
  <c r="O855" i="1" s="1"/>
  <c r="M1273" i="1"/>
  <c r="O1273" i="1" s="1"/>
  <c r="M373" i="1"/>
  <c r="O373" i="1" s="1"/>
  <c r="M1031" i="1"/>
  <c r="O1031" i="1" s="1"/>
  <c r="M1803" i="1"/>
  <c r="O1803" i="1" s="1"/>
  <c r="M438" i="1"/>
  <c r="O438" i="1" s="1"/>
  <c r="M644" i="1"/>
  <c r="O644" i="1" s="1"/>
  <c r="M841" i="1"/>
  <c r="O841" i="1" s="1"/>
  <c r="M1077" i="1"/>
  <c r="O1077" i="1" s="1"/>
  <c r="M1335" i="1"/>
  <c r="O1335" i="1" s="1"/>
  <c r="M1661" i="1"/>
  <c r="O1661" i="1" s="1"/>
  <c r="M618" i="1"/>
  <c r="O618" i="1" s="1"/>
  <c r="M1331" i="1"/>
  <c r="O1331" i="1" s="1"/>
  <c r="M389" i="1"/>
  <c r="O389" i="1" s="1"/>
  <c r="M595" i="1"/>
  <c r="O595" i="1" s="1"/>
  <c r="M814" i="1"/>
  <c r="O814" i="1" s="1"/>
  <c r="M1049" i="1"/>
  <c r="O1049" i="1" s="1"/>
  <c r="M1300" i="1"/>
  <c r="O1300" i="1" s="1"/>
  <c r="M1622" i="1"/>
  <c r="O1622" i="1" s="1"/>
  <c r="M589" i="1"/>
  <c r="O589" i="1" s="1"/>
  <c r="M1103" i="1"/>
  <c r="O1103" i="1" s="1"/>
  <c r="M398" i="1"/>
  <c r="O398" i="1" s="1"/>
  <c r="M482" i="1"/>
  <c r="O482" i="1" s="1"/>
  <c r="M920" i="1"/>
  <c r="O920" i="1" s="1"/>
  <c r="M1443" i="1"/>
  <c r="O1443" i="1" s="1"/>
  <c r="M567" i="1"/>
  <c r="O567" i="1" s="1"/>
  <c r="M824" i="1"/>
  <c r="O824" i="1" s="1"/>
  <c r="M1117" i="1"/>
  <c r="O1117" i="1" s="1"/>
  <c r="M1471" i="1"/>
  <c r="O1471" i="1" s="1"/>
  <c r="M424" i="1"/>
  <c r="O424" i="1" s="1"/>
  <c r="M680" i="1"/>
  <c r="O680" i="1" s="1"/>
  <c r="M972" i="1"/>
  <c r="O972" i="1" s="1"/>
  <c r="M1276" i="1"/>
  <c r="O1276" i="1" s="1"/>
  <c r="M1678" i="1"/>
  <c r="O1678" i="1" s="1"/>
  <c r="M529" i="1"/>
  <c r="O529" i="1" s="1"/>
  <c r="M799" i="1"/>
  <c r="O799" i="1" s="1"/>
  <c r="M1092" i="1"/>
  <c r="O1092" i="1" s="1"/>
  <c r="M1437" i="1"/>
  <c r="O1437" i="1" s="1"/>
  <c r="M1846" i="1"/>
  <c r="O1846" i="1" s="1"/>
  <c r="M1392" i="1"/>
  <c r="O1392" i="1" s="1"/>
  <c r="M1361" i="1"/>
  <c r="O1361" i="1" s="1"/>
  <c r="M706" i="1"/>
  <c r="O706" i="1" s="1"/>
  <c r="M1202" i="1"/>
  <c r="O1202" i="1" s="1"/>
  <c r="M1714" i="1"/>
  <c r="O1714" i="1" s="1"/>
  <c r="M719" i="1"/>
  <c r="O719" i="1" s="1"/>
  <c r="M1682" i="1"/>
  <c r="O1682" i="1" s="1"/>
  <c r="M1327" i="1"/>
  <c r="O1327" i="1" s="1"/>
  <c r="M755" i="1"/>
  <c r="O755" i="1" s="1"/>
  <c r="M596" i="1"/>
  <c r="O596" i="1" s="1"/>
  <c r="M1051" i="1"/>
  <c r="O1051" i="1" s="1"/>
  <c r="M1623" i="1"/>
  <c r="O1623" i="1" s="1"/>
  <c r="M383" i="1"/>
  <c r="O383" i="1" s="1"/>
  <c r="M639" i="1"/>
  <c r="O639" i="1" s="1"/>
  <c r="M907" i="1"/>
  <c r="O907" i="1" s="1"/>
  <c r="M1199" i="1"/>
  <c r="O1199" i="1" s="1"/>
  <c r="M1588" i="1"/>
  <c r="O1588" i="1" s="1"/>
  <c r="M496" i="1"/>
  <c r="O496" i="1" s="1"/>
  <c r="M761" i="1"/>
  <c r="O761" i="1" s="1"/>
  <c r="M1054" i="1"/>
  <c r="O1054" i="1" s="1"/>
  <c r="M1383" i="1"/>
  <c r="O1383" i="1" s="1"/>
  <c r="M1795" i="1"/>
  <c r="O1795" i="1" s="1"/>
  <c r="M601" i="1"/>
  <c r="O601" i="1" s="1"/>
  <c r="M881" i="1"/>
  <c r="O881" i="1" s="1"/>
  <c r="M1174" i="1"/>
  <c r="O1174" i="1" s="1"/>
  <c r="M1551" i="1"/>
  <c r="O1551" i="1" s="1"/>
  <c r="M1552" i="1"/>
  <c r="O1552" i="1" s="1"/>
  <c r="M1521" i="1"/>
  <c r="O1521" i="1" s="1"/>
  <c r="M866" i="1"/>
  <c r="O866" i="1" s="1"/>
  <c r="M1362" i="1"/>
  <c r="O1362" i="1" s="1"/>
  <c r="M975" i="1"/>
  <c r="O975" i="1" s="1"/>
  <c r="M1395" i="1"/>
  <c r="O1395" i="1" s="1"/>
  <c r="M1739" i="1"/>
  <c r="O1739" i="1" s="1"/>
  <c r="M1709" i="1"/>
  <c r="O1709" i="1" s="1"/>
  <c r="M1479" i="1"/>
  <c r="O1479" i="1" s="1"/>
  <c r="M1750" i="1"/>
  <c r="O1750" i="1" s="1"/>
  <c r="M983" i="1"/>
  <c r="O983" i="1" s="1"/>
  <c r="M355" i="1"/>
  <c r="O355" i="1" s="1"/>
  <c r="M1774" i="1"/>
  <c r="O1774" i="1" s="1"/>
  <c r="M966" i="1"/>
  <c r="O966" i="1" s="1"/>
  <c r="M445" i="1"/>
  <c r="O445" i="1" s="1"/>
  <c r="M1797" i="1"/>
  <c r="O1797" i="1" s="1"/>
  <c r="M1013" i="1"/>
  <c r="O1013" i="1" s="1"/>
  <c r="M357" i="1"/>
  <c r="O357" i="1" s="1"/>
  <c r="M622" i="1"/>
  <c r="O622" i="1" s="1"/>
  <c r="M410" i="1"/>
  <c r="O410" i="1" s="1"/>
  <c r="M1790" i="1"/>
  <c r="O1790" i="1" s="1"/>
  <c r="M1012" i="1"/>
  <c r="O1012" i="1" s="1"/>
  <c r="M421" i="1"/>
  <c r="O421" i="1" s="1"/>
  <c r="M479" i="1"/>
  <c r="O479" i="1" s="1"/>
  <c r="M1342" i="1"/>
  <c r="O1342" i="1" s="1"/>
  <c r="M692" i="1"/>
  <c r="O692" i="1" s="1"/>
  <c r="M1773" i="1"/>
  <c r="O1773" i="1" s="1"/>
  <c r="M578" i="1"/>
  <c r="O578" i="1" s="1"/>
  <c r="M1087" i="1"/>
  <c r="O1087" i="1" s="1"/>
  <c r="M1699" i="1"/>
  <c r="O1699" i="1" s="1"/>
  <c r="M942" i="1"/>
  <c r="O942" i="1" s="1"/>
  <c r="M1723" i="1"/>
  <c r="O1723" i="1" s="1"/>
  <c r="M413" i="1"/>
  <c r="O413" i="1" s="1"/>
  <c r="M619" i="1"/>
  <c r="O619" i="1" s="1"/>
  <c r="M873" i="1"/>
  <c r="O873" i="1" s="1"/>
  <c r="M1105" i="1"/>
  <c r="O1105" i="1" s="1"/>
  <c r="M1375" i="1"/>
  <c r="O1375" i="1" s="1"/>
  <c r="M1701" i="1"/>
  <c r="O1701" i="1" s="1"/>
  <c r="M694" i="1"/>
  <c r="O694" i="1" s="1"/>
  <c r="M1477" i="1"/>
  <c r="O1477" i="1" s="1"/>
  <c r="M414" i="1"/>
  <c r="O414" i="1" s="1"/>
  <c r="M620" i="1"/>
  <c r="O620" i="1" s="1"/>
  <c r="M846" i="1"/>
  <c r="O846" i="1" s="1"/>
  <c r="M1078" i="1"/>
  <c r="O1078" i="1" s="1"/>
  <c r="M1339" i="1"/>
  <c r="O1339" i="1" s="1"/>
  <c r="M1662" i="1"/>
  <c r="O1662" i="1" s="1"/>
  <c r="M642" i="1"/>
  <c r="O642" i="1" s="1"/>
  <c r="M1043" i="1"/>
  <c r="O1043" i="1" s="1"/>
  <c r="M1740" i="1"/>
  <c r="O1740" i="1" s="1"/>
  <c r="M429" i="1"/>
  <c r="O429" i="1" s="1"/>
  <c r="M860" i="1"/>
  <c r="O860" i="1" s="1"/>
  <c r="M1363" i="1"/>
  <c r="O1363" i="1" s="1"/>
  <c r="M535" i="1"/>
  <c r="O535" i="1" s="1"/>
  <c r="M861" i="1"/>
  <c r="O861" i="1" s="1"/>
  <c r="M1153" i="1"/>
  <c r="O1153" i="1" s="1"/>
  <c r="M1524" i="1"/>
  <c r="O1524" i="1" s="1"/>
  <c r="M456" i="1"/>
  <c r="O456" i="1" s="1"/>
  <c r="M716" i="1"/>
  <c r="O716" i="1" s="1"/>
  <c r="M1008" i="1"/>
  <c r="O1008" i="1" s="1"/>
  <c r="M1319" i="1"/>
  <c r="O1319" i="1" s="1"/>
  <c r="M1731" i="1"/>
  <c r="O1731" i="1" s="1"/>
  <c r="M561" i="1"/>
  <c r="O561" i="1" s="1"/>
  <c r="M836" i="1"/>
  <c r="O836" i="1" s="1"/>
  <c r="M1128" i="1"/>
  <c r="O1128" i="1" s="1"/>
  <c r="M1487" i="1"/>
  <c r="O1487" i="1" s="1"/>
  <c r="M1456" i="1"/>
  <c r="O1456" i="1" s="1"/>
  <c r="M1425" i="1"/>
  <c r="O1425" i="1" s="1"/>
  <c r="M770" i="1"/>
  <c r="O770" i="1" s="1"/>
  <c r="M1266" i="1"/>
  <c r="O1266" i="1" s="1"/>
  <c r="M1778" i="1"/>
  <c r="O1778" i="1" s="1"/>
  <c r="M996" i="1"/>
  <c r="O996" i="1" s="1"/>
  <c r="M1676" i="1"/>
  <c r="O1676" i="1" s="1"/>
  <c r="M629" i="1"/>
  <c r="O629" i="1" s="1"/>
  <c r="M1374" i="1"/>
  <c r="O1374" i="1" s="1"/>
  <c r="M354" i="1"/>
  <c r="O354" i="1" s="1"/>
  <c r="M557" i="1"/>
  <c r="O557" i="1" s="1"/>
  <c r="M774" i="1"/>
  <c r="O774" i="1" s="1"/>
  <c r="M1006" i="1"/>
  <c r="O1006" i="1" s="1"/>
  <c r="M1249" i="1"/>
  <c r="O1249" i="1" s="1"/>
  <c r="M1566" i="1"/>
  <c r="O1566" i="1" s="1"/>
  <c r="M359" i="1"/>
  <c r="O359" i="1" s="1"/>
  <c r="M487" i="1"/>
  <c r="O487" i="1" s="1"/>
  <c r="M615" i="1"/>
  <c r="O615" i="1" s="1"/>
  <c r="M751" i="1"/>
  <c r="O751" i="1" s="1"/>
  <c r="M879" i="1"/>
  <c r="O879" i="1" s="1"/>
  <c r="M1025" i="1"/>
  <c r="O1025" i="1" s="1"/>
  <c r="M1172" i="1"/>
  <c r="O1172" i="1" s="1"/>
  <c r="M1343" i="1"/>
  <c r="O1343" i="1" s="1"/>
  <c r="M1549" i="1"/>
  <c r="O1549" i="1" s="1"/>
  <c r="M1755" i="1"/>
  <c r="O1755" i="1" s="1"/>
  <c r="M472" i="1"/>
  <c r="O472" i="1" s="1"/>
  <c r="M600" i="1"/>
  <c r="O600" i="1" s="1"/>
  <c r="M734" i="1"/>
  <c r="O734" i="1" s="1"/>
  <c r="M880" i="1"/>
  <c r="O880" i="1" s="1"/>
  <c r="M1027" i="1"/>
  <c r="O1027" i="1" s="1"/>
  <c r="M1173" i="1"/>
  <c r="O1173" i="1" s="1"/>
  <c r="M1347" i="1"/>
  <c r="O1347" i="1" s="1"/>
  <c r="M1550" i="1"/>
  <c r="O1550" i="1" s="1"/>
  <c r="M1756" i="1"/>
  <c r="O1756" i="1" s="1"/>
  <c r="M351" i="1"/>
  <c r="O351" i="1" s="1"/>
  <c r="M449" i="1"/>
  <c r="O449" i="1" s="1"/>
  <c r="M577" i="1"/>
  <c r="O577" i="1" s="1"/>
  <c r="M708" i="1"/>
  <c r="O708" i="1" s="1"/>
  <c r="M854" i="1"/>
  <c r="O854" i="1" s="1"/>
  <c r="M1000" i="1"/>
  <c r="O1000" i="1" s="1"/>
  <c r="M1147" i="1"/>
  <c r="O1147" i="1" s="1"/>
  <c r="M1309" i="1"/>
  <c r="O1309" i="1" s="1"/>
  <c r="M1515" i="1"/>
  <c r="O1515" i="1" s="1"/>
  <c r="M1718" i="1"/>
  <c r="O1718" i="1" s="1"/>
  <c r="M1304" i="1"/>
  <c r="O1304" i="1" s="1"/>
  <c r="M1432" i="1"/>
  <c r="O1432" i="1" s="1"/>
  <c r="M1560" i="1"/>
  <c r="O1560" i="1" s="1"/>
  <c r="M1688" i="1"/>
  <c r="O1688" i="1" s="1"/>
  <c r="M1816" i="1"/>
  <c r="O1816" i="1" s="1"/>
  <c r="M1310" i="1"/>
  <c r="O1310" i="1" s="1"/>
  <c r="M1311" i="1"/>
  <c r="O1311" i="1" s="1"/>
  <c r="M1401" i="1"/>
  <c r="O1401" i="1" s="1"/>
  <c r="M1529" i="1"/>
  <c r="O1529" i="1" s="1"/>
  <c r="M1657" i="1"/>
  <c r="O1657" i="1" s="1"/>
  <c r="M1785" i="1"/>
  <c r="O1785" i="1" s="1"/>
  <c r="M746" i="1"/>
  <c r="O746" i="1" s="1"/>
  <c r="M874" i="1"/>
  <c r="O874" i="1" s="1"/>
  <c r="M1018" i="1"/>
  <c r="O1018" i="1" s="1"/>
  <c r="M1146" i="1"/>
  <c r="O1146" i="1" s="1"/>
  <c r="M1274" i="1"/>
  <c r="O1274" i="1" s="1"/>
  <c r="M1402" i="1"/>
  <c r="O1402" i="1" s="1"/>
  <c r="M1530" i="1"/>
  <c r="O1530" i="1" s="1"/>
  <c r="M1658" i="1"/>
  <c r="O1658" i="1" s="1"/>
  <c r="M1786" i="1"/>
  <c r="O1786" i="1" s="1"/>
  <c r="M464" i="1"/>
  <c r="O464" i="1" s="1"/>
  <c r="M1616" i="1"/>
  <c r="O1616" i="1" s="1"/>
  <c r="M1259" i="1"/>
  <c r="O1259" i="1" s="1"/>
  <c r="M668" i="1"/>
  <c r="O668" i="1" s="1"/>
  <c r="M1431" i="1"/>
  <c r="O1431" i="1" s="1"/>
  <c r="M365" i="1"/>
  <c r="O365" i="1" s="1"/>
  <c r="M571" i="1"/>
  <c r="O571" i="1" s="1"/>
  <c r="M787" i="1"/>
  <c r="O787" i="1" s="1"/>
  <c r="M1022" i="1"/>
  <c r="O1022" i="1" s="1"/>
  <c r="M1268" i="1"/>
  <c r="O1268" i="1" s="1"/>
  <c r="M1583" i="1"/>
  <c r="O1583" i="1" s="1"/>
  <c r="M1217" i="1"/>
  <c r="O1217" i="1" s="1"/>
  <c r="M367" i="1"/>
  <c r="O367" i="1" s="1"/>
  <c r="M495" i="1"/>
  <c r="O495" i="1" s="1"/>
  <c r="M623" i="1"/>
  <c r="O623" i="1" s="1"/>
  <c r="M760" i="1"/>
  <c r="O760" i="1" s="1"/>
  <c r="M888" i="1"/>
  <c r="O888" i="1" s="1"/>
  <c r="M1035" i="1"/>
  <c r="O1035" i="1" s="1"/>
  <c r="M1181" i="1"/>
  <c r="O1181" i="1" s="1"/>
  <c r="M1357" i="1"/>
  <c r="O1357" i="1" s="1"/>
  <c r="M1563" i="1"/>
  <c r="O1563" i="1" s="1"/>
  <c r="M1766" i="1"/>
  <c r="O1766" i="1" s="1"/>
  <c r="M352" i="1"/>
  <c r="O352" i="1" s="1"/>
  <c r="M480" i="1"/>
  <c r="O480" i="1" s="1"/>
  <c r="M608" i="1"/>
  <c r="O608" i="1" s="1"/>
  <c r="M743" i="1"/>
  <c r="O743" i="1" s="1"/>
  <c r="M889" i="1"/>
  <c r="O889" i="1" s="1"/>
  <c r="M1036" i="1"/>
  <c r="O1036" i="1" s="1"/>
  <c r="M1182" i="1"/>
  <c r="O1182" i="1" s="1"/>
  <c r="M1358" i="1"/>
  <c r="O1358" i="1" s="1"/>
  <c r="M1564" i="1"/>
  <c r="O1564" i="1" s="1"/>
  <c r="M1767" i="1"/>
  <c r="O1767" i="1" s="1"/>
  <c r="M457" i="1"/>
  <c r="O457" i="1" s="1"/>
  <c r="M585" i="1"/>
  <c r="O585" i="1" s="1"/>
  <c r="M717" i="1"/>
  <c r="O717" i="1" s="1"/>
  <c r="M863" i="1"/>
  <c r="O863" i="1" s="1"/>
  <c r="M1009" i="1"/>
  <c r="O1009" i="1" s="1"/>
  <c r="M1156" i="1"/>
  <c r="O1156" i="1" s="1"/>
  <c r="M1323" i="1"/>
  <c r="O1323" i="1" s="1"/>
  <c r="M1526" i="1"/>
  <c r="O1526" i="1" s="1"/>
  <c r="M1732" i="1"/>
  <c r="O1732" i="1" s="1"/>
  <c r="M514" i="1"/>
  <c r="O514" i="1" s="1"/>
  <c r="M1216" i="1"/>
  <c r="O1216" i="1" s="1"/>
  <c r="M1344" i="1"/>
  <c r="O1344" i="1" s="1"/>
  <c r="M1472" i="1"/>
  <c r="O1472" i="1" s="1"/>
  <c r="M1600" i="1"/>
  <c r="O1600" i="1" s="1"/>
  <c r="M1728" i="1"/>
  <c r="O1728" i="1" s="1"/>
  <c r="M1856" i="1"/>
  <c r="O1856" i="1" s="1"/>
  <c r="M1313" i="1"/>
  <c r="O1313" i="1" s="1"/>
  <c r="M1441" i="1"/>
  <c r="O1441" i="1" s="1"/>
  <c r="M1569" i="1"/>
  <c r="O1569" i="1" s="1"/>
  <c r="M1697" i="1"/>
  <c r="O1697" i="1" s="1"/>
  <c r="M1825" i="1"/>
  <c r="O1825" i="1" s="1"/>
  <c r="M581" i="1"/>
  <c r="O581" i="1" s="1"/>
  <c r="M786" i="1"/>
  <c r="O786" i="1" s="1"/>
  <c r="M930" i="1"/>
  <c r="O930" i="1" s="1"/>
  <c r="M1058" i="1"/>
  <c r="O1058" i="1" s="1"/>
  <c r="M1186" i="1"/>
  <c r="O1186" i="1" s="1"/>
  <c r="M1314" i="1"/>
  <c r="O1314" i="1" s="1"/>
  <c r="M1442" i="1"/>
  <c r="O1442" i="1" s="1"/>
  <c r="M1570" i="1"/>
  <c r="O1570" i="1" s="1"/>
  <c r="M1698" i="1"/>
  <c r="O1698" i="1" s="1"/>
  <c r="M1826" i="1"/>
  <c r="O1826" i="1" s="1"/>
  <c r="M634" i="1"/>
  <c r="O634" i="1" s="1"/>
  <c r="M1428" i="1"/>
  <c r="O1428" i="1" s="1"/>
  <c r="M739" i="1"/>
  <c r="O739" i="1" s="1"/>
  <c r="M1847" i="1"/>
  <c r="O1847" i="1" s="1"/>
  <c r="M1844" i="1"/>
  <c r="O1844" i="1" s="1"/>
  <c r="M1845" i="1"/>
  <c r="O1845" i="1" s="1"/>
  <c r="M1288" i="1"/>
  <c r="O1288" i="1" s="1"/>
  <c r="M1416" i="1"/>
  <c r="O1416" i="1" s="1"/>
  <c r="M1544" i="1"/>
  <c r="O1544" i="1" s="1"/>
  <c r="M1672" i="1"/>
  <c r="O1672" i="1" s="1"/>
  <c r="M1800" i="1"/>
  <c r="O1800" i="1" s="1"/>
  <c r="M1385" i="1"/>
  <c r="O1385" i="1" s="1"/>
  <c r="M1513" i="1"/>
  <c r="O1513" i="1" s="1"/>
  <c r="M1641" i="1"/>
  <c r="O1641" i="1" s="1"/>
  <c r="M1769" i="1"/>
  <c r="O1769" i="1" s="1"/>
  <c r="M995" i="1"/>
  <c r="O995" i="1" s="1"/>
  <c r="M730" i="1"/>
  <c r="O730" i="1" s="1"/>
  <c r="M858" i="1"/>
  <c r="O858" i="1" s="1"/>
  <c r="M970" i="1"/>
  <c r="O970" i="1" s="1"/>
  <c r="M1098" i="1"/>
  <c r="O1098" i="1" s="1"/>
  <c r="M1226" i="1"/>
  <c r="O1226" i="1" s="1"/>
  <c r="M1354" i="1"/>
  <c r="O1354" i="1" s="1"/>
  <c r="M1482" i="1"/>
  <c r="O1482" i="1" s="1"/>
  <c r="M1610" i="1"/>
  <c r="O1610" i="1" s="1"/>
  <c r="M1738" i="1"/>
  <c r="O1738" i="1" s="1"/>
  <c r="M1866" i="1"/>
  <c r="O1866" i="1" s="1"/>
  <c r="M1399" i="1"/>
  <c r="O1399" i="1" s="1"/>
  <c r="M725" i="1"/>
  <c r="O725" i="1" s="1"/>
  <c r="M921" i="1"/>
  <c r="O921" i="1" s="1"/>
  <c r="M1093" i="1"/>
  <c r="O1093" i="1" s="1"/>
  <c r="M1316" i="1"/>
  <c r="O1316" i="1" s="1"/>
  <c r="M528" i="1"/>
  <c r="O528" i="1" s="1"/>
  <c r="M1390" i="1"/>
  <c r="O1390" i="1" s="1"/>
  <c r="M1810" i="1"/>
  <c r="O1810" i="1" s="1"/>
  <c r="M859" i="1"/>
  <c r="O859" i="1" s="1"/>
  <c r="M723" i="1"/>
  <c r="O723" i="1" s="1"/>
  <c r="M597" i="1"/>
  <c r="O597" i="1" s="1"/>
  <c r="M929" i="1"/>
  <c r="O929" i="1" s="1"/>
  <c r="M950" i="1"/>
  <c r="O950" i="1" s="1"/>
  <c r="M1244" i="1"/>
  <c r="O1244" i="1" s="1"/>
  <c r="M791" i="1"/>
  <c r="O791" i="1" s="1"/>
  <c r="M538" i="1"/>
  <c r="O538" i="1" s="1"/>
  <c r="M1744" i="1"/>
  <c r="O1744" i="1" s="1"/>
  <c r="M508" i="1"/>
  <c r="O508" i="1" s="1"/>
  <c r="M381" i="1"/>
  <c r="O381" i="1" s="1"/>
  <c r="M671" i="1"/>
  <c r="O671" i="1" s="1"/>
  <c r="M1042" i="1"/>
  <c r="O1042" i="1" s="1"/>
  <c r="M1104" i="1"/>
  <c r="O1104" i="1" s="1"/>
  <c r="M428" i="1"/>
  <c r="O428" i="1" s="1"/>
  <c r="M1123" i="1"/>
  <c r="O1123" i="1" s="1"/>
  <c r="M564" i="1"/>
  <c r="O564" i="1" s="1"/>
  <c r="M1125" i="1"/>
  <c r="O1125" i="1" s="1"/>
  <c r="M1438" i="1"/>
  <c r="O1438" i="1" s="1"/>
  <c r="M574" i="1"/>
  <c r="O574" i="1" s="1"/>
  <c r="M830" i="1"/>
  <c r="O830" i="1" s="1"/>
  <c r="M736" i="1"/>
  <c r="O736" i="1" s="1"/>
  <c r="M1129" i="1"/>
  <c r="O1129" i="1" s="1"/>
  <c r="M1547" i="1"/>
  <c r="O1547" i="1" s="1"/>
  <c r="M533" i="1"/>
  <c r="O533" i="1" s="1"/>
  <c r="M1365" i="1"/>
  <c r="O1365" i="1" s="1"/>
  <c r="M437" i="1"/>
  <c r="O437" i="1" s="1"/>
  <c r="M1143" i="1"/>
  <c r="O1143" i="1" s="1"/>
  <c r="M1004" i="1"/>
  <c r="O1004" i="1" s="1"/>
  <c r="M614" i="1"/>
  <c r="O614" i="1" s="1"/>
  <c r="M742" i="1"/>
  <c r="O742" i="1" s="1"/>
  <c r="M1137" i="1"/>
  <c r="O1137" i="1" s="1"/>
  <c r="M991" i="1"/>
  <c r="O991" i="1" s="1"/>
  <c r="M1032" i="1"/>
  <c r="O1032" i="1" s="1"/>
  <c r="M802" i="1"/>
  <c r="O802" i="1" s="1"/>
  <c r="M1380" i="1"/>
  <c r="O1380" i="1" s="1"/>
  <c r="M1075" i="1"/>
  <c r="O1075" i="1" s="1"/>
  <c r="M967" i="1"/>
  <c r="O967" i="1" s="1"/>
  <c r="M394" i="1"/>
  <c r="O394" i="1" s="1"/>
  <c r="M984" i="1"/>
  <c r="O984" i="1" s="1"/>
  <c r="M1089" i="1"/>
  <c r="O1089" i="1" s="1"/>
  <c r="M1059" i="1"/>
  <c r="O1059" i="1" s="1"/>
  <c r="M1837" i="1"/>
  <c r="O1837" i="1" s="1"/>
  <c r="M740" i="1"/>
  <c r="O740" i="1" s="1"/>
  <c r="M1527" i="1"/>
  <c r="O1527" i="1" s="1"/>
  <c r="M940" i="1"/>
  <c r="O940" i="1" s="1"/>
  <c r="M832" i="1"/>
  <c r="O832" i="1" s="1"/>
  <c r="M1439" i="1"/>
  <c r="O1439" i="1" s="1"/>
  <c r="M919" i="1"/>
  <c r="O919" i="1" s="1"/>
  <c r="M1804" i="1"/>
  <c r="O1804" i="1" s="1"/>
  <c r="M1061" i="1"/>
  <c r="O1061" i="1" s="1"/>
  <c r="M1070" i="1"/>
  <c r="O1070" i="1" s="1"/>
  <c r="M1507" i="1"/>
  <c r="O1507" i="1" s="1"/>
  <c r="M1710" i="1"/>
  <c r="O1710" i="1" s="1"/>
  <c r="M405" i="1"/>
  <c r="O405" i="1" s="1"/>
  <c r="M710" i="1"/>
  <c r="O710" i="1" s="1"/>
  <c r="M1574" i="1"/>
  <c r="O1574" i="1" s="1"/>
  <c r="M450" i="1"/>
  <c r="O450" i="1" s="1"/>
  <c r="M1165" i="1"/>
  <c r="O1165" i="1" s="1"/>
  <c r="M1330" i="1"/>
  <c r="O1330" i="1" s="1"/>
  <c r="M1636" i="1"/>
  <c r="O1636" i="1" s="1"/>
  <c r="M701" i="1"/>
  <c r="O701" i="1" s="1"/>
  <c r="M1789" i="1"/>
  <c r="O1789" i="1" s="1"/>
  <c r="M705" i="1"/>
  <c r="O705" i="1" s="1"/>
  <c r="M1691" i="1"/>
  <c r="O1691" i="1" s="1"/>
  <c r="M1127" i="1"/>
  <c r="O1127" i="1" s="1"/>
  <c r="M1680" i="1"/>
  <c r="O1680" i="1" s="1"/>
  <c r="M978" i="1"/>
  <c r="O978" i="1" s="1"/>
  <c r="M453" i="1"/>
  <c r="O453" i="1" s="1"/>
  <c r="M1531" i="1"/>
  <c r="O1531" i="1" s="1"/>
  <c r="M748" i="1"/>
  <c r="O748" i="1" s="1"/>
  <c r="M1555" i="1"/>
  <c r="O1555" i="1" s="1"/>
  <c r="M1159" i="1"/>
  <c r="O1159" i="1" s="1"/>
  <c r="M523" i="1"/>
  <c r="O523" i="1" s="1"/>
  <c r="M1113" i="1"/>
  <c r="O1113" i="1" s="1"/>
  <c r="M678" i="1"/>
  <c r="O678" i="1" s="1"/>
  <c r="M1206" i="1"/>
  <c r="O1206" i="1" s="1"/>
  <c r="M1862" i="1"/>
  <c r="O1862" i="1" s="1"/>
  <c r="M1120" i="1"/>
  <c r="O1120" i="1" s="1"/>
  <c r="M466" i="1"/>
  <c r="O466" i="1" s="1"/>
  <c r="M669" i="1"/>
  <c r="O669" i="1" s="1"/>
  <c r="M931" i="1"/>
  <c r="O931" i="1" s="1"/>
  <c r="M1166" i="1"/>
  <c r="O1166" i="1" s="1"/>
  <c r="M1455" i="1"/>
  <c r="O1455" i="1" s="1"/>
  <c r="M1787" i="1"/>
  <c r="O1787" i="1" s="1"/>
  <c r="M1763" i="1"/>
  <c r="O1763" i="1" s="1"/>
  <c r="M467" i="1"/>
  <c r="O467" i="1" s="1"/>
  <c r="M670" i="1"/>
  <c r="O670" i="1" s="1"/>
  <c r="M903" i="1"/>
  <c r="O903" i="1" s="1"/>
  <c r="M1139" i="1"/>
  <c r="O1139" i="1" s="1"/>
  <c r="M1419" i="1"/>
  <c r="O1419" i="1" s="1"/>
  <c r="M1748" i="1"/>
  <c r="O1748" i="1" s="1"/>
  <c r="M750" i="1"/>
  <c r="O750" i="1" s="1"/>
  <c r="M1160" i="1"/>
  <c r="O1160" i="1" s="1"/>
  <c r="M554" i="1"/>
  <c r="O554" i="1" s="1"/>
  <c r="M532" i="1"/>
  <c r="O532" i="1" s="1"/>
  <c r="M977" i="1"/>
  <c r="O977" i="1" s="1"/>
  <c r="M1523" i="1"/>
  <c r="O1523" i="1" s="1"/>
  <c r="M599" i="1"/>
  <c r="O599" i="1" s="1"/>
  <c r="M934" i="1"/>
  <c r="O934" i="1" s="1"/>
  <c r="M1231" i="1"/>
  <c r="O1231" i="1" s="1"/>
  <c r="M1627" i="1"/>
  <c r="O1627" i="1" s="1"/>
  <c r="M520" i="1"/>
  <c r="O520" i="1" s="1"/>
  <c r="M789" i="1"/>
  <c r="O789" i="1" s="1"/>
  <c r="M1081" i="1"/>
  <c r="O1081" i="1" s="1"/>
  <c r="M1422" i="1"/>
  <c r="O1422" i="1" s="1"/>
  <c r="M1831" i="1"/>
  <c r="O1831" i="1" s="1"/>
  <c r="M369" i="1"/>
  <c r="O369" i="1" s="1"/>
  <c r="M625" i="1"/>
  <c r="O625" i="1" s="1"/>
  <c r="M909" i="1"/>
  <c r="O909" i="1" s="1"/>
  <c r="M1203" i="1"/>
  <c r="O1203" i="1" s="1"/>
  <c r="M1590" i="1"/>
  <c r="O1590" i="1" s="1"/>
  <c r="M1584" i="1"/>
  <c r="O1584" i="1" s="1"/>
  <c r="M1553" i="1"/>
  <c r="O1553" i="1" s="1"/>
  <c r="M898" i="1"/>
  <c r="O898" i="1" s="1"/>
  <c r="M1394" i="1"/>
  <c r="O1394" i="1" s="1"/>
  <c r="M1225" i="1"/>
  <c r="O1225" i="1" s="1"/>
  <c r="M1839" i="1"/>
  <c r="O1839" i="1" s="1"/>
  <c r="M796" i="1"/>
  <c r="O796" i="1" s="1"/>
  <c r="M1637" i="1"/>
  <c r="O1637" i="1" s="1"/>
  <c r="M404" i="1"/>
  <c r="O404" i="1" s="1"/>
  <c r="M610" i="1"/>
  <c r="O610" i="1" s="1"/>
  <c r="M831" i="1"/>
  <c r="O831" i="1" s="1"/>
  <c r="M1067" i="1"/>
  <c r="O1067" i="1" s="1"/>
  <c r="M1317" i="1"/>
  <c r="O1317" i="1" s="1"/>
  <c r="M1646" i="1"/>
  <c r="O1646" i="1" s="1"/>
  <c r="M391" i="1"/>
  <c r="O391" i="1" s="1"/>
  <c r="M519" i="1"/>
  <c r="O519" i="1" s="1"/>
  <c r="M647" i="1"/>
  <c r="O647" i="1" s="1"/>
  <c r="M788" i="1"/>
  <c r="O788" i="1" s="1"/>
  <c r="M916" i="1"/>
  <c r="O916" i="1" s="1"/>
  <c r="M1062" i="1"/>
  <c r="O1062" i="1" s="1"/>
  <c r="M1211" i="1"/>
  <c r="O1211" i="1" s="1"/>
  <c r="M1396" i="1"/>
  <c r="O1396" i="1" s="1"/>
  <c r="M1599" i="1"/>
  <c r="O1599" i="1" s="1"/>
  <c r="M1805" i="1"/>
  <c r="O1805" i="1" s="1"/>
  <c r="M376" i="1"/>
  <c r="O376" i="1" s="1"/>
  <c r="M504" i="1"/>
  <c r="O504" i="1" s="1"/>
  <c r="M632" i="1"/>
  <c r="O632" i="1" s="1"/>
  <c r="M771" i="1"/>
  <c r="O771" i="1" s="1"/>
  <c r="M917" i="1"/>
  <c r="O917" i="1" s="1"/>
  <c r="M1063" i="1"/>
  <c r="O1063" i="1" s="1"/>
  <c r="M1212" i="1"/>
  <c r="O1212" i="1" s="1"/>
  <c r="M1397" i="1"/>
  <c r="O1397" i="1" s="1"/>
  <c r="M1603" i="1"/>
  <c r="O1603" i="1" s="1"/>
  <c r="M1806" i="1"/>
  <c r="O1806" i="1" s="1"/>
  <c r="M749" i="1"/>
  <c r="O749" i="1" s="1"/>
  <c r="M353" i="1"/>
  <c r="O353" i="1" s="1"/>
  <c r="M481" i="1"/>
  <c r="O481" i="1" s="1"/>
  <c r="M609" i="1"/>
  <c r="O609" i="1" s="1"/>
  <c r="M744" i="1"/>
  <c r="O744" i="1" s="1"/>
  <c r="M891" i="1"/>
  <c r="O891" i="1" s="1"/>
  <c r="M1037" i="1"/>
  <c r="O1037" i="1" s="1"/>
  <c r="M1183" i="1"/>
  <c r="O1183" i="1" s="1"/>
  <c r="M1359" i="1"/>
  <c r="O1359" i="1" s="1"/>
  <c r="M1565" i="1"/>
  <c r="O1565" i="1" s="1"/>
  <c r="M1771" i="1"/>
  <c r="O1771" i="1" s="1"/>
  <c r="M1208" i="1"/>
  <c r="O1208" i="1" s="1"/>
  <c r="M1336" i="1"/>
  <c r="O1336" i="1" s="1"/>
  <c r="M1464" i="1"/>
  <c r="O1464" i="1" s="1"/>
  <c r="M1592" i="1"/>
  <c r="O1592" i="1" s="1"/>
  <c r="M1720" i="1"/>
  <c r="O1720" i="1" s="1"/>
  <c r="M1848" i="1"/>
  <c r="O1848" i="1" s="1"/>
  <c r="M666" i="1"/>
  <c r="O666" i="1" s="1"/>
  <c r="M1433" i="1"/>
  <c r="O1433" i="1" s="1"/>
  <c r="M1561" i="1"/>
  <c r="O1561" i="1" s="1"/>
  <c r="M1689" i="1"/>
  <c r="O1689" i="1" s="1"/>
  <c r="M1817" i="1"/>
  <c r="O1817" i="1" s="1"/>
  <c r="M778" i="1"/>
  <c r="O778" i="1" s="1"/>
  <c r="M922" i="1"/>
  <c r="O922" i="1" s="1"/>
  <c r="M1050" i="1"/>
  <c r="O1050" i="1" s="1"/>
  <c r="M1178" i="1"/>
  <c r="O1178" i="1" s="1"/>
  <c r="M1306" i="1"/>
  <c r="O1306" i="1" s="1"/>
  <c r="M1434" i="1"/>
  <c r="O1434" i="1" s="1"/>
  <c r="M1562" i="1"/>
  <c r="O1562" i="1" s="1"/>
  <c r="M1690" i="1"/>
  <c r="O1690" i="1" s="1"/>
  <c r="M1818" i="1"/>
  <c r="O1818" i="1" s="1"/>
  <c r="M1843" i="1"/>
  <c r="O1843" i="1" s="1"/>
  <c r="M653" i="1"/>
  <c r="O653" i="1" s="1"/>
  <c r="M1591" i="1"/>
  <c r="O1591" i="1" s="1"/>
  <c r="M1065" i="1"/>
  <c r="O1065" i="1" s="1"/>
  <c r="M1413" i="1"/>
  <c r="O1413" i="1" s="1"/>
  <c r="M840" i="1"/>
  <c r="O840" i="1" s="1"/>
  <c r="M1700" i="1"/>
  <c r="O1700" i="1" s="1"/>
  <c r="M418" i="1"/>
  <c r="O418" i="1" s="1"/>
  <c r="M621" i="1"/>
  <c r="O621" i="1" s="1"/>
  <c r="M847" i="1"/>
  <c r="O847" i="1" s="1"/>
  <c r="M1079" i="1"/>
  <c r="O1079" i="1" s="1"/>
  <c r="M1340" i="1"/>
  <c r="O1340" i="1" s="1"/>
  <c r="M1669" i="1"/>
  <c r="O1669" i="1" s="1"/>
  <c r="M399" i="1"/>
  <c r="O399" i="1" s="1"/>
  <c r="M527" i="1"/>
  <c r="O527" i="1" s="1"/>
  <c r="M655" i="1"/>
  <c r="O655" i="1" s="1"/>
  <c r="M797" i="1"/>
  <c r="O797" i="1" s="1"/>
  <c r="M925" i="1"/>
  <c r="O925" i="1" s="1"/>
  <c r="M1071" i="1"/>
  <c r="O1071" i="1" s="1"/>
  <c r="M1221" i="1"/>
  <c r="O1221" i="1" s="1"/>
  <c r="M1407" i="1"/>
  <c r="O1407" i="1" s="1"/>
  <c r="M1613" i="1"/>
  <c r="O1613" i="1" s="1"/>
  <c r="M1819" i="1"/>
  <c r="O1819" i="1" s="1"/>
  <c r="M384" i="1"/>
  <c r="O384" i="1" s="1"/>
  <c r="M512" i="1"/>
  <c r="O512" i="1" s="1"/>
  <c r="M640" i="1"/>
  <c r="O640" i="1" s="1"/>
  <c r="M780" i="1"/>
  <c r="O780" i="1" s="1"/>
  <c r="M926" i="1"/>
  <c r="O926" i="1" s="1"/>
  <c r="M1072" i="1"/>
  <c r="O1072" i="1" s="1"/>
  <c r="M1222" i="1"/>
  <c r="O1222" i="1" s="1"/>
  <c r="M1411" i="1"/>
  <c r="O1411" i="1" s="1"/>
  <c r="M1614" i="1"/>
  <c r="O1614" i="1" s="1"/>
  <c r="M1820" i="1"/>
  <c r="O1820" i="1" s="1"/>
  <c r="M361" i="1"/>
  <c r="O361" i="1" s="1"/>
  <c r="M489" i="1"/>
  <c r="O489" i="1" s="1"/>
  <c r="M617" i="1"/>
  <c r="O617" i="1" s="1"/>
  <c r="M753" i="1"/>
  <c r="O753" i="1" s="1"/>
  <c r="M900" i="1"/>
  <c r="O900" i="1" s="1"/>
  <c r="M1046" i="1"/>
  <c r="O1046" i="1" s="1"/>
  <c r="M1192" i="1"/>
  <c r="O1192" i="1" s="1"/>
  <c r="M1373" i="1"/>
  <c r="O1373" i="1" s="1"/>
  <c r="M1579" i="1"/>
  <c r="O1579" i="1" s="1"/>
  <c r="M1782" i="1"/>
  <c r="O1782" i="1" s="1"/>
  <c r="M1248" i="1"/>
  <c r="O1248" i="1" s="1"/>
  <c r="M1376" i="1"/>
  <c r="O1376" i="1" s="1"/>
  <c r="M1504" i="1"/>
  <c r="O1504" i="1" s="1"/>
  <c r="M1632" i="1"/>
  <c r="O1632" i="1" s="1"/>
  <c r="M1760" i="1"/>
  <c r="O1760" i="1" s="1"/>
  <c r="M1345" i="1"/>
  <c r="O1345" i="1" s="1"/>
  <c r="M1473" i="1"/>
  <c r="O1473" i="1" s="1"/>
  <c r="M1601" i="1"/>
  <c r="O1601" i="1" s="1"/>
  <c r="M1729" i="1"/>
  <c r="O1729" i="1" s="1"/>
  <c r="M1857" i="1"/>
  <c r="O1857" i="1" s="1"/>
  <c r="M690" i="1"/>
  <c r="O690" i="1" s="1"/>
  <c r="M818" i="1"/>
  <c r="O818" i="1" s="1"/>
  <c r="M962" i="1"/>
  <c r="O962" i="1" s="1"/>
  <c r="M1090" i="1"/>
  <c r="O1090" i="1" s="1"/>
  <c r="M1218" i="1"/>
  <c r="O1218" i="1" s="1"/>
  <c r="M1346" i="1"/>
  <c r="O1346" i="1" s="1"/>
  <c r="M1474" i="1"/>
  <c r="O1474" i="1" s="1"/>
  <c r="M1602" i="1"/>
  <c r="O1602" i="1" s="1"/>
  <c r="M1730" i="1"/>
  <c r="O1730" i="1" s="1"/>
  <c r="M1858" i="1"/>
  <c r="O1858" i="1" s="1"/>
  <c r="M804" i="1"/>
  <c r="O804" i="1" s="1"/>
  <c r="M546" i="1"/>
  <c r="O546" i="1" s="1"/>
  <c r="M997" i="1"/>
  <c r="O997" i="1" s="1"/>
  <c r="M711" i="1"/>
  <c r="O711" i="1" s="1"/>
  <c r="M370" i="1"/>
  <c r="O370" i="1" s="1"/>
  <c r="M765" i="1"/>
  <c r="O765" i="1" s="1"/>
  <c r="M1320" i="1"/>
  <c r="O1320" i="1" s="1"/>
  <c r="M1448" i="1"/>
  <c r="O1448" i="1" s="1"/>
  <c r="M1576" i="1"/>
  <c r="O1576" i="1" s="1"/>
  <c r="M1704" i="1"/>
  <c r="O1704" i="1" s="1"/>
  <c r="M1832" i="1"/>
  <c r="O1832" i="1" s="1"/>
  <c r="M580" i="1"/>
  <c r="O580" i="1" s="1"/>
  <c r="M1417" i="1"/>
  <c r="O1417" i="1" s="1"/>
  <c r="M1545" i="1"/>
  <c r="O1545" i="1" s="1"/>
  <c r="M1673" i="1"/>
  <c r="O1673" i="1" s="1"/>
  <c r="M1801" i="1"/>
  <c r="O1801" i="1" s="1"/>
  <c r="M762" i="1"/>
  <c r="O762" i="1" s="1"/>
  <c r="M890" i="1"/>
  <c r="O890" i="1" s="1"/>
  <c r="M1002" i="1"/>
  <c r="O1002" i="1" s="1"/>
  <c r="M1130" i="1"/>
  <c r="O1130" i="1" s="1"/>
  <c r="M1258" i="1"/>
  <c r="O1258" i="1" s="1"/>
  <c r="M1386" i="1"/>
  <c r="O1386" i="1" s="1"/>
  <c r="M1514" i="1"/>
  <c r="O1514" i="1" s="1"/>
  <c r="M1642" i="1"/>
  <c r="O1642" i="1" s="1"/>
  <c r="M1770" i="1"/>
  <c r="O1770" i="1" s="1"/>
  <c r="M547" i="1"/>
  <c r="O547" i="1" s="1"/>
  <c r="M579" i="1"/>
  <c r="O579" i="1" s="1"/>
  <c r="M499" i="1"/>
  <c r="O499" i="1" s="1"/>
  <c r="M1841" i="1"/>
  <c r="O1841" i="1" s="1"/>
  <c r="M741" i="1"/>
  <c r="O741" i="1" s="1"/>
  <c r="M1005" i="1"/>
  <c r="O1005" i="1" s="1"/>
  <c r="M1454" i="1"/>
  <c r="O1454" i="1" s="1"/>
  <c r="M572" i="1"/>
  <c r="O572" i="1" s="1"/>
  <c r="M510" i="1"/>
  <c r="O510" i="1" s="1"/>
  <c r="M915" i="1"/>
  <c r="O915" i="1" s="1"/>
  <c r="M592" i="1"/>
  <c r="O592" i="1" s="1"/>
  <c r="M1205" i="1"/>
  <c r="O1205" i="1" s="1"/>
  <c r="M941" i="1"/>
  <c r="O941" i="1" s="1"/>
  <c r="M658" i="1"/>
  <c r="O658" i="1" s="1"/>
  <c r="M809" i="1"/>
  <c r="O809" i="1" s="1"/>
  <c r="M1243" i="1"/>
  <c r="O1243" i="1" s="1"/>
  <c r="M683" i="1"/>
  <c r="O683" i="1" s="1"/>
  <c r="M1029" i="1"/>
  <c r="O1029" i="1" s="1"/>
  <c r="M1742" i="1"/>
  <c r="O1742" i="1" s="1"/>
  <c r="M758" i="1"/>
  <c r="O758" i="1" s="1"/>
  <c r="M1204" i="1"/>
  <c r="O1204" i="1" s="1"/>
  <c r="M1713" i="1"/>
  <c r="O1713" i="1" s="1"/>
  <c r="M1509" i="1"/>
  <c r="O1509" i="1" s="1"/>
  <c r="M1508" i="1"/>
  <c r="O1508" i="1" s="1"/>
  <c r="M603" i="1"/>
  <c r="O603" i="1" s="1"/>
  <c r="M1381" i="1"/>
  <c r="O1381" i="1" s="1"/>
  <c r="M1163" i="1"/>
  <c r="O1163" i="1" s="1"/>
  <c r="M801" i="1"/>
  <c r="O801" i="1" s="1"/>
  <c r="M590" i="1"/>
  <c r="O590" i="1" s="1"/>
  <c r="M1198" i="1"/>
  <c r="O1198" i="1" s="1"/>
  <c r="M460" i="1"/>
  <c r="O460" i="1" s="1"/>
  <c r="M605" i="1"/>
  <c r="O605" i="1" s="1"/>
  <c r="M607" i="1"/>
  <c r="O607" i="1" s="1"/>
  <c r="M366" i="1"/>
  <c r="O366" i="1" s="1"/>
  <c r="M821" i="1"/>
  <c r="O821" i="1" s="1"/>
  <c r="M993" i="1"/>
  <c r="O993" i="1" s="1"/>
  <c r="M1230" i="1"/>
  <c r="O1230" i="1" s="1"/>
  <c r="M606" i="1"/>
  <c r="O606" i="1" s="1"/>
  <c r="M1539" i="1"/>
  <c r="O1539" i="1" s="1"/>
  <c r="M768" i="1"/>
  <c r="O768" i="1" s="1"/>
  <c r="M1024" i="1"/>
  <c r="O1024" i="1" s="1"/>
  <c r="M1735" i="1"/>
  <c r="O1735" i="1" s="1"/>
  <c r="M1406" i="1"/>
  <c r="O1406" i="1" s="1"/>
  <c r="M1405" i="1"/>
  <c r="O1405" i="1" s="1"/>
  <c r="M573" i="1"/>
  <c r="O573" i="1" s="1"/>
  <c r="M1142" i="1"/>
  <c r="O1142" i="1" s="1"/>
  <c r="M1457" i="1"/>
  <c r="O1457" i="1" s="1"/>
  <c r="M502" i="1"/>
  <c r="O502" i="1" s="1"/>
  <c r="M1325" i="1"/>
  <c r="O1325" i="1" s="1"/>
  <c r="M1807" i="1"/>
  <c r="O1807" i="1" s="1"/>
  <c r="M646" i="1"/>
  <c r="O646" i="1" s="1"/>
  <c r="M895" i="1"/>
  <c r="O895" i="1" s="1"/>
  <c r="M1023" i="1"/>
  <c r="O1023" i="1" s="1"/>
  <c r="M1435" i="1"/>
  <c r="O1435" i="1" s="1"/>
  <c r="M1176" i="1"/>
  <c r="O1176" i="1" s="1"/>
  <c r="M1543" i="1"/>
  <c r="O1543" i="1" s="1"/>
  <c r="M870" i="1"/>
  <c r="O870" i="1" s="1"/>
  <c r="M865" i="1"/>
  <c r="O865" i="1" s="1"/>
  <c r="M876" i="1"/>
  <c r="O876" i="1" s="1"/>
  <c r="M1492" i="1"/>
  <c r="O1492" i="1" s="1"/>
  <c r="M1291" i="1"/>
  <c r="O1291" i="1" s="1"/>
  <c r="M968" i="1"/>
  <c r="O968" i="1" s="1"/>
  <c r="M848" i="1"/>
  <c r="O848" i="1" s="1"/>
  <c r="M1398" i="1"/>
  <c r="O1398" i="1" s="1"/>
  <c r="M656" i="1"/>
  <c r="O656" i="1" s="1"/>
  <c r="M452" i="1"/>
  <c r="O452" i="1" s="1"/>
  <c r="M484" i="1"/>
  <c r="O484" i="1" s="1"/>
  <c r="M1112" i="1"/>
  <c r="O1112" i="1" s="1"/>
  <c r="M837" i="1"/>
  <c r="O837" i="1" s="1"/>
  <c r="M1630" i="1"/>
  <c r="O1630" i="1" s="1"/>
  <c r="M1838" i="1"/>
  <c r="O1838" i="1" s="1"/>
  <c r="M630" i="1"/>
  <c r="O630" i="1" s="1"/>
  <c r="M1783" i="1"/>
  <c r="O1783" i="1" s="1"/>
  <c r="M686" i="1"/>
  <c r="O686" i="1" s="1"/>
  <c r="M1269" i="1"/>
  <c r="O1269" i="1" s="1"/>
  <c r="M1236" i="1"/>
  <c r="O1236" i="1" s="1"/>
  <c r="M470" i="1"/>
  <c r="O470" i="1" s="1"/>
  <c r="M782" i="1"/>
  <c r="O782" i="1" s="1"/>
  <c r="M1281" i="1"/>
  <c r="O1281" i="1" s="1"/>
  <c r="M684" i="1"/>
  <c r="O684" i="1" s="1"/>
  <c r="M1478" i="1"/>
  <c r="O1478" i="1" s="1"/>
  <c r="M947" i="1"/>
  <c r="O947" i="1" s="1"/>
  <c r="M522" i="1"/>
  <c r="O522" i="1" s="1"/>
  <c r="M434" i="1"/>
  <c r="O434" i="1" s="1"/>
  <c r="M951" i="1"/>
  <c r="O951" i="1" s="1"/>
  <c r="M1068" i="1"/>
  <c r="O1068" i="1" s="1"/>
  <c r="M1751" i="1"/>
  <c r="O1751" i="1" s="1"/>
  <c r="L67" i="1" l="1"/>
  <c r="L107" i="1"/>
  <c r="L60" i="1"/>
  <c r="L18" i="1"/>
  <c r="L65" i="1"/>
  <c r="L23" i="1"/>
  <c r="L106" i="1"/>
  <c r="L114" i="1"/>
  <c r="L25" i="1"/>
  <c r="L44" i="1"/>
  <c r="L61" i="1"/>
  <c r="L112" i="1"/>
  <c r="L26" i="1"/>
  <c r="L34" i="1"/>
  <c r="L33" i="1"/>
  <c r="L49" i="1"/>
  <c r="L72" i="1"/>
  <c r="L10" i="1"/>
  <c r="L77" i="1"/>
  <c r="L117" i="1"/>
  <c r="L8" i="1"/>
  <c r="L48" i="1"/>
  <c r="L37" i="1"/>
  <c r="L36" i="1"/>
  <c r="L45" i="1"/>
  <c r="L57" i="1"/>
  <c r="L13" i="1"/>
  <c r="L62" i="1"/>
  <c r="L102" i="1"/>
  <c r="L104" i="1"/>
  <c r="L80" i="1"/>
  <c r="L16" i="1"/>
  <c r="L83" i="1"/>
  <c r="L42" i="1"/>
  <c r="L31" i="1"/>
  <c r="L90" i="1"/>
  <c r="L108" i="1"/>
  <c r="L22" i="1"/>
  <c r="L70" i="1"/>
  <c r="L95" i="1"/>
  <c r="L47" i="1"/>
  <c r="L4" i="1"/>
  <c r="L68" i="1"/>
  <c r="L63" i="1"/>
  <c r="L96" i="1"/>
  <c r="L113" i="1"/>
  <c r="L89" i="1"/>
  <c r="L50" i="1"/>
  <c r="L24" i="1"/>
  <c r="L56" i="1"/>
  <c r="L51" i="1"/>
  <c r="L91" i="1"/>
  <c r="L101" i="1"/>
  <c r="L118" i="1"/>
  <c r="L7" i="1"/>
  <c r="L115" i="1"/>
  <c r="L86" i="1"/>
  <c r="L54" i="1"/>
  <c r="L94" i="1"/>
  <c r="L19" i="1"/>
  <c r="L12" i="1"/>
  <c r="L79" i="1"/>
  <c r="L78" i="1"/>
  <c r="L11" i="1"/>
  <c r="L58" i="1"/>
  <c r="L32" i="1"/>
  <c r="L20" i="1"/>
  <c r="L59" i="1"/>
  <c r="L87" i="1"/>
  <c r="L40" i="1"/>
  <c r="L105" i="1"/>
  <c r="L64" i="1"/>
  <c r="L85" i="1"/>
  <c r="L109" i="1"/>
  <c r="L111" i="1"/>
  <c r="L55" i="1"/>
  <c r="L116" i="1"/>
  <c r="L84" i="1"/>
  <c r="L15" i="1"/>
  <c r="L6" i="1"/>
  <c r="L27" i="1"/>
  <c r="L110" i="1"/>
  <c r="L93" i="1"/>
  <c r="L119" i="1"/>
  <c r="L39" i="1"/>
  <c r="L99" i="1"/>
  <c r="L97" i="1"/>
  <c r="L21" i="1"/>
  <c r="L30" i="1"/>
  <c r="L38" i="1"/>
  <c r="L35" i="1"/>
  <c r="L82" i="1"/>
  <c r="L14" i="1"/>
  <c r="L29" i="1"/>
  <c r="L100" i="1"/>
  <c r="L43" i="1"/>
  <c r="L41" i="1"/>
  <c r="L75" i="1"/>
  <c r="L46" i="1"/>
  <c r="L92" i="1"/>
  <c r="L69" i="1"/>
  <c r="L120" i="1"/>
  <c r="L17" i="1"/>
  <c r="L9" i="1"/>
  <c r="L81" i="1"/>
  <c r="L76" i="1"/>
  <c r="J123" i="1"/>
  <c r="L52" i="1"/>
  <c r="L74" i="1"/>
  <c r="L53" i="1"/>
  <c r="L103" i="1"/>
  <c r="L98" i="1"/>
  <c r="L73" i="1"/>
  <c r="L28" i="1"/>
  <c r="L71" i="1"/>
  <c r="L88" i="1"/>
  <c r="L121" i="1"/>
  <c r="N122" i="1" l="1"/>
  <c r="J124" i="1"/>
  <c r="N123" i="1"/>
  <c r="L123" i="1"/>
  <c r="N124" i="1" l="1"/>
  <c r="J125" i="1"/>
  <c r="L124" i="1"/>
  <c r="N125" i="1" l="1"/>
  <c r="J126" i="1"/>
  <c r="L125" i="1"/>
  <c r="N126" i="1" l="1"/>
  <c r="J127" i="1"/>
  <c r="L126" i="1"/>
  <c r="J128" i="1" l="1"/>
  <c r="N127" i="1"/>
  <c r="L127" i="1"/>
  <c r="N128" i="1" l="1"/>
  <c r="J129" i="1"/>
  <c r="L128" i="1"/>
  <c r="J130" i="1" l="1"/>
  <c r="N129" i="1"/>
  <c r="L129" i="1"/>
  <c r="N130" i="1" l="1"/>
  <c r="J131" i="1"/>
  <c r="L130" i="1"/>
  <c r="J132" i="1" l="1"/>
  <c r="N131" i="1"/>
  <c r="L131" i="1"/>
  <c r="N132" i="1" l="1"/>
  <c r="J133" i="1"/>
  <c r="L132" i="1"/>
  <c r="J134" i="1" l="1"/>
  <c r="N133" i="1"/>
  <c r="L133" i="1"/>
  <c r="N134" i="1" l="1"/>
  <c r="J135" i="1"/>
  <c r="L134" i="1"/>
  <c r="J136" i="1" l="1"/>
  <c r="N135" i="1"/>
  <c r="L135" i="1"/>
  <c r="N136" i="1" l="1"/>
  <c r="J137" i="1"/>
  <c r="L136" i="1"/>
  <c r="J138" i="1" l="1"/>
  <c r="N137" i="1"/>
  <c r="L137" i="1"/>
  <c r="N138" i="1" l="1"/>
  <c r="J139" i="1"/>
  <c r="L138" i="1"/>
  <c r="J140" i="1" l="1"/>
  <c r="N139" i="1"/>
  <c r="L139" i="1"/>
  <c r="N140" i="1" l="1"/>
  <c r="J141" i="1"/>
  <c r="L140" i="1"/>
  <c r="J142" i="1" l="1"/>
  <c r="N141" i="1"/>
  <c r="L141" i="1"/>
  <c r="N142" i="1" l="1"/>
  <c r="J143" i="1"/>
  <c r="L142" i="1"/>
  <c r="J144" i="1" l="1"/>
  <c r="N143" i="1"/>
  <c r="L143" i="1"/>
  <c r="N144" i="1" l="1"/>
  <c r="J145" i="1"/>
  <c r="L144" i="1"/>
  <c r="N145" i="1" l="1"/>
  <c r="J146" i="1"/>
  <c r="L145" i="1"/>
  <c r="J147" i="1" l="1"/>
  <c r="N146" i="1"/>
  <c r="L146" i="1"/>
  <c r="N147" i="1" l="1"/>
  <c r="J148" i="1"/>
  <c r="L147" i="1"/>
  <c r="J149" i="1" l="1"/>
  <c r="N148" i="1"/>
  <c r="L148" i="1"/>
  <c r="N149" i="1" l="1"/>
  <c r="J150" i="1"/>
  <c r="L149" i="1"/>
  <c r="J151" i="1" l="1"/>
  <c r="N150" i="1"/>
  <c r="L150" i="1"/>
  <c r="N151" i="1" l="1"/>
  <c r="J152" i="1"/>
  <c r="L151" i="1"/>
  <c r="J153" i="1" l="1"/>
  <c r="N152" i="1"/>
  <c r="L152" i="1"/>
  <c r="N153" i="1" l="1"/>
  <c r="J154" i="1"/>
  <c r="L153" i="1"/>
  <c r="J155" i="1" l="1"/>
  <c r="N154" i="1"/>
  <c r="L154" i="1"/>
  <c r="N155" i="1" l="1"/>
  <c r="J156" i="1"/>
  <c r="L155" i="1"/>
  <c r="J157" i="1" l="1"/>
  <c r="N156" i="1"/>
  <c r="L156" i="1"/>
  <c r="N157" i="1" l="1"/>
  <c r="J158" i="1"/>
  <c r="L157" i="1"/>
  <c r="J159" i="1" l="1"/>
  <c r="N158" i="1"/>
  <c r="L158" i="1"/>
  <c r="N159" i="1" l="1"/>
  <c r="J160" i="1"/>
  <c r="L159" i="1"/>
  <c r="J161" i="1" l="1"/>
  <c r="N160" i="1"/>
  <c r="L160" i="1"/>
  <c r="N161" i="1" l="1"/>
  <c r="J162" i="1"/>
  <c r="L161" i="1"/>
  <c r="J163" i="1" l="1"/>
  <c r="N162" i="1"/>
  <c r="L162" i="1"/>
  <c r="N163" i="1" l="1"/>
  <c r="J164" i="1"/>
  <c r="L163" i="1"/>
  <c r="J165" i="1" l="1"/>
  <c r="N164" i="1"/>
  <c r="L164" i="1"/>
  <c r="N165" i="1" l="1"/>
  <c r="J166" i="1"/>
  <c r="L165" i="1"/>
  <c r="J167" i="1" l="1"/>
  <c r="N166" i="1"/>
  <c r="L166" i="1"/>
  <c r="N167" i="1" l="1"/>
  <c r="J168" i="1"/>
  <c r="L167" i="1"/>
  <c r="J169" i="1" l="1"/>
  <c r="N168" i="1"/>
  <c r="L168" i="1"/>
  <c r="N169" i="1" l="1"/>
  <c r="J170" i="1"/>
  <c r="L169" i="1"/>
  <c r="N170" i="1" l="1"/>
  <c r="J171" i="1"/>
  <c r="L170" i="1"/>
  <c r="J172" i="1" l="1"/>
  <c r="N171" i="1"/>
  <c r="L171" i="1"/>
  <c r="N172" i="1" l="1"/>
  <c r="J173" i="1"/>
  <c r="L172" i="1"/>
  <c r="J174" i="1" l="1"/>
  <c r="N173" i="1"/>
  <c r="L173" i="1"/>
  <c r="N174" i="1" l="1"/>
  <c r="J175" i="1"/>
  <c r="L174" i="1"/>
  <c r="J176" i="1" l="1"/>
  <c r="N175" i="1"/>
  <c r="L175" i="1"/>
  <c r="N176" i="1" l="1"/>
  <c r="J177" i="1"/>
  <c r="L176" i="1"/>
  <c r="J178" i="1" l="1"/>
  <c r="N177" i="1"/>
  <c r="L177" i="1"/>
  <c r="N178" i="1" l="1"/>
  <c r="J179" i="1"/>
  <c r="L178" i="1"/>
  <c r="J180" i="1" l="1"/>
  <c r="N179" i="1"/>
  <c r="L179" i="1"/>
  <c r="N180" i="1" l="1"/>
  <c r="J181" i="1"/>
  <c r="L180" i="1"/>
  <c r="J182" i="1" l="1"/>
  <c r="N181" i="1"/>
  <c r="L181" i="1"/>
  <c r="N182" i="1" l="1"/>
  <c r="J183" i="1"/>
  <c r="L182" i="1"/>
  <c r="N183" i="1" l="1"/>
  <c r="J184" i="1"/>
  <c r="L183" i="1"/>
  <c r="J185" i="1" l="1"/>
  <c r="N184" i="1"/>
  <c r="L184" i="1"/>
  <c r="N185" i="1" l="1"/>
  <c r="J186" i="1"/>
  <c r="L185" i="1"/>
  <c r="J187" i="1" l="1"/>
  <c r="N186" i="1"/>
  <c r="L186" i="1"/>
  <c r="N187" i="1" l="1"/>
  <c r="J188" i="1"/>
  <c r="L187" i="1"/>
  <c r="J189" i="1" l="1"/>
  <c r="N188" i="1"/>
  <c r="L188" i="1"/>
  <c r="N189" i="1" l="1"/>
  <c r="J190" i="1"/>
  <c r="L189" i="1"/>
  <c r="N190" i="1" l="1"/>
  <c r="J191" i="1"/>
  <c r="L190" i="1"/>
  <c r="J192" i="1" l="1"/>
  <c r="N191" i="1"/>
  <c r="L191" i="1"/>
  <c r="N192" i="1" l="1"/>
  <c r="J193" i="1"/>
  <c r="L192" i="1"/>
  <c r="N193" i="1" l="1"/>
  <c r="J194" i="1"/>
  <c r="L193" i="1"/>
  <c r="J195" i="1" l="1"/>
  <c r="N194" i="1"/>
  <c r="L194" i="1"/>
  <c r="N195" i="1" l="1"/>
  <c r="J196" i="1"/>
  <c r="L195" i="1"/>
  <c r="J197" i="1" l="1"/>
  <c r="N196" i="1"/>
  <c r="L196" i="1"/>
  <c r="N197" i="1" l="1"/>
  <c r="J198" i="1"/>
  <c r="L197" i="1"/>
  <c r="J199" i="1" l="1"/>
  <c r="N198" i="1"/>
  <c r="L198" i="1"/>
  <c r="N199" i="1" l="1"/>
  <c r="J200" i="1"/>
  <c r="L199" i="1"/>
  <c r="J201" i="1" l="1"/>
  <c r="N200" i="1"/>
  <c r="L200" i="1"/>
  <c r="N201" i="1" l="1"/>
  <c r="J202" i="1"/>
  <c r="L201" i="1"/>
  <c r="J203" i="1" l="1"/>
  <c r="N202" i="1"/>
  <c r="L202" i="1"/>
  <c r="N203" i="1" l="1"/>
  <c r="J204" i="1"/>
  <c r="L203" i="1"/>
  <c r="J205" i="1" l="1"/>
  <c r="N204" i="1"/>
  <c r="L204" i="1"/>
  <c r="N205" i="1" l="1"/>
  <c r="J206" i="1"/>
  <c r="L205" i="1"/>
  <c r="J207" i="1" l="1"/>
  <c r="N206" i="1"/>
  <c r="L206" i="1"/>
  <c r="N207" i="1" l="1"/>
  <c r="J208" i="1"/>
  <c r="L207" i="1"/>
  <c r="J209" i="1" l="1"/>
  <c r="N208" i="1"/>
  <c r="L208" i="1"/>
  <c r="N209" i="1" l="1"/>
  <c r="J210" i="1"/>
  <c r="L209" i="1"/>
  <c r="J211" i="1" l="1"/>
  <c r="N210" i="1"/>
  <c r="L210" i="1"/>
  <c r="N211" i="1" l="1"/>
  <c r="J212" i="1"/>
  <c r="L211" i="1"/>
  <c r="J213" i="1" l="1"/>
  <c r="N212" i="1"/>
  <c r="L212" i="1"/>
  <c r="N213" i="1" l="1"/>
  <c r="J214" i="1"/>
  <c r="L213" i="1"/>
  <c r="J215" i="1" l="1"/>
  <c r="N214" i="1"/>
  <c r="L214" i="1"/>
  <c r="N215" i="1" l="1"/>
  <c r="J216" i="1"/>
  <c r="L215" i="1"/>
  <c r="J217" i="1" l="1"/>
  <c r="N216" i="1"/>
  <c r="L216" i="1"/>
  <c r="N217" i="1" l="1"/>
  <c r="J218" i="1"/>
  <c r="L217" i="1"/>
  <c r="N218" i="1" l="1"/>
  <c r="J219" i="1"/>
  <c r="L218" i="1"/>
  <c r="J220" i="1" l="1"/>
  <c r="N219" i="1"/>
  <c r="L219" i="1"/>
  <c r="N220" i="1" l="1"/>
  <c r="J221" i="1"/>
  <c r="L220" i="1"/>
  <c r="J222" i="1" l="1"/>
  <c r="N221" i="1"/>
  <c r="L221" i="1"/>
  <c r="N222" i="1" l="1"/>
  <c r="J223" i="1"/>
  <c r="L222" i="1"/>
  <c r="J224" i="1" l="1"/>
  <c r="N223" i="1"/>
  <c r="L223" i="1"/>
  <c r="N224" i="1" l="1"/>
  <c r="J225" i="1"/>
  <c r="L224" i="1"/>
  <c r="J226" i="1" l="1"/>
  <c r="N225" i="1"/>
  <c r="L225" i="1"/>
  <c r="N226" i="1" l="1"/>
  <c r="J227" i="1"/>
  <c r="L226" i="1"/>
  <c r="J228" i="1" l="1"/>
  <c r="N227" i="1"/>
  <c r="L227" i="1"/>
  <c r="N228" i="1" l="1"/>
  <c r="J229" i="1"/>
  <c r="L228" i="1"/>
  <c r="J230" i="1" l="1"/>
  <c r="N229" i="1"/>
  <c r="L229" i="1"/>
  <c r="N230" i="1" l="1"/>
  <c r="J231" i="1"/>
  <c r="L230" i="1"/>
  <c r="J232" i="1" l="1"/>
  <c r="N231" i="1"/>
  <c r="L231" i="1"/>
  <c r="N232" i="1" l="1"/>
  <c r="J233" i="1"/>
  <c r="L232" i="1"/>
  <c r="J234" i="1" l="1"/>
  <c r="N233" i="1"/>
  <c r="L233" i="1"/>
  <c r="N234" i="1" l="1"/>
  <c r="J235" i="1"/>
  <c r="L234" i="1"/>
  <c r="J236" i="1" l="1"/>
  <c r="N235" i="1"/>
  <c r="L235" i="1"/>
  <c r="N236" i="1" l="1"/>
  <c r="J237" i="1"/>
  <c r="L236" i="1"/>
  <c r="J238" i="1" l="1"/>
  <c r="N237" i="1"/>
  <c r="L237" i="1"/>
  <c r="N238" i="1" l="1"/>
  <c r="J239" i="1"/>
  <c r="L238" i="1"/>
  <c r="N239" i="1" l="1"/>
  <c r="J240" i="1"/>
  <c r="L239" i="1"/>
  <c r="N240" i="1" l="1"/>
  <c r="J241" i="1"/>
  <c r="L240" i="1"/>
  <c r="N241" i="1" l="1"/>
  <c r="J242" i="1"/>
  <c r="L241" i="1"/>
  <c r="J243" i="1" l="1"/>
  <c r="N242" i="1"/>
  <c r="L242" i="1"/>
  <c r="N243" i="1" l="1"/>
  <c r="J244" i="1"/>
  <c r="L243" i="1"/>
  <c r="J245" i="1" l="1"/>
  <c r="N244" i="1"/>
  <c r="L244" i="1"/>
  <c r="N245" i="1" l="1"/>
  <c r="J246" i="1"/>
  <c r="L245" i="1"/>
  <c r="J247" i="1" l="1"/>
  <c r="N246" i="1"/>
  <c r="L246" i="1"/>
  <c r="N247" i="1" l="1"/>
  <c r="J248" i="1"/>
  <c r="L247" i="1"/>
  <c r="J249" i="1" l="1"/>
  <c r="N248" i="1"/>
  <c r="L248" i="1"/>
  <c r="N249" i="1" l="1"/>
  <c r="J250" i="1"/>
  <c r="L249" i="1"/>
  <c r="J251" i="1" l="1"/>
  <c r="N250" i="1"/>
  <c r="L250" i="1"/>
  <c r="N251" i="1" l="1"/>
  <c r="J252" i="1"/>
  <c r="L251" i="1"/>
  <c r="J253" i="1" l="1"/>
  <c r="N252" i="1"/>
  <c r="L252" i="1"/>
  <c r="N253" i="1" l="1"/>
  <c r="J254" i="1"/>
  <c r="L253" i="1"/>
  <c r="J255" i="1" l="1"/>
  <c r="N254" i="1"/>
  <c r="L254" i="1"/>
  <c r="N255" i="1" l="1"/>
  <c r="J256" i="1"/>
  <c r="L255" i="1"/>
  <c r="J257" i="1" l="1"/>
  <c r="N256" i="1"/>
  <c r="L256" i="1"/>
  <c r="N257" i="1" l="1"/>
  <c r="J258" i="1"/>
  <c r="L257" i="1"/>
  <c r="J259" i="1" l="1"/>
  <c r="N258" i="1"/>
  <c r="L258" i="1"/>
  <c r="N259" i="1" l="1"/>
  <c r="J260" i="1"/>
  <c r="L259" i="1"/>
  <c r="J261" i="1" l="1"/>
  <c r="N260" i="1"/>
  <c r="L260" i="1"/>
  <c r="N261" i="1" l="1"/>
  <c r="J262" i="1"/>
  <c r="L261" i="1"/>
  <c r="J263" i="1" l="1"/>
  <c r="N262" i="1"/>
  <c r="L262" i="1"/>
  <c r="N263" i="1" l="1"/>
  <c r="J264" i="1"/>
  <c r="L263" i="1"/>
  <c r="J265" i="1" l="1"/>
  <c r="N264" i="1"/>
  <c r="L264" i="1"/>
  <c r="N265" i="1" l="1"/>
  <c r="J266" i="1"/>
  <c r="L265" i="1"/>
  <c r="N266" i="1" l="1"/>
  <c r="J267" i="1"/>
  <c r="L266" i="1"/>
  <c r="J268" i="1" l="1"/>
  <c r="N267" i="1"/>
  <c r="L267" i="1"/>
  <c r="N268" i="1" l="1"/>
  <c r="J269" i="1"/>
  <c r="L268" i="1"/>
  <c r="J270" i="1" l="1"/>
  <c r="N269" i="1"/>
  <c r="L269" i="1"/>
  <c r="N270" i="1" l="1"/>
  <c r="J271" i="1"/>
  <c r="L270" i="1"/>
  <c r="J272" i="1" l="1"/>
  <c r="N271" i="1"/>
  <c r="L271" i="1"/>
  <c r="N272" i="1" l="1"/>
  <c r="J273" i="1"/>
  <c r="L272" i="1"/>
  <c r="J274" i="1" l="1"/>
  <c r="N273" i="1"/>
  <c r="L273" i="1"/>
  <c r="N274" i="1" l="1"/>
  <c r="J275" i="1"/>
  <c r="L274" i="1"/>
  <c r="J276" i="1" l="1"/>
  <c r="N275" i="1"/>
  <c r="L275" i="1"/>
  <c r="N276" i="1" l="1"/>
  <c r="J277" i="1"/>
  <c r="L276" i="1"/>
  <c r="J278" i="1" l="1"/>
  <c r="N277" i="1"/>
  <c r="L277" i="1"/>
  <c r="N278" i="1" l="1"/>
  <c r="J279" i="1"/>
  <c r="L278" i="1"/>
  <c r="J280" i="1" l="1"/>
  <c r="N279" i="1"/>
  <c r="L279" i="1"/>
  <c r="N280" i="1" l="1"/>
  <c r="J281" i="1"/>
  <c r="L280" i="1"/>
  <c r="J282" i="1" l="1"/>
  <c r="N281" i="1"/>
  <c r="L281" i="1"/>
  <c r="N282" i="1" l="1"/>
  <c r="J283" i="1"/>
  <c r="L282" i="1"/>
  <c r="J284" i="1" l="1"/>
  <c r="N283" i="1"/>
  <c r="L283" i="1"/>
  <c r="N284" i="1" l="1"/>
  <c r="J285" i="1"/>
  <c r="L284" i="1"/>
  <c r="J286" i="1" l="1"/>
  <c r="N285" i="1"/>
  <c r="L285" i="1"/>
  <c r="N286" i="1" l="1"/>
  <c r="J287" i="1"/>
  <c r="L286" i="1"/>
  <c r="J288" i="1" l="1"/>
  <c r="N287" i="1"/>
  <c r="L287" i="1"/>
  <c r="N288" i="1" l="1"/>
  <c r="J289" i="1"/>
  <c r="L288" i="1"/>
  <c r="N289" i="1" l="1"/>
  <c r="J290" i="1"/>
  <c r="L289" i="1"/>
  <c r="J291" i="1" l="1"/>
  <c r="N290" i="1"/>
  <c r="L290" i="1"/>
  <c r="N291" i="1" l="1"/>
  <c r="J292" i="1"/>
  <c r="L291" i="1"/>
  <c r="J293" i="1" l="1"/>
  <c r="N292" i="1"/>
  <c r="L292" i="1"/>
  <c r="N293" i="1" l="1"/>
  <c r="J294" i="1"/>
  <c r="L293" i="1"/>
  <c r="N294" i="1" l="1"/>
  <c r="J295" i="1"/>
  <c r="L294" i="1"/>
  <c r="J296" i="1" l="1"/>
  <c r="N295" i="1"/>
  <c r="L295" i="1"/>
  <c r="N296" i="1" l="1"/>
  <c r="J297" i="1"/>
  <c r="L296" i="1"/>
  <c r="N297" i="1" l="1"/>
  <c r="J298" i="1"/>
  <c r="L297" i="1"/>
  <c r="N298" i="1" l="1"/>
  <c r="J299" i="1"/>
  <c r="L298" i="1"/>
  <c r="J300" i="1" l="1"/>
  <c r="N299" i="1"/>
  <c r="L299" i="1"/>
  <c r="J301" i="1" l="1"/>
  <c r="N300" i="1"/>
  <c r="L300" i="1"/>
  <c r="J302" i="1" l="1"/>
  <c r="N301" i="1"/>
  <c r="L301" i="1"/>
  <c r="N302" i="1" l="1"/>
  <c r="J303" i="1"/>
  <c r="L302" i="1"/>
  <c r="J304" i="1" l="1"/>
  <c r="N303" i="1"/>
  <c r="L303" i="1"/>
  <c r="N304" i="1" l="1"/>
  <c r="J305" i="1"/>
  <c r="L304" i="1"/>
  <c r="J306" i="1" l="1"/>
  <c r="N305" i="1"/>
  <c r="L305" i="1"/>
  <c r="N306" i="1" l="1"/>
  <c r="J307" i="1"/>
  <c r="L306" i="1"/>
  <c r="J308" i="1" l="1"/>
  <c r="N307" i="1"/>
  <c r="L307" i="1"/>
  <c r="N308" i="1" l="1"/>
  <c r="J309" i="1"/>
  <c r="L308" i="1"/>
  <c r="J310" i="1" l="1"/>
  <c r="N309" i="1"/>
  <c r="L309" i="1"/>
  <c r="N310" i="1" l="1"/>
  <c r="J311" i="1"/>
  <c r="L310" i="1"/>
  <c r="J312" i="1" l="1"/>
  <c r="N311" i="1"/>
  <c r="L311" i="1"/>
  <c r="N312" i="1" l="1"/>
  <c r="J313" i="1"/>
  <c r="L312" i="1"/>
  <c r="N313" i="1" l="1"/>
  <c r="J314" i="1"/>
  <c r="L313" i="1"/>
  <c r="J315" i="1" l="1"/>
  <c r="N314" i="1"/>
  <c r="L314" i="1"/>
  <c r="N315" i="1" l="1"/>
  <c r="J316" i="1"/>
  <c r="L315" i="1"/>
  <c r="J317" i="1" l="1"/>
  <c r="N316" i="1"/>
  <c r="L316" i="1"/>
  <c r="J318" i="1" l="1"/>
  <c r="N317" i="1"/>
  <c r="L317" i="1"/>
  <c r="J319" i="1" l="1"/>
  <c r="N318" i="1"/>
  <c r="L318" i="1"/>
  <c r="N319" i="1" l="1"/>
  <c r="J320" i="1"/>
  <c r="L319" i="1"/>
  <c r="J321" i="1" l="1"/>
  <c r="N320" i="1"/>
  <c r="L320" i="1"/>
  <c r="J322" i="1" l="1"/>
  <c r="N321" i="1"/>
  <c r="L321" i="1"/>
  <c r="J323" i="1" l="1"/>
  <c r="N322" i="1"/>
  <c r="L322" i="1"/>
  <c r="N323" i="1" l="1"/>
  <c r="J324" i="1"/>
  <c r="L323" i="1"/>
  <c r="N324" i="1" l="1"/>
  <c r="J325" i="1"/>
  <c r="L324" i="1"/>
  <c r="N325" i="1" l="1"/>
  <c r="J326" i="1"/>
  <c r="L325" i="1"/>
  <c r="J327" i="1" l="1"/>
  <c r="N326" i="1"/>
  <c r="L326" i="1"/>
  <c r="N327" i="1" l="1"/>
  <c r="J328" i="1"/>
  <c r="L327" i="1"/>
  <c r="J329" i="1" l="1"/>
  <c r="N328" i="1"/>
  <c r="L328" i="1"/>
  <c r="N329" i="1" l="1"/>
  <c r="J330" i="1"/>
  <c r="L329" i="1"/>
  <c r="J331" i="1" l="1"/>
  <c r="N330" i="1"/>
  <c r="L330" i="1"/>
  <c r="N331" i="1" l="1"/>
  <c r="J332" i="1"/>
  <c r="L331" i="1"/>
  <c r="J333" i="1" l="1"/>
  <c r="N332" i="1"/>
  <c r="L332" i="1"/>
  <c r="N333" i="1" l="1"/>
  <c r="J334" i="1"/>
  <c r="L333" i="1"/>
  <c r="J335" i="1" l="1"/>
  <c r="N334" i="1"/>
  <c r="L334" i="1"/>
  <c r="N335" i="1" l="1"/>
  <c r="J336" i="1"/>
  <c r="L335" i="1"/>
  <c r="J337" i="1" l="1"/>
  <c r="N336" i="1"/>
  <c r="L336" i="1"/>
  <c r="N337" i="1" l="1"/>
  <c r="J338" i="1"/>
  <c r="L337" i="1"/>
  <c r="J339" i="1" l="1"/>
  <c r="N338" i="1"/>
  <c r="L338" i="1"/>
  <c r="J340" i="1" l="1"/>
  <c r="N339" i="1"/>
  <c r="L339" i="1"/>
  <c r="J341" i="1" l="1"/>
  <c r="N340" i="1"/>
  <c r="L340" i="1"/>
  <c r="J342" i="1" l="1"/>
  <c r="N341" i="1"/>
  <c r="L341" i="1"/>
  <c r="N342" i="1" l="1"/>
  <c r="J343" i="1"/>
  <c r="L342" i="1"/>
  <c r="N343" i="1" l="1"/>
  <c r="J344" i="1"/>
  <c r="L343" i="1"/>
  <c r="N344" i="1" l="1"/>
  <c r="J345" i="1"/>
  <c r="L344" i="1"/>
  <c r="J346" i="1" l="1"/>
  <c r="N345" i="1"/>
  <c r="L345" i="1"/>
  <c r="J347" i="1" l="1"/>
  <c r="N346" i="1"/>
  <c r="L346" i="1"/>
  <c r="J348" i="1" l="1"/>
  <c r="N347" i="1"/>
  <c r="L347" i="1"/>
  <c r="N348" i="1" l="1"/>
  <c r="J349" i="1"/>
  <c r="L348" i="1"/>
  <c r="N349" i="1" l="1"/>
  <c r="L349" i="1"/>
  <c r="J350" i="1"/>
  <c r="N350" i="1" l="1"/>
  <c r="L350" i="1"/>
  <c r="J351" i="1"/>
  <c r="N351" i="1" l="1"/>
  <c r="L351" i="1"/>
  <c r="J352" i="1"/>
  <c r="J353" i="1" l="1"/>
  <c r="L352" i="1"/>
  <c r="N352" i="1"/>
  <c r="J354" i="1" l="1"/>
  <c r="N353" i="1"/>
  <c r="L353" i="1"/>
  <c r="J355" i="1" l="1"/>
  <c r="L354" i="1"/>
  <c r="N354" i="1"/>
  <c r="L355" i="1" l="1"/>
  <c r="J356" i="1"/>
  <c r="N355" i="1"/>
  <c r="N356" i="1" l="1"/>
  <c r="J357" i="1"/>
  <c r="L356" i="1"/>
  <c r="J358" i="1" l="1"/>
  <c r="N357" i="1"/>
  <c r="L357" i="1"/>
  <c r="J359" i="1" l="1"/>
  <c r="L358" i="1"/>
  <c r="N358" i="1"/>
  <c r="L359" i="1" l="1"/>
  <c r="N359" i="1"/>
  <c r="J360" i="1"/>
  <c r="N360" i="1" l="1"/>
  <c r="L360" i="1"/>
  <c r="J361" i="1"/>
  <c r="L361" i="1" l="1"/>
  <c r="N361" i="1"/>
  <c r="J362" i="1"/>
  <c r="N362" i="1" l="1"/>
  <c r="L362" i="1"/>
  <c r="J363" i="1"/>
  <c r="N363" i="1" l="1"/>
  <c r="J364" i="1"/>
  <c r="L363" i="1"/>
  <c r="J365" i="1" l="1"/>
  <c r="L364" i="1"/>
  <c r="N364" i="1"/>
  <c r="J366" i="1" l="1"/>
  <c r="N365" i="1"/>
  <c r="L365" i="1"/>
  <c r="J367" i="1" l="1"/>
  <c r="L366" i="1"/>
  <c r="N366" i="1"/>
  <c r="J368" i="1" l="1"/>
  <c r="N367" i="1"/>
  <c r="L367" i="1"/>
  <c r="N368" i="1" l="1"/>
  <c r="J369" i="1"/>
  <c r="L368" i="1"/>
  <c r="N369" i="1" l="1"/>
  <c r="L369" i="1"/>
  <c r="J370" i="1"/>
  <c r="N370" i="1" l="1"/>
  <c r="L370" i="1"/>
  <c r="J371" i="1"/>
  <c r="N371" i="1" l="1"/>
  <c r="L371" i="1"/>
  <c r="J372" i="1"/>
  <c r="L372" i="1" l="1"/>
  <c r="N372" i="1"/>
  <c r="J373" i="1"/>
  <c r="J374" i="1" l="1"/>
  <c r="L373" i="1"/>
  <c r="N373" i="1"/>
  <c r="L374" i="1" l="1"/>
  <c r="N374" i="1"/>
  <c r="J375" i="1"/>
  <c r="N375" i="1" l="1"/>
  <c r="L375" i="1"/>
  <c r="J376" i="1"/>
  <c r="J377" i="1" l="1"/>
  <c r="N376" i="1"/>
  <c r="L376" i="1"/>
  <c r="J378" i="1" l="1"/>
  <c r="L377" i="1"/>
  <c r="N377" i="1"/>
  <c r="J379" i="1" l="1"/>
  <c r="N378" i="1"/>
  <c r="L378" i="1"/>
  <c r="J380" i="1" l="1"/>
  <c r="L379" i="1"/>
  <c r="N379" i="1"/>
  <c r="N380" i="1" l="1"/>
  <c r="L380" i="1"/>
  <c r="J381" i="1"/>
  <c r="N381" i="1" l="1"/>
  <c r="L381" i="1"/>
  <c r="J382" i="1"/>
  <c r="N382" i="1" l="1"/>
  <c r="L382" i="1"/>
  <c r="J383" i="1"/>
  <c r="N383" i="1" l="1"/>
  <c r="L383" i="1"/>
  <c r="J384" i="1"/>
  <c r="N384" i="1" l="1"/>
  <c r="L384" i="1"/>
  <c r="J385" i="1"/>
  <c r="J386" i="1" l="1"/>
  <c r="L385" i="1"/>
  <c r="N385" i="1"/>
  <c r="L386" i="1" l="1"/>
  <c r="N386" i="1"/>
  <c r="J387" i="1"/>
  <c r="N387" i="1" l="1"/>
  <c r="L387" i="1"/>
  <c r="J388" i="1"/>
  <c r="L388" i="1" l="1"/>
  <c r="N388" i="1"/>
  <c r="J389" i="1"/>
  <c r="N389" i="1" l="1"/>
  <c r="L389" i="1"/>
  <c r="J390" i="1"/>
  <c r="N390" i="1" l="1"/>
  <c r="L390" i="1"/>
  <c r="J391" i="1"/>
  <c r="J392" i="1" l="1"/>
  <c r="L391" i="1"/>
  <c r="N391" i="1"/>
  <c r="L392" i="1" l="1"/>
  <c r="J393" i="1"/>
  <c r="N392" i="1"/>
  <c r="N393" i="1" l="1"/>
  <c r="L393" i="1"/>
  <c r="J394" i="1"/>
  <c r="J395" i="1" l="1"/>
  <c r="N394" i="1"/>
  <c r="L394" i="1"/>
  <c r="J396" i="1" l="1"/>
  <c r="N395" i="1"/>
  <c r="L395" i="1"/>
  <c r="N396" i="1" l="1"/>
  <c r="L396" i="1"/>
  <c r="J397" i="1"/>
  <c r="N397" i="1" l="1"/>
  <c r="J398" i="1"/>
  <c r="L397" i="1"/>
  <c r="J399" i="1" l="1"/>
  <c r="L398" i="1"/>
  <c r="N398" i="1"/>
  <c r="N399" i="1" l="1"/>
  <c r="J400" i="1"/>
  <c r="L399" i="1"/>
  <c r="J401" i="1" l="1"/>
  <c r="L400" i="1"/>
  <c r="N400" i="1"/>
  <c r="L401" i="1" l="1"/>
  <c r="N401" i="1"/>
  <c r="J402" i="1"/>
  <c r="J403" i="1" l="1"/>
  <c r="L402" i="1"/>
  <c r="N402" i="1"/>
  <c r="L403" i="1" l="1"/>
  <c r="J404" i="1"/>
  <c r="N403" i="1"/>
  <c r="N404" i="1" l="1"/>
  <c r="L404" i="1"/>
  <c r="J405" i="1"/>
  <c r="N405" i="1" l="1"/>
  <c r="L405" i="1"/>
  <c r="J406" i="1"/>
  <c r="J407" i="1" l="1"/>
  <c r="L406" i="1"/>
  <c r="N406" i="1"/>
  <c r="L407" i="1" l="1"/>
  <c r="N407" i="1"/>
  <c r="J408" i="1"/>
  <c r="N408" i="1" l="1"/>
  <c r="L408" i="1"/>
  <c r="J409" i="1"/>
  <c r="L409" i="1" l="1"/>
  <c r="J410" i="1"/>
  <c r="N409" i="1"/>
  <c r="L410" i="1" l="1"/>
  <c r="N410" i="1"/>
  <c r="J411" i="1"/>
  <c r="N411" i="1" l="1"/>
  <c r="L411" i="1"/>
  <c r="J412" i="1"/>
  <c r="L412" i="1" l="1"/>
  <c r="N412" i="1"/>
  <c r="J413" i="1"/>
  <c r="N413" i="1" l="1"/>
  <c r="L413" i="1"/>
  <c r="J414" i="1"/>
  <c r="L414" i="1" l="1"/>
  <c r="J415" i="1"/>
  <c r="N414" i="1"/>
  <c r="J416" i="1" l="1"/>
  <c r="N415" i="1"/>
  <c r="L415" i="1"/>
  <c r="N416" i="1" l="1"/>
  <c r="L416" i="1"/>
  <c r="J417" i="1"/>
  <c r="L417" i="1" l="1"/>
  <c r="J418" i="1"/>
  <c r="N417" i="1"/>
  <c r="N418" i="1" l="1"/>
  <c r="L418" i="1"/>
  <c r="J419" i="1"/>
  <c r="J420" i="1" l="1"/>
  <c r="N419" i="1"/>
  <c r="L419" i="1"/>
  <c r="L420" i="1" l="1"/>
  <c r="N420" i="1"/>
  <c r="J421" i="1"/>
  <c r="J422" i="1" l="1"/>
  <c r="L421" i="1"/>
  <c r="N421" i="1"/>
  <c r="L422" i="1" l="1"/>
  <c r="J423" i="1"/>
  <c r="N422" i="1"/>
  <c r="J424" i="1" l="1"/>
  <c r="N423" i="1"/>
  <c r="L423" i="1"/>
  <c r="L424" i="1" l="1"/>
  <c r="J425" i="1"/>
  <c r="N424" i="1"/>
  <c r="J426" i="1" l="1"/>
  <c r="N425" i="1"/>
  <c r="L425" i="1"/>
  <c r="L426" i="1" l="1"/>
  <c r="N426" i="1"/>
  <c r="J427" i="1"/>
  <c r="J428" i="1" l="1"/>
  <c r="L427" i="1"/>
  <c r="N427" i="1"/>
  <c r="L428" i="1" l="1"/>
  <c r="N428" i="1"/>
  <c r="J429" i="1"/>
  <c r="N429" i="1" l="1"/>
  <c r="L429" i="1"/>
  <c r="J430" i="1"/>
  <c r="N430" i="1" l="1"/>
  <c r="J431" i="1"/>
  <c r="L430" i="1"/>
  <c r="N431" i="1" l="1"/>
  <c r="J432" i="1"/>
  <c r="L431" i="1"/>
  <c r="N432" i="1" l="1"/>
  <c r="J433" i="1"/>
  <c r="L432" i="1"/>
  <c r="J434" i="1" l="1"/>
  <c r="L433" i="1"/>
  <c r="N433" i="1"/>
  <c r="N434" i="1" l="1"/>
  <c r="L434" i="1"/>
  <c r="J435" i="1"/>
  <c r="J436" i="1" l="1"/>
  <c r="L435" i="1"/>
  <c r="N435" i="1"/>
  <c r="N436" i="1" l="1"/>
  <c r="L436" i="1"/>
  <c r="J437" i="1"/>
  <c r="N437" i="1" l="1"/>
  <c r="J438" i="1"/>
  <c r="L437" i="1"/>
  <c r="N438" i="1" l="1"/>
  <c r="L438" i="1"/>
  <c r="J439" i="1"/>
  <c r="J440" i="1" l="1"/>
  <c r="L439" i="1"/>
  <c r="N439" i="1"/>
  <c r="N440" i="1" l="1"/>
  <c r="L440" i="1"/>
  <c r="J441" i="1"/>
  <c r="N441" i="1" l="1"/>
  <c r="L441" i="1"/>
  <c r="J442" i="1"/>
  <c r="L442" i="1" l="1"/>
  <c r="N442" i="1"/>
  <c r="J443" i="1"/>
  <c r="N443" i="1" l="1"/>
  <c r="L443" i="1"/>
  <c r="J444" i="1"/>
  <c r="J445" i="1" l="1"/>
  <c r="L444" i="1"/>
  <c r="N444" i="1"/>
  <c r="J446" i="1" l="1"/>
  <c r="L445" i="1"/>
  <c r="N445" i="1"/>
  <c r="N446" i="1" l="1"/>
  <c r="L446" i="1"/>
  <c r="J447" i="1"/>
  <c r="L447" i="1" l="1"/>
  <c r="N447" i="1"/>
  <c r="J448" i="1"/>
  <c r="J449" i="1" l="1"/>
  <c r="N448" i="1"/>
  <c r="L448" i="1"/>
  <c r="J450" i="1" l="1"/>
  <c r="N449" i="1"/>
  <c r="L449" i="1"/>
  <c r="N450" i="1" l="1"/>
  <c r="J451" i="1"/>
  <c r="L450" i="1"/>
  <c r="N451" i="1" l="1"/>
  <c r="L451" i="1"/>
  <c r="J452" i="1"/>
  <c r="J453" i="1" l="1"/>
  <c r="L452" i="1"/>
  <c r="N452" i="1"/>
  <c r="L453" i="1" l="1"/>
  <c r="J454" i="1"/>
  <c r="N453" i="1"/>
  <c r="J455" i="1" l="1"/>
  <c r="L454" i="1"/>
  <c r="N454" i="1"/>
  <c r="L455" i="1" l="1"/>
  <c r="J456" i="1"/>
  <c r="N455" i="1"/>
  <c r="N456" i="1" l="1"/>
  <c r="L456" i="1"/>
  <c r="J457" i="1"/>
  <c r="L457" i="1" l="1"/>
  <c r="J458" i="1"/>
  <c r="N457" i="1"/>
  <c r="N458" i="1" l="1"/>
  <c r="L458" i="1"/>
  <c r="J459" i="1"/>
  <c r="N459" i="1" l="1"/>
  <c r="L459" i="1"/>
  <c r="J460" i="1"/>
  <c r="N460" i="1" l="1"/>
  <c r="J461" i="1"/>
  <c r="L460" i="1"/>
  <c r="L461" i="1" l="1"/>
  <c r="N461" i="1"/>
  <c r="J462" i="1"/>
  <c r="J463" i="1" l="1"/>
  <c r="N462" i="1"/>
  <c r="L462" i="1"/>
  <c r="L463" i="1" l="1"/>
  <c r="J464" i="1"/>
  <c r="N463" i="1"/>
  <c r="N464" i="1" l="1"/>
  <c r="J465" i="1"/>
  <c r="L464" i="1"/>
  <c r="N465" i="1" l="1"/>
  <c r="J466" i="1"/>
  <c r="L465" i="1"/>
  <c r="L466" i="1" l="1"/>
  <c r="J467" i="1"/>
  <c r="N466" i="1"/>
  <c r="J468" i="1" l="1"/>
  <c r="L467" i="1"/>
  <c r="N467" i="1"/>
  <c r="L468" i="1" l="1"/>
  <c r="N468" i="1"/>
  <c r="J469" i="1"/>
  <c r="J470" i="1" l="1"/>
  <c r="L469" i="1"/>
  <c r="N469" i="1"/>
  <c r="N470" i="1" l="1"/>
  <c r="J471" i="1"/>
  <c r="L470" i="1"/>
  <c r="J472" i="1" l="1"/>
  <c r="L471" i="1"/>
  <c r="N471" i="1"/>
  <c r="L472" i="1" l="1"/>
  <c r="J473" i="1"/>
  <c r="N472" i="1"/>
  <c r="J474" i="1" l="1"/>
  <c r="N473" i="1"/>
  <c r="L473" i="1"/>
  <c r="L474" i="1" l="1"/>
  <c r="N474" i="1"/>
  <c r="J475" i="1"/>
  <c r="J476" i="1" l="1"/>
  <c r="N475" i="1"/>
  <c r="L475" i="1"/>
  <c r="L476" i="1" l="1"/>
  <c r="N476" i="1"/>
  <c r="J477" i="1"/>
  <c r="N477" i="1" l="1"/>
  <c r="J478" i="1"/>
  <c r="L477" i="1"/>
  <c r="N478" i="1" l="1"/>
  <c r="J479" i="1"/>
  <c r="L478" i="1"/>
  <c r="L479" i="1" l="1"/>
  <c r="N479" i="1"/>
  <c r="J480" i="1"/>
  <c r="L480" i="1" l="1"/>
  <c r="N480" i="1"/>
  <c r="J481" i="1"/>
  <c r="N481" i="1" l="1"/>
  <c r="L481" i="1"/>
  <c r="J482" i="1"/>
  <c r="N482" i="1" l="1"/>
  <c r="J483" i="1"/>
  <c r="L482" i="1"/>
  <c r="N483" i="1" l="1"/>
  <c r="L483" i="1"/>
  <c r="J484" i="1"/>
  <c r="N484" i="1" l="1"/>
  <c r="J485" i="1"/>
  <c r="L484" i="1"/>
  <c r="J486" i="1" l="1"/>
  <c r="L485" i="1"/>
  <c r="N485" i="1"/>
  <c r="J487" i="1" l="1"/>
  <c r="L486" i="1"/>
  <c r="N486" i="1"/>
  <c r="N487" i="1" l="1"/>
  <c r="L487" i="1"/>
  <c r="J488" i="1"/>
  <c r="N488" i="1" l="1"/>
  <c r="J489" i="1"/>
  <c r="L488" i="1"/>
  <c r="N489" i="1" l="1"/>
  <c r="L489" i="1"/>
  <c r="J490" i="1"/>
  <c r="N490" i="1" l="1"/>
  <c r="L490" i="1"/>
  <c r="J491" i="1"/>
  <c r="N491" i="1" l="1"/>
  <c r="L491" i="1"/>
  <c r="J492" i="1"/>
  <c r="J493" i="1" l="1"/>
  <c r="N492" i="1"/>
  <c r="L492" i="1"/>
  <c r="N493" i="1" l="1"/>
  <c r="J494" i="1"/>
  <c r="L493" i="1"/>
  <c r="N494" i="1" l="1"/>
  <c r="L494" i="1"/>
  <c r="J495" i="1"/>
  <c r="N495" i="1" l="1"/>
  <c r="L495" i="1"/>
  <c r="J496" i="1"/>
  <c r="N496" i="1" l="1"/>
  <c r="L496" i="1"/>
  <c r="J497" i="1"/>
  <c r="N497" i="1" l="1"/>
  <c r="J498" i="1"/>
  <c r="L497" i="1"/>
  <c r="N498" i="1" l="1"/>
  <c r="L498" i="1"/>
  <c r="J499" i="1"/>
  <c r="J500" i="1" l="1"/>
  <c r="N499" i="1"/>
  <c r="L499" i="1"/>
  <c r="N500" i="1" l="1"/>
  <c r="J501" i="1"/>
  <c r="L500" i="1"/>
  <c r="N501" i="1" l="1"/>
  <c r="J502" i="1"/>
  <c r="L501" i="1"/>
  <c r="J503" i="1" l="1"/>
  <c r="N502" i="1"/>
  <c r="L502" i="1"/>
  <c r="N503" i="1" l="1"/>
  <c r="L503" i="1"/>
  <c r="J504" i="1"/>
  <c r="J505" i="1" l="1"/>
  <c r="N504" i="1"/>
  <c r="L504" i="1"/>
  <c r="J506" i="1" l="1"/>
  <c r="L505" i="1"/>
  <c r="N505" i="1"/>
  <c r="J507" i="1" l="1"/>
  <c r="L506" i="1"/>
  <c r="N506" i="1"/>
  <c r="J508" i="1" l="1"/>
  <c r="L507" i="1"/>
  <c r="N507" i="1"/>
  <c r="N508" i="1" l="1"/>
  <c r="L508" i="1"/>
  <c r="J509" i="1"/>
  <c r="N509" i="1" l="1"/>
  <c r="L509" i="1"/>
  <c r="J510" i="1"/>
  <c r="N510" i="1" l="1"/>
  <c r="L510" i="1"/>
  <c r="J511" i="1"/>
  <c r="N511" i="1" l="1"/>
  <c r="L511" i="1"/>
  <c r="J512" i="1"/>
  <c r="J513" i="1" l="1"/>
  <c r="L512" i="1"/>
  <c r="N512" i="1"/>
  <c r="J514" i="1" l="1"/>
  <c r="N513" i="1"/>
  <c r="L513" i="1"/>
  <c r="J515" i="1" l="1"/>
  <c r="L514" i="1"/>
  <c r="N514" i="1"/>
  <c r="N515" i="1" l="1"/>
  <c r="L515" i="1"/>
  <c r="J516" i="1"/>
  <c r="J517" i="1" l="1"/>
  <c r="L516" i="1"/>
  <c r="N516" i="1"/>
  <c r="N517" i="1" l="1"/>
  <c r="L517" i="1"/>
  <c r="J518" i="1"/>
  <c r="J519" i="1" l="1"/>
  <c r="L518" i="1"/>
  <c r="N518" i="1"/>
  <c r="N519" i="1" l="1"/>
  <c r="J520" i="1"/>
  <c r="L519" i="1"/>
  <c r="J521" i="1" l="1"/>
  <c r="L520" i="1"/>
  <c r="N520" i="1"/>
  <c r="N521" i="1" l="1"/>
  <c r="L521" i="1"/>
  <c r="J522" i="1"/>
  <c r="N522" i="1" l="1"/>
  <c r="L522" i="1"/>
  <c r="J523" i="1"/>
  <c r="J524" i="1" l="1"/>
  <c r="L523" i="1"/>
  <c r="N523" i="1"/>
  <c r="N524" i="1" l="1"/>
  <c r="J525" i="1"/>
  <c r="L524" i="1"/>
  <c r="N525" i="1" l="1"/>
  <c r="L525" i="1"/>
  <c r="J526" i="1"/>
  <c r="N526" i="1" l="1"/>
  <c r="L526" i="1"/>
  <c r="J527" i="1"/>
  <c r="J528" i="1" l="1"/>
  <c r="L527" i="1"/>
  <c r="N527" i="1"/>
  <c r="J529" i="1" l="1"/>
  <c r="L528" i="1"/>
  <c r="N528" i="1"/>
  <c r="N529" i="1" l="1"/>
  <c r="J530" i="1"/>
  <c r="L529" i="1"/>
  <c r="J531" i="1" l="1"/>
  <c r="L530" i="1"/>
  <c r="N530" i="1"/>
  <c r="J532" i="1" l="1"/>
  <c r="L531" i="1"/>
  <c r="N531" i="1"/>
  <c r="N532" i="1" l="1"/>
  <c r="L532" i="1"/>
  <c r="J533" i="1"/>
  <c r="N533" i="1" l="1"/>
  <c r="L533" i="1"/>
  <c r="J534" i="1"/>
  <c r="J535" i="1" l="1"/>
  <c r="N534" i="1"/>
  <c r="L534" i="1"/>
  <c r="N535" i="1" l="1"/>
  <c r="L535" i="1"/>
  <c r="J536" i="1"/>
  <c r="N536" i="1" l="1"/>
  <c r="L536" i="1"/>
  <c r="J537" i="1"/>
  <c r="N537" i="1" l="1"/>
  <c r="J538" i="1"/>
  <c r="L537" i="1"/>
  <c r="J539" i="1" l="1"/>
  <c r="L538" i="1"/>
  <c r="N538" i="1"/>
  <c r="J540" i="1" l="1"/>
  <c r="L539" i="1"/>
  <c r="N539" i="1"/>
  <c r="N540" i="1" l="1"/>
  <c r="L540" i="1"/>
  <c r="J541" i="1"/>
  <c r="N541" i="1" l="1"/>
  <c r="L541" i="1"/>
  <c r="J542" i="1"/>
  <c r="N542" i="1" l="1"/>
  <c r="J543" i="1"/>
  <c r="L542" i="1"/>
  <c r="J544" i="1" l="1"/>
  <c r="L543" i="1"/>
  <c r="N543" i="1"/>
  <c r="N544" i="1" l="1"/>
  <c r="L544" i="1"/>
  <c r="J545" i="1"/>
  <c r="J546" i="1" l="1"/>
  <c r="L545" i="1"/>
  <c r="N545" i="1"/>
  <c r="J547" i="1" l="1"/>
  <c r="L546" i="1"/>
  <c r="N546" i="1"/>
  <c r="N547" i="1" l="1"/>
  <c r="J548" i="1"/>
  <c r="L547" i="1"/>
  <c r="J549" i="1" l="1"/>
  <c r="N548" i="1"/>
  <c r="L548" i="1"/>
  <c r="N549" i="1" l="1"/>
  <c r="J550" i="1"/>
  <c r="L549" i="1"/>
  <c r="L550" i="1" l="1"/>
  <c r="J551" i="1"/>
  <c r="N550" i="1"/>
  <c r="J552" i="1" l="1"/>
  <c r="L551" i="1"/>
  <c r="N551" i="1"/>
  <c r="J553" i="1" l="1"/>
  <c r="N552" i="1"/>
  <c r="L552" i="1"/>
  <c r="N553" i="1" l="1"/>
  <c r="L553" i="1"/>
  <c r="J554" i="1"/>
  <c r="N554" i="1" l="1"/>
  <c r="J555" i="1"/>
  <c r="L554" i="1"/>
  <c r="J556" i="1" l="1"/>
  <c r="L555" i="1"/>
  <c r="N555" i="1"/>
  <c r="J557" i="1" l="1"/>
  <c r="N556" i="1"/>
  <c r="L556" i="1"/>
  <c r="J558" i="1" l="1"/>
  <c r="N557" i="1"/>
  <c r="L557" i="1"/>
  <c r="J559" i="1" l="1"/>
  <c r="L558" i="1"/>
  <c r="N558" i="1"/>
  <c r="N559" i="1" l="1"/>
  <c r="L559" i="1"/>
  <c r="J560" i="1"/>
  <c r="J561" i="1" l="1"/>
  <c r="L560" i="1"/>
  <c r="N560" i="1"/>
  <c r="J562" i="1" l="1"/>
  <c r="L561" i="1"/>
  <c r="N561" i="1"/>
  <c r="N562" i="1" l="1"/>
  <c r="J563" i="1"/>
  <c r="L562" i="1"/>
  <c r="J564" i="1" l="1"/>
  <c r="L563" i="1"/>
  <c r="N563" i="1"/>
  <c r="J565" i="1" l="1"/>
  <c r="N564" i="1"/>
  <c r="L564" i="1"/>
  <c r="J566" i="1" l="1"/>
  <c r="L565" i="1"/>
  <c r="N565" i="1"/>
  <c r="N566" i="1" l="1"/>
  <c r="L566" i="1"/>
  <c r="J567" i="1"/>
  <c r="N567" i="1" l="1"/>
  <c r="L567" i="1"/>
  <c r="J568" i="1"/>
  <c r="N568" i="1" l="1"/>
  <c r="L568" i="1"/>
  <c r="J569" i="1"/>
  <c r="N569" i="1" l="1"/>
  <c r="L569" i="1"/>
  <c r="J570" i="1"/>
  <c r="J571" i="1" l="1"/>
  <c r="L570" i="1"/>
  <c r="N570" i="1"/>
  <c r="N571" i="1" l="1"/>
  <c r="L571" i="1"/>
  <c r="J572" i="1"/>
  <c r="J573" i="1" l="1"/>
  <c r="L572" i="1"/>
  <c r="N572" i="1"/>
  <c r="J574" i="1" l="1"/>
  <c r="L573" i="1"/>
  <c r="N573" i="1"/>
  <c r="N574" i="1" l="1"/>
  <c r="L574" i="1"/>
  <c r="J575" i="1"/>
  <c r="N575" i="1" l="1"/>
  <c r="L575" i="1"/>
  <c r="J576" i="1"/>
  <c r="N576" i="1" l="1"/>
  <c r="J577" i="1"/>
  <c r="L576" i="1"/>
  <c r="N577" i="1" l="1"/>
  <c r="J578" i="1"/>
  <c r="L577" i="1"/>
  <c r="L578" i="1" l="1"/>
  <c r="J579" i="1"/>
  <c r="N578" i="1"/>
  <c r="J580" i="1" l="1"/>
  <c r="L579" i="1"/>
  <c r="N579" i="1"/>
  <c r="J581" i="1" l="1"/>
  <c r="L580" i="1"/>
  <c r="N580" i="1"/>
  <c r="J582" i="1" l="1"/>
  <c r="L581" i="1"/>
  <c r="N581" i="1"/>
  <c r="J583" i="1" l="1"/>
  <c r="L582" i="1"/>
  <c r="N582" i="1"/>
  <c r="J584" i="1" l="1"/>
  <c r="N583" i="1"/>
  <c r="L583" i="1"/>
  <c r="L584" i="1" l="1"/>
  <c r="J585" i="1"/>
  <c r="N584" i="1"/>
  <c r="N585" i="1" l="1"/>
  <c r="L585" i="1"/>
  <c r="J586" i="1"/>
  <c r="J587" i="1" l="1"/>
  <c r="L586" i="1"/>
  <c r="N586" i="1"/>
  <c r="J588" i="1" l="1"/>
  <c r="L587" i="1"/>
  <c r="N587" i="1"/>
  <c r="J589" i="1" l="1"/>
  <c r="L588" i="1"/>
  <c r="N588" i="1"/>
  <c r="L589" i="1" l="1"/>
  <c r="N589" i="1"/>
  <c r="J590" i="1"/>
  <c r="N590" i="1" l="1"/>
  <c r="J591" i="1"/>
  <c r="L590" i="1"/>
  <c r="N591" i="1" l="1"/>
  <c r="J592" i="1"/>
  <c r="L591" i="1"/>
  <c r="N592" i="1" l="1"/>
  <c r="L592" i="1"/>
  <c r="J593" i="1"/>
  <c r="N593" i="1" l="1"/>
  <c r="L593" i="1"/>
  <c r="J594" i="1"/>
  <c r="J595" i="1" l="1"/>
  <c r="L594" i="1"/>
  <c r="N594" i="1"/>
  <c r="J596" i="1" l="1"/>
  <c r="N595" i="1"/>
  <c r="L595" i="1"/>
  <c r="N596" i="1" l="1"/>
  <c r="L596" i="1"/>
  <c r="J597" i="1"/>
  <c r="L597" i="1" l="1"/>
  <c r="N597" i="1"/>
  <c r="J598" i="1"/>
  <c r="L598" i="1" l="1"/>
  <c r="N598" i="1"/>
  <c r="J599" i="1"/>
  <c r="J600" i="1" l="1"/>
  <c r="N599" i="1"/>
  <c r="L599" i="1"/>
  <c r="N600" i="1" l="1"/>
  <c r="L600" i="1"/>
  <c r="J601" i="1"/>
  <c r="N601" i="1" l="1"/>
  <c r="J602" i="1"/>
  <c r="L601" i="1"/>
  <c r="L602" i="1" l="1"/>
  <c r="N602" i="1"/>
  <c r="J603" i="1"/>
  <c r="N603" i="1" l="1"/>
  <c r="J604" i="1"/>
  <c r="L603" i="1"/>
  <c r="J605" i="1" l="1"/>
  <c r="N604" i="1"/>
  <c r="L604" i="1"/>
  <c r="N605" i="1" l="1"/>
  <c r="L605" i="1"/>
  <c r="J606" i="1"/>
  <c r="N606" i="1" l="1"/>
  <c r="J607" i="1"/>
  <c r="L606" i="1"/>
  <c r="L607" i="1" l="1"/>
  <c r="J608" i="1"/>
  <c r="N607" i="1"/>
  <c r="L608" i="1" l="1"/>
  <c r="J609" i="1"/>
  <c r="N608" i="1"/>
  <c r="J610" i="1" l="1"/>
  <c r="N609" i="1"/>
  <c r="L609" i="1"/>
  <c r="J611" i="1" l="1"/>
  <c r="L610" i="1"/>
  <c r="N610" i="1"/>
  <c r="N611" i="1" l="1"/>
  <c r="J612" i="1"/>
  <c r="L611" i="1"/>
  <c r="J613" i="1" l="1"/>
  <c r="N612" i="1"/>
  <c r="L612" i="1"/>
  <c r="J614" i="1" l="1"/>
  <c r="L613" i="1"/>
  <c r="N613" i="1"/>
  <c r="L614" i="1" l="1"/>
  <c r="N614" i="1"/>
  <c r="J615" i="1"/>
  <c r="J616" i="1" l="1"/>
  <c r="L615" i="1"/>
  <c r="N615" i="1"/>
  <c r="L616" i="1" l="1"/>
  <c r="J617" i="1"/>
  <c r="N616" i="1"/>
  <c r="J618" i="1" l="1"/>
  <c r="L617" i="1"/>
  <c r="N617" i="1"/>
  <c r="J619" i="1" l="1"/>
  <c r="N618" i="1"/>
  <c r="L618" i="1"/>
  <c r="J620" i="1" l="1"/>
  <c r="L619" i="1"/>
  <c r="N619" i="1"/>
  <c r="N620" i="1" l="1"/>
  <c r="L620" i="1"/>
  <c r="J621" i="1"/>
  <c r="N621" i="1" l="1"/>
  <c r="L621" i="1"/>
  <c r="J622" i="1"/>
  <c r="J623" i="1" l="1"/>
  <c r="L622" i="1"/>
  <c r="N622" i="1"/>
  <c r="L623" i="1" l="1"/>
  <c r="N623" i="1"/>
  <c r="J624" i="1"/>
  <c r="N624" i="1" l="1"/>
  <c r="J625" i="1"/>
  <c r="L624" i="1"/>
  <c r="J626" i="1" l="1"/>
  <c r="N625" i="1"/>
  <c r="L625" i="1"/>
  <c r="L626" i="1" l="1"/>
  <c r="N626" i="1"/>
  <c r="J627" i="1"/>
  <c r="J628" i="1" l="1"/>
  <c r="L627" i="1"/>
  <c r="N627" i="1"/>
  <c r="N628" i="1" l="1"/>
  <c r="L628" i="1"/>
  <c r="J629" i="1"/>
  <c r="N629" i="1" l="1"/>
  <c r="L629" i="1"/>
  <c r="J630" i="1"/>
  <c r="N630" i="1" l="1"/>
  <c r="L630" i="1"/>
  <c r="J631" i="1"/>
  <c r="L631" i="1" l="1"/>
  <c r="N631" i="1"/>
  <c r="J632" i="1"/>
  <c r="J633" i="1" l="1"/>
  <c r="L632" i="1"/>
  <c r="N632" i="1"/>
  <c r="J634" i="1" l="1"/>
  <c r="N633" i="1"/>
  <c r="L633" i="1"/>
  <c r="J635" i="1" l="1"/>
  <c r="L634" i="1"/>
  <c r="N634" i="1"/>
  <c r="J636" i="1" l="1"/>
  <c r="L635" i="1"/>
  <c r="N635" i="1"/>
  <c r="J637" i="1" l="1"/>
  <c r="L636" i="1"/>
  <c r="N636" i="1"/>
  <c r="N637" i="1" l="1"/>
  <c r="L637" i="1"/>
  <c r="J638" i="1"/>
  <c r="L638" i="1" l="1"/>
  <c r="J639" i="1"/>
  <c r="N638" i="1"/>
  <c r="J640" i="1" l="1"/>
  <c r="L639" i="1"/>
  <c r="N639" i="1"/>
  <c r="N640" i="1" l="1"/>
  <c r="J641" i="1"/>
  <c r="L640" i="1"/>
  <c r="J642" i="1" l="1"/>
  <c r="L641" i="1"/>
  <c r="N641" i="1"/>
  <c r="N642" i="1" l="1"/>
  <c r="L642" i="1"/>
  <c r="J643" i="1"/>
  <c r="L643" i="1" l="1"/>
  <c r="N643" i="1"/>
  <c r="J644" i="1"/>
  <c r="J645" i="1" l="1"/>
  <c r="N644" i="1"/>
  <c r="L644" i="1"/>
  <c r="L645" i="1" l="1"/>
  <c r="J646" i="1"/>
  <c r="N645" i="1"/>
  <c r="J647" i="1" l="1"/>
  <c r="L646" i="1"/>
  <c r="N646" i="1"/>
  <c r="J648" i="1" l="1"/>
  <c r="L647" i="1"/>
  <c r="N647" i="1"/>
  <c r="N648" i="1" l="1"/>
  <c r="L648" i="1"/>
  <c r="J649" i="1"/>
  <c r="J650" i="1" l="1"/>
  <c r="N649" i="1"/>
  <c r="L649" i="1"/>
  <c r="J651" i="1" l="1"/>
  <c r="N650" i="1"/>
  <c r="L650" i="1"/>
  <c r="N651" i="1" l="1"/>
  <c r="J652" i="1"/>
  <c r="L651" i="1"/>
  <c r="J653" i="1" l="1"/>
  <c r="N652" i="1"/>
  <c r="L652" i="1"/>
  <c r="J654" i="1" l="1"/>
  <c r="L653" i="1"/>
  <c r="N653" i="1"/>
  <c r="N654" i="1" l="1"/>
  <c r="L654" i="1"/>
  <c r="J655" i="1"/>
  <c r="N655" i="1" l="1"/>
  <c r="L655" i="1"/>
  <c r="J656" i="1"/>
  <c r="L656" i="1" l="1"/>
  <c r="N656" i="1"/>
  <c r="J657" i="1"/>
  <c r="L657" i="1" l="1"/>
  <c r="N657" i="1"/>
  <c r="J658" i="1"/>
  <c r="J659" i="1" l="1"/>
  <c r="L658" i="1"/>
  <c r="N658" i="1"/>
  <c r="J660" i="1" l="1"/>
  <c r="N659" i="1"/>
  <c r="L659" i="1"/>
  <c r="J661" i="1" l="1"/>
  <c r="L660" i="1"/>
  <c r="N660" i="1"/>
  <c r="N661" i="1" l="1"/>
  <c r="L661" i="1"/>
  <c r="J662" i="1"/>
  <c r="J663" i="1" l="1"/>
  <c r="N662" i="1"/>
  <c r="L662" i="1"/>
  <c r="L663" i="1" l="1"/>
  <c r="J664" i="1"/>
  <c r="N663" i="1"/>
  <c r="J665" i="1" l="1"/>
  <c r="N664" i="1"/>
  <c r="L664" i="1"/>
  <c r="L665" i="1" l="1"/>
  <c r="J666" i="1"/>
  <c r="N665" i="1"/>
  <c r="J667" i="1" l="1"/>
  <c r="N666" i="1"/>
  <c r="L666" i="1"/>
  <c r="L667" i="1" l="1"/>
  <c r="N667" i="1"/>
  <c r="J668" i="1"/>
  <c r="J669" i="1" l="1"/>
  <c r="L668" i="1"/>
  <c r="N668" i="1"/>
  <c r="J670" i="1" l="1"/>
  <c r="L669" i="1"/>
  <c r="N669" i="1"/>
  <c r="N670" i="1" l="1"/>
  <c r="J671" i="1"/>
  <c r="L670" i="1"/>
  <c r="J672" i="1" l="1"/>
  <c r="N671" i="1"/>
  <c r="L671" i="1"/>
  <c r="J673" i="1" l="1"/>
  <c r="N672" i="1"/>
  <c r="L672" i="1"/>
  <c r="L673" i="1" l="1"/>
  <c r="N673" i="1"/>
  <c r="J674" i="1"/>
  <c r="N674" i="1" l="1"/>
  <c r="J675" i="1"/>
  <c r="L674" i="1"/>
  <c r="L675" i="1" l="1"/>
  <c r="N675" i="1"/>
  <c r="J676" i="1"/>
  <c r="N676" i="1" l="1"/>
  <c r="L676" i="1"/>
  <c r="J677" i="1"/>
  <c r="L677" i="1" l="1"/>
  <c r="J678" i="1"/>
  <c r="N677" i="1"/>
  <c r="J679" i="1" l="1"/>
  <c r="L678" i="1"/>
  <c r="N678" i="1"/>
  <c r="J680" i="1" l="1"/>
  <c r="L679" i="1"/>
  <c r="N679" i="1"/>
  <c r="N680" i="1" l="1"/>
  <c r="J681" i="1"/>
  <c r="L680" i="1"/>
  <c r="N681" i="1" l="1"/>
  <c r="L681" i="1"/>
  <c r="J682" i="1"/>
  <c r="J683" i="1" l="1"/>
  <c r="L682" i="1"/>
  <c r="N682" i="1"/>
  <c r="L683" i="1" l="1"/>
  <c r="N683" i="1"/>
  <c r="J684" i="1"/>
  <c r="N684" i="1" l="1"/>
  <c r="L684" i="1"/>
  <c r="J685" i="1"/>
  <c r="N685" i="1" l="1"/>
  <c r="L685" i="1"/>
  <c r="J686" i="1"/>
  <c r="J687" i="1" l="1"/>
  <c r="N686" i="1"/>
  <c r="L686" i="1"/>
  <c r="L687" i="1" l="1"/>
  <c r="N687" i="1"/>
  <c r="J688" i="1"/>
  <c r="J689" i="1" l="1"/>
  <c r="L688" i="1"/>
  <c r="N688" i="1"/>
  <c r="J690" i="1" l="1"/>
  <c r="L689" i="1"/>
  <c r="N689" i="1"/>
  <c r="N690" i="1" l="1"/>
  <c r="L690" i="1"/>
  <c r="J691" i="1"/>
  <c r="N691" i="1" l="1"/>
  <c r="L691" i="1"/>
  <c r="J692" i="1"/>
  <c r="J693" i="1" l="1"/>
  <c r="L692" i="1"/>
  <c r="N692" i="1"/>
  <c r="J694" i="1" l="1"/>
  <c r="L693" i="1"/>
  <c r="N693" i="1"/>
  <c r="J695" i="1" l="1"/>
  <c r="N694" i="1"/>
  <c r="L694" i="1"/>
  <c r="N695" i="1" l="1"/>
  <c r="L695" i="1"/>
  <c r="J696" i="1"/>
  <c r="N696" i="1" l="1"/>
  <c r="L696" i="1"/>
  <c r="J697" i="1"/>
  <c r="L697" i="1" l="1"/>
  <c r="J698" i="1"/>
  <c r="N697" i="1"/>
  <c r="J699" i="1" l="1"/>
  <c r="L698" i="1"/>
  <c r="N698" i="1"/>
  <c r="N699" i="1" l="1"/>
  <c r="L699" i="1"/>
  <c r="J700" i="1"/>
  <c r="N700" i="1" l="1"/>
  <c r="L700" i="1"/>
  <c r="J701" i="1"/>
  <c r="J702" i="1" l="1"/>
  <c r="L701" i="1"/>
  <c r="N701" i="1"/>
  <c r="N702" i="1" l="1"/>
  <c r="L702" i="1"/>
  <c r="J703" i="1"/>
  <c r="J704" i="1" l="1"/>
  <c r="L703" i="1"/>
  <c r="N703" i="1"/>
  <c r="L704" i="1" l="1"/>
  <c r="N704" i="1"/>
  <c r="J705" i="1"/>
  <c r="L705" i="1" l="1"/>
  <c r="J706" i="1"/>
  <c r="N705" i="1"/>
  <c r="N706" i="1" l="1"/>
  <c r="L706" i="1"/>
  <c r="J707" i="1"/>
  <c r="N707" i="1" l="1"/>
  <c r="L707" i="1"/>
  <c r="J708" i="1"/>
  <c r="N708" i="1" l="1"/>
  <c r="J709" i="1"/>
  <c r="L708" i="1"/>
  <c r="N709" i="1" l="1"/>
  <c r="L709" i="1"/>
  <c r="J710" i="1"/>
  <c r="L710" i="1" l="1"/>
  <c r="J711" i="1"/>
  <c r="N710" i="1"/>
  <c r="L711" i="1" l="1"/>
  <c r="J712" i="1"/>
  <c r="N711" i="1"/>
  <c r="J713" i="1" l="1"/>
  <c r="L712" i="1"/>
  <c r="N712" i="1"/>
  <c r="N713" i="1" l="1"/>
  <c r="J714" i="1"/>
  <c r="L713" i="1"/>
  <c r="J715" i="1" l="1"/>
  <c r="L714" i="1"/>
  <c r="N714" i="1"/>
  <c r="J716" i="1" l="1"/>
  <c r="N715" i="1"/>
  <c r="L715" i="1"/>
  <c r="N716" i="1" l="1"/>
  <c r="J717" i="1"/>
  <c r="L716" i="1"/>
  <c r="L717" i="1" l="1"/>
  <c r="N717" i="1"/>
  <c r="J718" i="1"/>
  <c r="L718" i="1" l="1"/>
  <c r="J719" i="1"/>
  <c r="N718" i="1"/>
  <c r="N719" i="1" l="1"/>
  <c r="J720" i="1"/>
  <c r="L719" i="1"/>
  <c r="L720" i="1" l="1"/>
  <c r="J721" i="1"/>
  <c r="N720" i="1"/>
  <c r="L721" i="1" l="1"/>
  <c r="N721" i="1"/>
  <c r="J722" i="1"/>
  <c r="L722" i="1" l="1"/>
  <c r="N722" i="1"/>
  <c r="J723" i="1"/>
  <c r="L723" i="1" l="1"/>
  <c r="J724" i="1"/>
  <c r="N723" i="1"/>
  <c r="L724" i="1" l="1"/>
  <c r="N724" i="1"/>
  <c r="J725" i="1"/>
  <c r="L725" i="1" l="1"/>
  <c r="N725" i="1"/>
  <c r="J726" i="1"/>
  <c r="N726" i="1" l="1"/>
  <c r="L726" i="1"/>
  <c r="J727" i="1"/>
  <c r="L727" i="1" l="1"/>
  <c r="N727" i="1"/>
  <c r="J728" i="1"/>
  <c r="L728" i="1" l="1"/>
  <c r="J729" i="1"/>
  <c r="N728" i="1"/>
  <c r="N729" i="1" l="1"/>
  <c r="L729" i="1"/>
  <c r="J730" i="1"/>
  <c r="L730" i="1" l="1"/>
  <c r="N730" i="1"/>
  <c r="J731" i="1"/>
  <c r="J732" i="1" l="1"/>
  <c r="L731" i="1"/>
  <c r="N731" i="1"/>
  <c r="J733" i="1" l="1"/>
  <c r="L732" i="1"/>
  <c r="N732" i="1"/>
  <c r="N733" i="1" l="1"/>
  <c r="L733" i="1"/>
  <c r="J734" i="1"/>
  <c r="J735" i="1" l="1"/>
  <c r="L734" i="1"/>
  <c r="N734" i="1"/>
  <c r="L735" i="1" l="1"/>
  <c r="N735" i="1"/>
  <c r="J736" i="1"/>
  <c r="L736" i="1" l="1"/>
  <c r="N736" i="1"/>
  <c r="J737" i="1"/>
  <c r="N737" i="1" l="1"/>
  <c r="J738" i="1"/>
  <c r="L737" i="1"/>
  <c r="L738" i="1" l="1"/>
  <c r="J739" i="1"/>
  <c r="N738" i="1"/>
  <c r="L739" i="1" l="1"/>
  <c r="N739" i="1"/>
  <c r="J740" i="1"/>
  <c r="N740" i="1" l="1"/>
  <c r="L740" i="1"/>
  <c r="J741" i="1"/>
  <c r="J742" i="1" l="1"/>
  <c r="L741" i="1"/>
  <c r="N741" i="1"/>
  <c r="J743" i="1" l="1"/>
  <c r="L742" i="1"/>
  <c r="N742" i="1"/>
  <c r="J744" i="1" l="1"/>
  <c r="L743" i="1"/>
  <c r="N743" i="1"/>
  <c r="J745" i="1" l="1"/>
  <c r="L744" i="1"/>
  <c r="N744" i="1"/>
  <c r="J746" i="1" l="1"/>
  <c r="L745" i="1"/>
  <c r="N745" i="1"/>
  <c r="N746" i="1" l="1"/>
  <c r="L746" i="1"/>
  <c r="J747" i="1"/>
  <c r="J748" i="1" l="1"/>
  <c r="L747" i="1"/>
  <c r="N747" i="1"/>
  <c r="N748" i="1" l="1"/>
  <c r="L748" i="1"/>
  <c r="J749" i="1"/>
  <c r="L749" i="1" l="1"/>
  <c r="J750" i="1"/>
  <c r="N749" i="1"/>
  <c r="N750" i="1" l="1"/>
  <c r="L750" i="1"/>
  <c r="J751" i="1"/>
  <c r="L751" i="1" l="1"/>
  <c r="J752" i="1"/>
  <c r="N751" i="1"/>
  <c r="J753" i="1" l="1"/>
  <c r="N752" i="1"/>
  <c r="L752" i="1"/>
  <c r="J754" i="1" l="1"/>
  <c r="N753" i="1"/>
  <c r="L753" i="1"/>
  <c r="N754" i="1" l="1"/>
  <c r="L754" i="1"/>
  <c r="J755" i="1"/>
  <c r="J756" i="1" l="1"/>
  <c r="L755" i="1"/>
  <c r="N755" i="1"/>
  <c r="N756" i="1" l="1"/>
  <c r="L756" i="1"/>
  <c r="J757" i="1"/>
  <c r="J758" i="1" l="1"/>
  <c r="L757" i="1"/>
  <c r="N757" i="1"/>
  <c r="J759" i="1" l="1"/>
  <c r="L758" i="1"/>
  <c r="N758" i="1"/>
  <c r="J760" i="1" l="1"/>
  <c r="N759" i="1"/>
  <c r="L759" i="1"/>
  <c r="J761" i="1" l="1"/>
  <c r="N760" i="1"/>
  <c r="L760" i="1"/>
  <c r="J762" i="1" l="1"/>
  <c r="L761" i="1"/>
  <c r="N761" i="1"/>
  <c r="J763" i="1" l="1"/>
  <c r="N762" i="1"/>
  <c r="L762" i="1"/>
  <c r="N763" i="1" l="1"/>
  <c r="L763" i="1"/>
  <c r="J764" i="1"/>
  <c r="N764" i="1" l="1"/>
  <c r="J765" i="1"/>
  <c r="L764" i="1"/>
  <c r="J766" i="1" l="1"/>
  <c r="L765" i="1"/>
  <c r="N765" i="1"/>
  <c r="N766" i="1" l="1"/>
  <c r="L766" i="1"/>
  <c r="J767" i="1"/>
  <c r="J768" i="1" l="1"/>
  <c r="L767" i="1"/>
  <c r="N767" i="1"/>
  <c r="J769" i="1" l="1"/>
  <c r="L768" i="1"/>
  <c r="N768" i="1"/>
  <c r="J770" i="1" l="1"/>
  <c r="L769" i="1"/>
  <c r="N769" i="1"/>
  <c r="N770" i="1" l="1"/>
  <c r="L770" i="1"/>
  <c r="J771" i="1"/>
  <c r="J772" i="1" l="1"/>
  <c r="L771" i="1"/>
  <c r="N771" i="1"/>
  <c r="N772" i="1" l="1"/>
  <c r="L772" i="1"/>
  <c r="J773" i="1"/>
  <c r="N773" i="1" l="1"/>
  <c r="L773" i="1"/>
  <c r="J774" i="1"/>
  <c r="J775" i="1" l="1"/>
  <c r="L774" i="1"/>
  <c r="N774" i="1"/>
  <c r="N775" i="1" l="1"/>
  <c r="L775" i="1"/>
  <c r="J776" i="1"/>
  <c r="J777" i="1" l="1"/>
  <c r="L776" i="1"/>
  <c r="N776" i="1"/>
  <c r="J778" i="1" l="1"/>
  <c r="L777" i="1"/>
  <c r="N777" i="1"/>
  <c r="J779" i="1" l="1"/>
  <c r="L778" i="1"/>
  <c r="N778" i="1"/>
  <c r="N779" i="1" l="1"/>
  <c r="L779" i="1"/>
  <c r="J780" i="1"/>
  <c r="J781" i="1" l="1"/>
  <c r="L780" i="1"/>
  <c r="N780" i="1"/>
  <c r="J782" i="1" l="1"/>
  <c r="L781" i="1"/>
  <c r="N781" i="1"/>
  <c r="J783" i="1" l="1"/>
  <c r="L782" i="1"/>
  <c r="N782" i="1"/>
  <c r="N783" i="1" l="1"/>
  <c r="L783" i="1"/>
  <c r="J784" i="1"/>
  <c r="N784" i="1" l="1"/>
  <c r="L784" i="1"/>
  <c r="J785" i="1"/>
  <c r="L785" i="1" l="1"/>
  <c r="N785" i="1"/>
  <c r="J786" i="1"/>
  <c r="L786" i="1" l="1"/>
  <c r="J787" i="1"/>
  <c r="N786" i="1"/>
  <c r="J788" i="1" l="1"/>
  <c r="L787" i="1"/>
  <c r="N787" i="1"/>
  <c r="J789" i="1" l="1"/>
  <c r="L788" i="1"/>
  <c r="N788" i="1"/>
  <c r="J790" i="1" l="1"/>
  <c r="L789" i="1"/>
  <c r="N789" i="1"/>
  <c r="J791" i="1" l="1"/>
  <c r="L790" i="1"/>
  <c r="N790" i="1"/>
  <c r="J792" i="1" l="1"/>
  <c r="L791" i="1"/>
  <c r="N791" i="1"/>
  <c r="J793" i="1" l="1"/>
  <c r="N792" i="1"/>
  <c r="L792" i="1"/>
  <c r="L793" i="1" l="1"/>
  <c r="J794" i="1"/>
  <c r="N793" i="1"/>
  <c r="L794" i="1" l="1"/>
  <c r="N794" i="1"/>
  <c r="J795" i="1"/>
  <c r="N795" i="1" l="1"/>
  <c r="L795" i="1"/>
  <c r="J796" i="1"/>
  <c r="L796" i="1" l="1"/>
  <c r="N796" i="1"/>
  <c r="J797" i="1"/>
  <c r="J798" i="1" l="1"/>
  <c r="L797" i="1"/>
  <c r="N797" i="1"/>
  <c r="L798" i="1" l="1"/>
  <c r="N798" i="1"/>
  <c r="J799" i="1"/>
  <c r="N799" i="1" l="1"/>
  <c r="L799" i="1"/>
  <c r="J800" i="1"/>
  <c r="N800" i="1" l="1"/>
  <c r="J801" i="1"/>
  <c r="L800" i="1"/>
  <c r="L801" i="1" l="1"/>
  <c r="N801" i="1"/>
  <c r="J802" i="1"/>
  <c r="L802" i="1" l="1"/>
  <c r="N802" i="1"/>
  <c r="J803" i="1"/>
  <c r="N803" i="1" l="1"/>
  <c r="L803" i="1"/>
  <c r="J804" i="1"/>
  <c r="J805" i="1" l="1"/>
  <c r="L804" i="1"/>
  <c r="N804" i="1"/>
  <c r="L805" i="1" l="1"/>
  <c r="N805" i="1"/>
  <c r="J806" i="1"/>
  <c r="N806" i="1" l="1"/>
  <c r="L806" i="1"/>
  <c r="J807" i="1"/>
  <c r="N807" i="1" l="1"/>
  <c r="L807" i="1"/>
  <c r="J808" i="1"/>
  <c r="J809" i="1" l="1"/>
  <c r="L808" i="1"/>
  <c r="N808" i="1"/>
  <c r="J810" i="1" l="1"/>
  <c r="L809" i="1"/>
  <c r="N809" i="1"/>
  <c r="N810" i="1" l="1"/>
  <c r="L810" i="1"/>
  <c r="J811" i="1"/>
  <c r="N811" i="1" l="1"/>
  <c r="L811" i="1"/>
  <c r="J812" i="1"/>
  <c r="L812" i="1" l="1"/>
  <c r="J813" i="1"/>
  <c r="N812" i="1"/>
  <c r="J814" i="1" l="1"/>
  <c r="N813" i="1"/>
  <c r="L813" i="1"/>
  <c r="N814" i="1" l="1"/>
  <c r="L814" i="1"/>
  <c r="J815" i="1"/>
  <c r="N815" i="1" l="1"/>
  <c r="L815" i="1"/>
  <c r="J816" i="1"/>
  <c r="J817" i="1" l="1"/>
  <c r="L816" i="1"/>
  <c r="N816" i="1"/>
  <c r="N817" i="1" l="1"/>
  <c r="J818" i="1"/>
  <c r="L817" i="1"/>
  <c r="L818" i="1" l="1"/>
  <c r="N818" i="1"/>
  <c r="J819" i="1"/>
  <c r="L819" i="1" l="1"/>
  <c r="J820" i="1"/>
  <c r="N819" i="1"/>
  <c r="N820" i="1" l="1"/>
  <c r="J821" i="1"/>
  <c r="L820" i="1"/>
  <c r="J822" i="1" l="1"/>
  <c r="N821" i="1"/>
  <c r="L821" i="1"/>
  <c r="J823" i="1" l="1"/>
  <c r="N822" i="1"/>
  <c r="L822" i="1"/>
  <c r="N823" i="1" l="1"/>
  <c r="L823" i="1"/>
  <c r="J824" i="1"/>
  <c r="J825" i="1" l="1"/>
  <c r="L824" i="1"/>
  <c r="N824" i="1"/>
  <c r="J826" i="1" l="1"/>
  <c r="N825" i="1"/>
  <c r="L825" i="1"/>
  <c r="N826" i="1" l="1"/>
  <c r="L826" i="1"/>
  <c r="J827" i="1"/>
  <c r="N827" i="1" l="1"/>
  <c r="J828" i="1"/>
  <c r="L827" i="1"/>
  <c r="L828" i="1" l="1"/>
  <c r="N828" i="1"/>
  <c r="J829" i="1"/>
  <c r="N829" i="1" l="1"/>
  <c r="J830" i="1"/>
  <c r="L829" i="1"/>
  <c r="J831" i="1" l="1"/>
  <c r="N830" i="1"/>
  <c r="L830" i="1"/>
  <c r="J832" i="1" l="1"/>
  <c r="L831" i="1"/>
  <c r="N831" i="1"/>
  <c r="L832" i="1" l="1"/>
  <c r="J833" i="1"/>
  <c r="N832" i="1"/>
  <c r="N833" i="1" l="1"/>
  <c r="J834" i="1"/>
  <c r="L833" i="1"/>
  <c r="J835" i="1" l="1"/>
  <c r="L834" i="1"/>
  <c r="N834" i="1"/>
  <c r="N835" i="1" l="1"/>
  <c r="L835" i="1"/>
  <c r="J836" i="1"/>
  <c r="J837" i="1" l="1"/>
  <c r="L836" i="1"/>
  <c r="N836" i="1"/>
  <c r="N837" i="1" l="1"/>
  <c r="L837" i="1"/>
  <c r="J838" i="1"/>
  <c r="N838" i="1" l="1"/>
  <c r="J839" i="1"/>
  <c r="L838" i="1"/>
  <c r="L839" i="1" l="1"/>
  <c r="J840" i="1"/>
  <c r="N839" i="1"/>
  <c r="J841" i="1" l="1"/>
  <c r="L840" i="1"/>
  <c r="N840" i="1"/>
  <c r="J842" i="1" l="1"/>
  <c r="L841" i="1"/>
  <c r="N841" i="1"/>
  <c r="N842" i="1" l="1"/>
  <c r="J843" i="1"/>
  <c r="L842" i="1"/>
  <c r="N843" i="1" l="1"/>
  <c r="J844" i="1"/>
  <c r="L843" i="1"/>
  <c r="N844" i="1" l="1"/>
  <c r="L844" i="1"/>
  <c r="J845" i="1"/>
  <c r="N845" i="1" l="1"/>
  <c r="J846" i="1"/>
  <c r="L845" i="1"/>
  <c r="N846" i="1" l="1"/>
  <c r="L846" i="1"/>
  <c r="J847" i="1"/>
  <c r="J848" i="1" l="1"/>
  <c r="L847" i="1"/>
  <c r="N847" i="1"/>
  <c r="L848" i="1" l="1"/>
  <c r="N848" i="1"/>
  <c r="J849" i="1"/>
  <c r="J850" i="1" l="1"/>
  <c r="N849" i="1"/>
  <c r="L849" i="1"/>
  <c r="L850" i="1" l="1"/>
  <c r="J851" i="1"/>
  <c r="N850" i="1"/>
  <c r="N851" i="1" l="1"/>
  <c r="L851" i="1"/>
  <c r="J852" i="1"/>
  <c r="N852" i="1" l="1"/>
  <c r="L852" i="1"/>
  <c r="J853" i="1"/>
  <c r="N853" i="1" l="1"/>
  <c r="L853" i="1"/>
  <c r="J854" i="1"/>
  <c r="J855" i="1" l="1"/>
  <c r="N854" i="1"/>
  <c r="L854" i="1"/>
  <c r="L855" i="1" l="1"/>
  <c r="N855" i="1"/>
  <c r="J856" i="1"/>
  <c r="L856" i="1" l="1"/>
  <c r="N856" i="1"/>
  <c r="J857" i="1"/>
  <c r="N857" i="1" l="1"/>
  <c r="J858" i="1"/>
  <c r="L857" i="1"/>
  <c r="N858" i="1" l="1"/>
  <c r="J859" i="1"/>
  <c r="L858" i="1"/>
  <c r="N859" i="1" l="1"/>
  <c r="L859" i="1"/>
  <c r="J860" i="1"/>
  <c r="N860" i="1" l="1"/>
  <c r="L860" i="1"/>
  <c r="J861" i="1"/>
  <c r="L861" i="1" l="1"/>
  <c r="J862" i="1"/>
  <c r="N861" i="1"/>
  <c r="J863" i="1" l="1"/>
  <c r="L862" i="1"/>
  <c r="N862" i="1"/>
  <c r="J864" i="1" l="1"/>
  <c r="L863" i="1"/>
  <c r="N863" i="1"/>
  <c r="L864" i="1" l="1"/>
  <c r="N864" i="1"/>
  <c r="J865" i="1"/>
  <c r="J866" i="1" l="1"/>
  <c r="L865" i="1"/>
  <c r="N865" i="1"/>
  <c r="J867" i="1" l="1"/>
  <c r="L866" i="1"/>
  <c r="N866" i="1"/>
  <c r="L867" i="1" l="1"/>
  <c r="J868" i="1"/>
  <c r="N867" i="1"/>
  <c r="J869" i="1" l="1"/>
  <c r="L868" i="1"/>
  <c r="N868" i="1"/>
  <c r="N869" i="1" l="1"/>
  <c r="J870" i="1"/>
  <c r="L869" i="1"/>
  <c r="J871" i="1" l="1"/>
  <c r="L870" i="1"/>
  <c r="N870" i="1"/>
  <c r="N871" i="1" l="1"/>
  <c r="L871" i="1"/>
  <c r="J872" i="1"/>
  <c r="N872" i="1" l="1"/>
  <c r="L872" i="1"/>
  <c r="J873" i="1"/>
  <c r="N873" i="1" l="1"/>
  <c r="J874" i="1"/>
  <c r="L873" i="1"/>
  <c r="J875" i="1" l="1"/>
  <c r="L874" i="1"/>
  <c r="N874" i="1"/>
  <c r="L875" i="1" l="1"/>
  <c r="J876" i="1"/>
  <c r="N875" i="1"/>
  <c r="N876" i="1" l="1"/>
  <c r="L876" i="1"/>
  <c r="J877" i="1"/>
  <c r="N877" i="1" l="1"/>
  <c r="L877" i="1"/>
  <c r="J878" i="1"/>
  <c r="J879" i="1" l="1"/>
  <c r="L878" i="1"/>
  <c r="N878" i="1"/>
  <c r="N879" i="1" l="1"/>
  <c r="J880" i="1"/>
  <c r="L879" i="1"/>
  <c r="N880" i="1" l="1"/>
  <c r="L880" i="1"/>
  <c r="J881" i="1"/>
  <c r="L881" i="1" l="1"/>
  <c r="J882" i="1"/>
  <c r="N881" i="1"/>
  <c r="L882" i="1" l="1"/>
  <c r="N882" i="1"/>
  <c r="J883" i="1"/>
  <c r="N883" i="1" l="1"/>
  <c r="L883" i="1"/>
  <c r="J884" i="1"/>
  <c r="J885" i="1" l="1"/>
  <c r="L884" i="1"/>
  <c r="N884" i="1"/>
  <c r="N885" i="1" l="1"/>
  <c r="J886" i="1"/>
  <c r="L885" i="1"/>
  <c r="N886" i="1" l="1"/>
  <c r="J887" i="1"/>
  <c r="L886" i="1"/>
  <c r="N887" i="1" l="1"/>
  <c r="L887" i="1"/>
  <c r="J888" i="1"/>
  <c r="L888" i="1" l="1"/>
  <c r="N888" i="1"/>
  <c r="J889" i="1"/>
  <c r="J890" i="1" l="1"/>
  <c r="L889" i="1"/>
  <c r="N889" i="1"/>
  <c r="N890" i="1" l="1"/>
  <c r="L890" i="1"/>
  <c r="J891" i="1"/>
  <c r="J892" i="1" l="1"/>
  <c r="N891" i="1"/>
  <c r="L891" i="1"/>
  <c r="N892" i="1" l="1"/>
  <c r="L892" i="1"/>
  <c r="J893" i="1"/>
  <c r="L893" i="1" l="1"/>
  <c r="J894" i="1"/>
  <c r="N893" i="1"/>
  <c r="J895" i="1" l="1"/>
  <c r="N894" i="1"/>
  <c r="L894" i="1"/>
  <c r="N895" i="1" l="1"/>
  <c r="L895" i="1"/>
  <c r="J896" i="1"/>
  <c r="J897" i="1" l="1"/>
  <c r="L896" i="1"/>
  <c r="N896" i="1"/>
  <c r="J898" i="1" l="1"/>
  <c r="L897" i="1"/>
  <c r="N897" i="1"/>
  <c r="N898" i="1" l="1"/>
  <c r="L898" i="1"/>
  <c r="J899" i="1"/>
  <c r="J900" i="1" l="1"/>
  <c r="N899" i="1"/>
  <c r="L899" i="1"/>
  <c r="J901" i="1" l="1"/>
  <c r="N900" i="1"/>
  <c r="L900" i="1"/>
  <c r="J902" i="1" l="1"/>
  <c r="N901" i="1"/>
  <c r="L901" i="1"/>
  <c r="N902" i="1" l="1"/>
  <c r="J903" i="1"/>
  <c r="L902" i="1"/>
  <c r="L903" i="1" l="1"/>
  <c r="N903" i="1"/>
  <c r="J904" i="1"/>
  <c r="N904" i="1" l="1"/>
  <c r="L904" i="1"/>
  <c r="J905" i="1"/>
  <c r="N905" i="1" l="1"/>
  <c r="J906" i="1"/>
  <c r="L905" i="1"/>
  <c r="N906" i="1" l="1"/>
  <c r="L906" i="1"/>
  <c r="J907" i="1"/>
  <c r="L907" i="1" l="1"/>
  <c r="J908" i="1"/>
  <c r="N907" i="1"/>
  <c r="J909" i="1" l="1"/>
  <c r="L908" i="1"/>
  <c r="N908" i="1"/>
  <c r="J910" i="1" l="1"/>
  <c r="L909" i="1"/>
  <c r="N909" i="1"/>
  <c r="J911" i="1" l="1"/>
  <c r="L910" i="1"/>
  <c r="N910" i="1"/>
  <c r="L911" i="1" l="1"/>
  <c r="J912" i="1"/>
  <c r="N911" i="1"/>
  <c r="J913" i="1" l="1"/>
  <c r="L912" i="1"/>
  <c r="N912" i="1"/>
  <c r="N913" i="1" l="1"/>
  <c r="J914" i="1"/>
  <c r="L913" i="1"/>
  <c r="L914" i="1" l="1"/>
  <c r="N914" i="1"/>
  <c r="J915" i="1"/>
  <c r="J916" i="1" l="1"/>
  <c r="L915" i="1"/>
  <c r="N915" i="1"/>
  <c r="N916" i="1" l="1"/>
  <c r="L916" i="1"/>
  <c r="J917" i="1"/>
  <c r="L917" i="1" l="1"/>
  <c r="N917" i="1"/>
  <c r="J918" i="1"/>
  <c r="N918" i="1" l="1"/>
  <c r="J919" i="1"/>
  <c r="L918" i="1"/>
  <c r="N919" i="1" l="1"/>
  <c r="L919" i="1"/>
  <c r="J920" i="1"/>
  <c r="J921" i="1" l="1"/>
  <c r="L920" i="1"/>
  <c r="N920" i="1"/>
  <c r="N921" i="1" l="1"/>
  <c r="L921" i="1"/>
  <c r="J922" i="1"/>
  <c r="L922" i="1" l="1"/>
  <c r="N922" i="1"/>
  <c r="J923" i="1"/>
  <c r="L923" i="1" l="1"/>
  <c r="N923" i="1"/>
  <c r="J924" i="1"/>
  <c r="J925" i="1" l="1"/>
  <c r="L924" i="1"/>
  <c r="N924" i="1"/>
  <c r="N925" i="1" l="1"/>
  <c r="L925" i="1"/>
  <c r="J926" i="1"/>
  <c r="L926" i="1" l="1"/>
  <c r="N926" i="1"/>
  <c r="J927" i="1"/>
  <c r="N927" i="1" l="1"/>
  <c r="L927" i="1"/>
  <c r="J928" i="1"/>
  <c r="J929" i="1" l="1"/>
  <c r="L928" i="1"/>
  <c r="N928" i="1"/>
  <c r="L929" i="1" l="1"/>
  <c r="N929" i="1"/>
  <c r="J930" i="1"/>
  <c r="N930" i="1" l="1"/>
  <c r="L930" i="1"/>
  <c r="J931" i="1"/>
  <c r="J932" i="1" l="1"/>
  <c r="L931" i="1"/>
  <c r="N931" i="1"/>
  <c r="N932" i="1" l="1"/>
  <c r="L932" i="1"/>
  <c r="J933" i="1"/>
  <c r="L933" i="1" l="1"/>
  <c r="J934" i="1"/>
  <c r="N933" i="1"/>
  <c r="L934" i="1" l="1"/>
  <c r="N934" i="1"/>
  <c r="J935" i="1"/>
  <c r="N935" i="1" l="1"/>
  <c r="L935" i="1"/>
  <c r="J936" i="1"/>
  <c r="L936" i="1" l="1"/>
  <c r="J937" i="1"/>
  <c r="N936" i="1"/>
  <c r="J938" i="1" l="1"/>
  <c r="L937" i="1"/>
  <c r="N937" i="1"/>
  <c r="J939" i="1" l="1"/>
  <c r="N938" i="1"/>
  <c r="L938" i="1"/>
  <c r="J940" i="1" l="1"/>
  <c r="N939" i="1"/>
  <c r="L939" i="1"/>
  <c r="L940" i="1" l="1"/>
  <c r="J941" i="1"/>
  <c r="N940" i="1"/>
  <c r="N941" i="1" l="1"/>
  <c r="L941" i="1"/>
  <c r="J942" i="1"/>
  <c r="N942" i="1" l="1"/>
  <c r="L942" i="1"/>
  <c r="J943" i="1"/>
  <c r="J944" i="1" l="1"/>
  <c r="L943" i="1"/>
  <c r="N943" i="1"/>
  <c r="J945" i="1" l="1"/>
  <c r="N944" i="1"/>
  <c r="L944" i="1"/>
  <c r="N945" i="1" l="1"/>
  <c r="L945" i="1"/>
  <c r="J946" i="1"/>
  <c r="J947" i="1" l="1"/>
  <c r="L946" i="1"/>
  <c r="N946" i="1"/>
  <c r="J948" i="1" l="1"/>
  <c r="L947" i="1"/>
  <c r="N947" i="1"/>
  <c r="N948" i="1" l="1"/>
  <c r="L948" i="1"/>
  <c r="J949" i="1"/>
  <c r="J950" i="1" l="1"/>
  <c r="L949" i="1"/>
  <c r="N949" i="1"/>
  <c r="N950" i="1" l="1"/>
  <c r="L950" i="1"/>
  <c r="J951" i="1"/>
  <c r="N951" i="1" l="1"/>
  <c r="L951" i="1"/>
  <c r="J952" i="1"/>
  <c r="N952" i="1" l="1"/>
  <c r="L952" i="1"/>
  <c r="J953" i="1"/>
  <c r="J954" i="1" l="1"/>
  <c r="L953" i="1"/>
  <c r="N953" i="1"/>
  <c r="J955" i="1" l="1"/>
  <c r="L954" i="1"/>
  <c r="N954" i="1"/>
  <c r="N955" i="1" l="1"/>
  <c r="L955" i="1"/>
  <c r="J956" i="1"/>
  <c r="J957" i="1" l="1"/>
  <c r="L956" i="1"/>
  <c r="N956" i="1"/>
  <c r="J958" i="1" l="1"/>
  <c r="L957" i="1"/>
  <c r="N957" i="1"/>
  <c r="J959" i="1" l="1"/>
  <c r="L958" i="1"/>
  <c r="N958" i="1"/>
  <c r="N959" i="1" l="1"/>
  <c r="L959" i="1"/>
  <c r="J960" i="1"/>
  <c r="N960" i="1" l="1"/>
  <c r="L960" i="1"/>
  <c r="J961" i="1"/>
  <c r="J962" i="1" l="1"/>
  <c r="L961" i="1"/>
  <c r="N961" i="1"/>
  <c r="N962" i="1" l="1"/>
  <c r="J963" i="1"/>
  <c r="L962" i="1"/>
  <c r="N963" i="1" l="1"/>
  <c r="J964" i="1"/>
  <c r="L963" i="1"/>
  <c r="J965" i="1" l="1"/>
  <c r="L964" i="1"/>
  <c r="N964" i="1"/>
  <c r="N965" i="1" l="1"/>
  <c r="L965" i="1"/>
  <c r="J966" i="1"/>
  <c r="J967" i="1" l="1"/>
  <c r="N966" i="1"/>
  <c r="L966" i="1"/>
  <c r="J968" i="1" l="1"/>
  <c r="L967" i="1"/>
  <c r="N967" i="1"/>
  <c r="N968" i="1" l="1"/>
  <c r="L968" i="1"/>
  <c r="J969" i="1"/>
  <c r="J970" i="1" l="1"/>
  <c r="L969" i="1"/>
  <c r="N969" i="1"/>
  <c r="J971" i="1" l="1"/>
  <c r="L970" i="1"/>
  <c r="N970" i="1"/>
  <c r="N971" i="1" l="1"/>
  <c r="L971" i="1"/>
  <c r="J972" i="1"/>
  <c r="N972" i="1" l="1"/>
  <c r="L972" i="1"/>
  <c r="J973" i="1"/>
  <c r="L973" i="1" l="1"/>
  <c r="J974" i="1"/>
  <c r="N973" i="1"/>
  <c r="N974" i="1" l="1"/>
  <c r="L974" i="1"/>
  <c r="J975" i="1"/>
  <c r="L975" i="1" l="1"/>
  <c r="J976" i="1"/>
  <c r="N975" i="1"/>
  <c r="J977" i="1" l="1"/>
  <c r="L976" i="1"/>
  <c r="N976" i="1"/>
  <c r="J978" i="1" l="1"/>
  <c r="L977" i="1"/>
  <c r="N977" i="1"/>
  <c r="N978" i="1" l="1"/>
  <c r="L978" i="1"/>
  <c r="J979" i="1"/>
  <c r="N979" i="1" l="1"/>
  <c r="L979" i="1"/>
  <c r="J980" i="1"/>
  <c r="J981" i="1" l="1"/>
  <c r="N980" i="1"/>
  <c r="L980" i="1"/>
  <c r="N981" i="1" l="1"/>
  <c r="L981" i="1"/>
  <c r="J982" i="1"/>
  <c r="J983" i="1" l="1"/>
  <c r="N982" i="1"/>
  <c r="L982" i="1"/>
  <c r="J984" i="1" l="1"/>
  <c r="L983" i="1"/>
  <c r="N983" i="1"/>
  <c r="N984" i="1" l="1"/>
  <c r="L984" i="1"/>
  <c r="J985" i="1"/>
  <c r="J986" i="1" l="1"/>
  <c r="L985" i="1"/>
  <c r="N985" i="1"/>
  <c r="J987" i="1" l="1"/>
  <c r="L986" i="1"/>
  <c r="N986" i="1"/>
  <c r="N987" i="1" l="1"/>
  <c r="L987" i="1"/>
  <c r="J988" i="1"/>
  <c r="N988" i="1" l="1"/>
  <c r="L988" i="1"/>
  <c r="J989" i="1"/>
  <c r="J990" i="1" l="1"/>
  <c r="L989" i="1"/>
  <c r="N989" i="1"/>
  <c r="J991" i="1" l="1"/>
  <c r="L990" i="1"/>
  <c r="N990" i="1"/>
  <c r="J992" i="1" l="1"/>
  <c r="L991" i="1"/>
  <c r="N991" i="1"/>
  <c r="L992" i="1" l="1"/>
  <c r="J993" i="1"/>
  <c r="N992" i="1"/>
  <c r="N993" i="1" l="1"/>
  <c r="L993" i="1"/>
  <c r="J994" i="1"/>
  <c r="N994" i="1" l="1"/>
  <c r="L994" i="1"/>
  <c r="J995" i="1"/>
  <c r="N995" i="1" l="1"/>
  <c r="L995" i="1"/>
  <c r="J996" i="1"/>
  <c r="J997" i="1" l="1"/>
  <c r="L996" i="1"/>
  <c r="N996" i="1"/>
  <c r="N997" i="1" l="1"/>
  <c r="L997" i="1"/>
  <c r="J998" i="1"/>
  <c r="J999" i="1" l="1"/>
  <c r="L998" i="1"/>
  <c r="N998" i="1"/>
  <c r="J1000" i="1" l="1"/>
  <c r="L999" i="1"/>
  <c r="N999" i="1"/>
  <c r="J1001" i="1" l="1"/>
  <c r="L1000" i="1"/>
  <c r="N1000" i="1"/>
  <c r="J1002" i="1" l="1"/>
  <c r="L1001" i="1"/>
  <c r="N1001" i="1"/>
  <c r="L1002" i="1" l="1"/>
  <c r="N1002" i="1"/>
  <c r="J1003" i="1"/>
  <c r="L1003" i="1" l="1"/>
  <c r="N1003" i="1"/>
  <c r="J1004" i="1"/>
  <c r="J1005" i="1" l="1"/>
  <c r="L1004" i="1"/>
  <c r="N1004" i="1"/>
  <c r="N1005" i="1" l="1"/>
  <c r="L1005" i="1"/>
  <c r="J1006" i="1"/>
  <c r="N1006" i="1" l="1"/>
  <c r="L1006" i="1"/>
  <c r="J1007" i="1"/>
  <c r="J1008" i="1" l="1"/>
  <c r="L1007" i="1"/>
  <c r="N1007" i="1"/>
  <c r="N1008" i="1" l="1"/>
  <c r="L1008" i="1"/>
  <c r="J1009" i="1"/>
  <c r="J1010" i="1" l="1"/>
  <c r="L1009" i="1"/>
  <c r="N1009" i="1"/>
  <c r="J1011" i="1" l="1"/>
  <c r="N1010" i="1"/>
  <c r="L1010" i="1"/>
  <c r="L1011" i="1" l="1"/>
  <c r="J1012" i="1"/>
  <c r="N1011" i="1"/>
  <c r="N1012" i="1" l="1"/>
  <c r="J1013" i="1"/>
  <c r="L1012" i="1"/>
  <c r="N1013" i="1" l="1"/>
  <c r="L1013" i="1"/>
  <c r="J1014" i="1"/>
  <c r="N1014" i="1" l="1"/>
  <c r="J1015" i="1"/>
  <c r="L1014" i="1"/>
  <c r="J1016" i="1" l="1"/>
  <c r="N1015" i="1"/>
  <c r="L1015" i="1"/>
  <c r="N1016" i="1" l="1"/>
  <c r="L1016" i="1"/>
  <c r="J1017" i="1"/>
  <c r="N1017" i="1" l="1"/>
  <c r="J1018" i="1"/>
  <c r="L1017" i="1"/>
  <c r="N1018" i="1" l="1"/>
  <c r="J1019" i="1"/>
  <c r="L1018" i="1"/>
  <c r="N1019" i="1" l="1"/>
  <c r="L1019" i="1"/>
  <c r="J1020" i="1"/>
  <c r="N1020" i="1" l="1"/>
  <c r="J1021" i="1"/>
  <c r="L1020" i="1"/>
  <c r="J1022" i="1" l="1"/>
  <c r="L1021" i="1"/>
  <c r="N1021" i="1"/>
  <c r="L1022" i="1" l="1"/>
  <c r="J1023" i="1"/>
  <c r="N1022" i="1"/>
  <c r="N1023" i="1" l="1"/>
  <c r="L1023" i="1"/>
  <c r="J1024" i="1"/>
  <c r="J1025" i="1" l="1"/>
  <c r="L1024" i="1"/>
  <c r="N1024" i="1"/>
  <c r="N1025" i="1" l="1"/>
  <c r="L1025" i="1"/>
  <c r="J1026" i="1"/>
  <c r="N1026" i="1" l="1"/>
  <c r="L1026" i="1"/>
  <c r="J1027" i="1"/>
  <c r="L1027" i="1" l="1"/>
  <c r="N1027" i="1"/>
  <c r="J1028" i="1"/>
  <c r="N1028" i="1" l="1"/>
  <c r="L1028" i="1"/>
  <c r="J1029" i="1"/>
  <c r="J1030" i="1" l="1"/>
  <c r="L1029" i="1"/>
  <c r="N1029" i="1"/>
  <c r="L1030" i="1" l="1"/>
  <c r="J1031" i="1"/>
  <c r="N1030" i="1"/>
  <c r="J1032" i="1" l="1"/>
  <c r="L1031" i="1"/>
  <c r="N1031" i="1"/>
  <c r="J1033" i="1" l="1"/>
  <c r="L1032" i="1"/>
  <c r="N1032" i="1"/>
  <c r="L1033" i="1" l="1"/>
  <c r="J1034" i="1"/>
  <c r="N1033" i="1"/>
  <c r="N1034" i="1" l="1"/>
  <c r="L1034" i="1"/>
  <c r="J1035" i="1"/>
  <c r="N1035" i="1" l="1"/>
  <c r="J1036" i="1"/>
  <c r="L1035" i="1"/>
  <c r="L1036" i="1" l="1"/>
  <c r="J1037" i="1"/>
  <c r="N1036" i="1"/>
  <c r="L1037" i="1" l="1"/>
  <c r="N1037" i="1"/>
  <c r="J1038" i="1"/>
  <c r="L1038" i="1" l="1"/>
  <c r="J1039" i="1"/>
  <c r="N1038" i="1"/>
  <c r="J1040" i="1" l="1"/>
  <c r="L1039" i="1"/>
  <c r="N1039" i="1"/>
  <c r="J1041" i="1" l="1"/>
  <c r="L1040" i="1"/>
  <c r="N1040" i="1"/>
  <c r="J1042" i="1" l="1"/>
  <c r="L1041" i="1"/>
  <c r="N1041" i="1"/>
  <c r="J1043" i="1" l="1"/>
  <c r="L1042" i="1"/>
  <c r="N1042" i="1"/>
  <c r="J1044" i="1" l="1"/>
  <c r="N1043" i="1"/>
  <c r="L1043" i="1"/>
  <c r="L1044" i="1" l="1"/>
  <c r="N1044" i="1"/>
  <c r="J1045" i="1"/>
  <c r="N1045" i="1" l="1"/>
  <c r="J1046" i="1"/>
  <c r="L1045" i="1"/>
  <c r="J1047" i="1" l="1"/>
  <c r="N1046" i="1"/>
  <c r="L1046" i="1"/>
  <c r="J1048" i="1" l="1"/>
  <c r="N1047" i="1"/>
  <c r="L1047" i="1"/>
  <c r="N1048" i="1" l="1"/>
  <c r="L1048" i="1"/>
  <c r="J1049" i="1"/>
  <c r="N1049" i="1" l="1"/>
  <c r="J1050" i="1"/>
  <c r="L1049" i="1"/>
  <c r="L1050" i="1" l="1"/>
  <c r="N1050" i="1"/>
  <c r="J1051" i="1"/>
  <c r="N1051" i="1" l="1"/>
  <c r="J1052" i="1"/>
  <c r="L1051" i="1"/>
  <c r="N1052" i="1" l="1"/>
  <c r="J1053" i="1"/>
  <c r="L1052" i="1"/>
  <c r="L1053" i="1" l="1"/>
  <c r="N1053" i="1"/>
  <c r="J1054" i="1"/>
  <c r="N1054" i="1" l="1"/>
  <c r="L1054" i="1"/>
  <c r="J1055" i="1"/>
  <c r="N1055" i="1" l="1"/>
  <c r="L1055" i="1"/>
  <c r="J1056" i="1"/>
  <c r="L1056" i="1" l="1"/>
  <c r="J1057" i="1"/>
  <c r="N1056" i="1"/>
  <c r="N1057" i="1" l="1"/>
  <c r="J1058" i="1"/>
  <c r="L1057" i="1"/>
  <c r="N1058" i="1" l="1"/>
  <c r="L1058" i="1"/>
  <c r="J1059" i="1"/>
  <c r="J1060" i="1" l="1"/>
  <c r="N1059" i="1"/>
  <c r="L1059" i="1"/>
  <c r="N1060" i="1" l="1"/>
  <c r="L1060" i="1"/>
  <c r="J1061" i="1"/>
  <c r="J1062" i="1" l="1"/>
  <c r="L1061" i="1"/>
  <c r="N1061" i="1"/>
  <c r="J1063" i="1" l="1"/>
  <c r="L1062" i="1"/>
  <c r="N1062" i="1"/>
  <c r="J1064" i="1" l="1"/>
  <c r="L1063" i="1"/>
  <c r="N1063" i="1"/>
  <c r="L1064" i="1" l="1"/>
  <c r="N1064" i="1"/>
  <c r="J1065" i="1"/>
  <c r="N1065" i="1" l="1"/>
  <c r="J1066" i="1"/>
  <c r="L1065" i="1"/>
  <c r="N1066" i="1" l="1"/>
  <c r="J1067" i="1"/>
  <c r="L1066" i="1"/>
  <c r="N1067" i="1" l="1"/>
  <c r="J1068" i="1"/>
  <c r="L1067" i="1"/>
  <c r="N1068" i="1" l="1"/>
  <c r="J1069" i="1"/>
  <c r="L1068" i="1"/>
  <c r="L1069" i="1" l="1"/>
  <c r="N1069" i="1"/>
  <c r="J1070" i="1"/>
  <c r="N1070" i="1" l="1"/>
  <c r="J1071" i="1"/>
  <c r="L1070" i="1"/>
  <c r="J1072" i="1" l="1"/>
  <c r="N1071" i="1"/>
  <c r="L1071" i="1"/>
  <c r="N1072" i="1" l="1"/>
  <c r="J1073" i="1"/>
  <c r="L1072" i="1"/>
  <c r="L1073" i="1" l="1"/>
  <c r="N1073" i="1"/>
  <c r="J1074" i="1"/>
  <c r="N1074" i="1" l="1"/>
  <c r="L1074" i="1"/>
  <c r="J1075" i="1"/>
  <c r="N1075" i="1" l="1"/>
  <c r="J1076" i="1"/>
  <c r="L1075" i="1"/>
  <c r="N1076" i="1" l="1"/>
  <c r="J1077" i="1"/>
  <c r="L1076" i="1"/>
  <c r="J1078" i="1" l="1"/>
  <c r="L1077" i="1"/>
  <c r="N1077" i="1"/>
  <c r="N1078" i="1" l="1"/>
  <c r="L1078" i="1"/>
  <c r="J1079" i="1"/>
  <c r="N1079" i="1" l="1"/>
  <c r="L1079" i="1"/>
  <c r="J1080" i="1"/>
  <c r="L1080" i="1" l="1"/>
  <c r="J1081" i="1"/>
  <c r="N1080" i="1"/>
  <c r="J1082" i="1" l="1"/>
  <c r="L1081" i="1"/>
  <c r="N1081" i="1"/>
  <c r="J1083" i="1" l="1"/>
  <c r="N1082" i="1"/>
  <c r="L1082" i="1"/>
  <c r="N1083" i="1" l="1"/>
  <c r="L1083" i="1"/>
  <c r="J1084" i="1"/>
  <c r="J1085" i="1" l="1"/>
  <c r="N1084" i="1"/>
  <c r="L1084" i="1"/>
  <c r="J1086" i="1" l="1"/>
  <c r="N1085" i="1"/>
  <c r="L1085" i="1"/>
  <c r="L1086" i="1" l="1"/>
  <c r="N1086" i="1"/>
  <c r="J1087" i="1"/>
  <c r="J1088" i="1" l="1"/>
  <c r="L1087" i="1"/>
  <c r="N1087" i="1"/>
  <c r="N1088" i="1" l="1"/>
  <c r="L1088" i="1"/>
  <c r="J1089" i="1"/>
  <c r="J1090" i="1" l="1"/>
  <c r="L1089" i="1"/>
  <c r="N1089" i="1"/>
  <c r="N1090" i="1" l="1"/>
  <c r="J1091" i="1"/>
  <c r="L1090" i="1"/>
  <c r="J1092" i="1" l="1"/>
  <c r="L1091" i="1"/>
  <c r="N1091" i="1"/>
  <c r="J1093" i="1" l="1"/>
  <c r="L1092" i="1"/>
  <c r="N1092" i="1"/>
  <c r="N1093" i="1" l="1"/>
  <c r="L1093" i="1"/>
  <c r="J1094" i="1"/>
  <c r="N1094" i="1" l="1"/>
  <c r="J1095" i="1"/>
  <c r="L1094" i="1"/>
  <c r="N1095" i="1" l="1"/>
  <c r="L1095" i="1"/>
  <c r="J1096" i="1"/>
  <c r="N1096" i="1" l="1"/>
  <c r="J1097" i="1"/>
  <c r="L1096" i="1"/>
  <c r="N1097" i="1" l="1"/>
  <c r="L1097" i="1"/>
  <c r="J1098" i="1"/>
  <c r="N1098" i="1" l="1"/>
  <c r="J1099" i="1"/>
  <c r="L1098" i="1"/>
  <c r="L1099" i="1" l="1"/>
  <c r="N1099" i="1"/>
  <c r="J1100" i="1"/>
  <c r="L1100" i="1" l="1"/>
  <c r="N1100" i="1"/>
  <c r="J1101" i="1"/>
  <c r="N1101" i="1" l="1"/>
  <c r="L1101" i="1"/>
  <c r="J1102" i="1"/>
  <c r="J1103" i="1" l="1"/>
  <c r="L1102" i="1"/>
  <c r="N1102" i="1"/>
  <c r="J1104" i="1" l="1"/>
  <c r="L1103" i="1"/>
  <c r="N1103" i="1"/>
  <c r="L1104" i="1" l="1"/>
  <c r="N1104" i="1"/>
  <c r="J1105" i="1"/>
  <c r="J1106" i="1" l="1"/>
  <c r="L1105" i="1"/>
  <c r="N1105" i="1"/>
  <c r="J1107" i="1" l="1"/>
  <c r="N1106" i="1"/>
  <c r="L1106" i="1"/>
  <c r="L1107" i="1" l="1"/>
  <c r="N1107" i="1"/>
  <c r="J1108" i="1"/>
  <c r="J1109" i="1" l="1"/>
  <c r="L1108" i="1"/>
  <c r="N1108" i="1"/>
  <c r="J1110" i="1" l="1"/>
  <c r="L1109" i="1"/>
  <c r="N1109" i="1"/>
  <c r="L1110" i="1" l="1"/>
  <c r="N1110" i="1"/>
  <c r="J1111" i="1"/>
  <c r="J1112" i="1" l="1"/>
  <c r="L1111" i="1"/>
  <c r="N1111" i="1"/>
  <c r="N1112" i="1" l="1"/>
  <c r="L1112" i="1"/>
  <c r="J1113" i="1"/>
  <c r="L1113" i="1" l="1"/>
  <c r="J1114" i="1"/>
  <c r="N1113" i="1"/>
  <c r="L1114" i="1" l="1"/>
  <c r="N1114" i="1"/>
  <c r="J1115" i="1"/>
  <c r="N1115" i="1" l="1"/>
  <c r="L1115" i="1"/>
  <c r="J1116" i="1"/>
  <c r="N1116" i="1" l="1"/>
  <c r="L1116" i="1"/>
  <c r="J1117" i="1"/>
  <c r="N1117" i="1" l="1"/>
  <c r="L1117" i="1"/>
  <c r="J1118" i="1"/>
  <c r="N1118" i="1" l="1"/>
  <c r="L1118" i="1"/>
  <c r="J1119" i="1"/>
  <c r="L1119" i="1" l="1"/>
  <c r="J1120" i="1"/>
  <c r="N1119" i="1"/>
  <c r="N1120" i="1" l="1"/>
  <c r="L1120" i="1"/>
  <c r="J1121" i="1"/>
  <c r="N1121" i="1" l="1"/>
  <c r="L1121" i="1"/>
  <c r="J1122" i="1"/>
  <c r="N1122" i="1" l="1"/>
  <c r="J1123" i="1"/>
  <c r="L1122" i="1"/>
  <c r="N1123" i="1" l="1"/>
  <c r="L1123" i="1"/>
  <c r="J1124" i="1"/>
  <c r="N1124" i="1" l="1"/>
  <c r="L1124" i="1"/>
  <c r="J1125" i="1"/>
  <c r="N1125" i="1" l="1"/>
  <c r="L1125" i="1"/>
  <c r="J1126" i="1"/>
  <c r="N1126" i="1" l="1"/>
  <c r="L1126" i="1"/>
  <c r="J1127" i="1"/>
  <c r="N1127" i="1" l="1"/>
  <c r="L1127" i="1"/>
  <c r="J1128" i="1"/>
  <c r="N1128" i="1" l="1"/>
  <c r="J1129" i="1"/>
  <c r="L1128" i="1"/>
  <c r="J1130" i="1" l="1"/>
  <c r="L1129" i="1"/>
  <c r="N1129" i="1"/>
  <c r="N1130" i="1" l="1"/>
  <c r="L1130" i="1"/>
  <c r="J1131" i="1"/>
  <c r="L1131" i="1" l="1"/>
  <c r="N1131" i="1"/>
  <c r="J1132" i="1"/>
  <c r="J1133" i="1" l="1"/>
  <c r="L1132" i="1"/>
  <c r="N1132" i="1"/>
  <c r="L1133" i="1" l="1"/>
  <c r="J1134" i="1"/>
  <c r="N1133" i="1"/>
  <c r="N1134" i="1" l="1"/>
  <c r="L1134" i="1"/>
  <c r="J1135" i="1"/>
  <c r="J1136" i="1" l="1"/>
  <c r="L1135" i="1"/>
  <c r="N1135" i="1"/>
  <c r="N1136" i="1" l="1"/>
  <c r="J1137" i="1"/>
  <c r="L1136" i="1"/>
  <c r="J1138" i="1" l="1"/>
  <c r="L1137" i="1"/>
  <c r="N1137" i="1"/>
  <c r="J1139" i="1" l="1"/>
  <c r="L1138" i="1"/>
  <c r="N1138" i="1"/>
  <c r="N1139" i="1" l="1"/>
  <c r="J1140" i="1"/>
  <c r="L1139" i="1"/>
  <c r="L1140" i="1" l="1"/>
  <c r="J1141" i="1"/>
  <c r="N1140" i="1"/>
  <c r="N1141" i="1" l="1"/>
  <c r="J1142" i="1"/>
  <c r="L1141" i="1"/>
  <c r="N1142" i="1" l="1"/>
  <c r="L1142" i="1"/>
  <c r="J1143" i="1"/>
  <c r="L1143" i="1" l="1"/>
  <c r="N1143" i="1"/>
  <c r="J1144" i="1"/>
  <c r="N1144" i="1" l="1"/>
  <c r="L1144" i="1"/>
  <c r="J1145" i="1"/>
  <c r="J1146" i="1" l="1"/>
  <c r="N1145" i="1"/>
  <c r="L1145" i="1"/>
  <c r="L1146" i="1" l="1"/>
  <c r="N1146" i="1"/>
  <c r="J1147" i="1"/>
  <c r="N1147" i="1" l="1"/>
  <c r="L1147" i="1"/>
  <c r="J1148" i="1"/>
  <c r="J1149" i="1" l="1"/>
  <c r="L1148" i="1"/>
  <c r="N1148" i="1"/>
  <c r="J1150" i="1" l="1"/>
  <c r="N1149" i="1"/>
  <c r="L1149" i="1"/>
  <c r="L1150" i="1" l="1"/>
  <c r="N1150" i="1"/>
  <c r="J1151" i="1"/>
  <c r="J1152" i="1" l="1"/>
  <c r="N1151" i="1"/>
  <c r="L1151" i="1"/>
  <c r="J1153" i="1" l="1"/>
  <c r="L1152" i="1"/>
  <c r="N1152" i="1"/>
  <c r="J1154" i="1" l="1"/>
  <c r="L1153" i="1"/>
  <c r="N1153" i="1"/>
  <c r="L1154" i="1" l="1"/>
  <c r="J1155" i="1"/>
  <c r="N1154" i="1"/>
  <c r="L1155" i="1" l="1"/>
  <c r="J1156" i="1"/>
  <c r="N1155" i="1"/>
  <c r="J1157" i="1" l="1"/>
  <c r="L1156" i="1"/>
  <c r="N1156" i="1"/>
  <c r="L1157" i="1" l="1"/>
  <c r="J1158" i="1"/>
  <c r="N1157" i="1"/>
  <c r="J1159" i="1" l="1"/>
  <c r="L1158" i="1"/>
  <c r="N1158" i="1"/>
  <c r="L1159" i="1" l="1"/>
  <c r="J1160" i="1"/>
  <c r="N1159" i="1"/>
  <c r="J1161" i="1" l="1"/>
  <c r="L1160" i="1"/>
  <c r="N1160" i="1"/>
  <c r="J1162" i="1" l="1"/>
  <c r="N1161" i="1"/>
  <c r="L1161" i="1"/>
  <c r="L1162" i="1" l="1"/>
  <c r="J1163" i="1"/>
  <c r="N1162" i="1"/>
  <c r="J1164" i="1" l="1"/>
  <c r="L1163" i="1"/>
  <c r="N1163" i="1"/>
  <c r="N1164" i="1" l="1"/>
  <c r="L1164" i="1"/>
  <c r="J1165" i="1"/>
  <c r="J1166" i="1" l="1"/>
  <c r="L1165" i="1"/>
  <c r="N1165" i="1"/>
  <c r="N1166" i="1" l="1"/>
  <c r="L1166" i="1"/>
  <c r="J1167" i="1"/>
  <c r="J1168" i="1" l="1"/>
  <c r="L1167" i="1"/>
  <c r="N1167" i="1"/>
  <c r="L1168" i="1" l="1"/>
  <c r="N1168" i="1"/>
  <c r="J1169" i="1"/>
  <c r="L1169" i="1" l="1"/>
  <c r="J1170" i="1"/>
  <c r="N1169" i="1"/>
  <c r="N1170" i="1" l="1"/>
  <c r="L1170" i="1"/>
  <c r="J1171" i="1"/>
  <c r="N1171" i="1" l="1"/>
  <c r="L1171" i="1"/>
  <c r="J1172" i="1"/>
  <c r="L1172" i="1" l="1"/>
  <c r="J1173" i="1"/>
  <c r="N1172" i="1"/>
  <c r="N1173" i="1" l="1"/>
  <c r="L1173" i="1"/>
  <c r="J1174" i="1"/>
  <c r="J1175" i="1" l="1"/>
  <c r="L1174" i="1"/>
  <c r="N1174" i="1"/>
  <c r="N1175" i="1" l="1"/>
  <c r="J1176" i="1"/>
  <c r="L1175" i="1"/>
  <c r="J1177" i="1" l="1"/>
  <c r="L1176" i="1"/>
  <c r="N1176" i="1"/>
  <c r="L1177" i="1" l="1"/>
  <c r="J1178" i="1"/>
  <c r="N1177" i="1"/>
  <c r="L1178" i="1" l="1"/>
  <c r="J1179" i="1"/>
  <c r="N1178" i="1"/>
  <c r="L1179" i="1" l="1"/>
  <c r="J1180" i="1"/>
  <c r="N1179" i="1"/>
  <c r="N1180" i="1" l="1"/>
  <c r="L1180" i="1"/>
  <c r="J1181" i="1"/>
  <c r="J1182" i="1" l="1"/>
  <c r="L1181" i="1"/>
  <c r="N1181" i="1"/>
  <c r="J1183" i="1" l="1"/>
  <c r="L1182" i="1"/>
  <c r="N1182" i="1"/>
  <c r="N1183" i="1" l="1"/>
  <c r="L1183" i="1"/>
  <c r="J1184" i="1"/>
  <c r="J1185" i="1" l="1"/>
  <c r="L1184" i="1"/>
  <c r="N1184" i="1"/>
  <c r="J1186" i="1" l="1"/>
  <c r="N1185" i="1"/>
  <c r="L1185" i="1"/>
  <c r="L1186" i="1" l="1"/>
  <c r="J1187" i="1"/>
  <c r="N1186" i="1"/>
  <c r="N1187" i="1" l="1"/>
  <c r="L1187" i="1"/>
  <c r="J1188" i="1"/>
  <c r="N1188" i="1" l="1"/>
  <c r="L1188" i="1"/>
  <c r="J1189" i="1"/>
  <c r="L1189" i="1" l="1"/>
  <c r="N1189" i="1"/>
  <c r="J1190" i="1"/>
  <c r="L1190" i="1" l="1"/>
  <c r="N1190" i="1"/>
  <c r="J1191" i="1"/>
  <c r="N1191" i="1" l="1"/>
  <c r="L1191" i="1"/>
  <c r="J1192" i="1"/>
  <c r="N1192" i="1" l="1"/>
  <c r="L1192" i="1"/>
  <c r="J1193" i="1"/>
  <c r="J1194" i="1" l="1"/>
  <c r="N1193" i="1"/>
  <c r="L1193" i="1"/>
  <c r="N1194" i="1" l="1"/>
  <c r="L1194" i="1"/>
  <c r="J1195" i="1"/>
  <c r="J1196" i="1" l="1"/>
  <c r="L1195" i="1"/>
  <c r="N1195" i="1"/>
  <c r="N1196" i="1" l="1"/>
  <c r="L1196" i="1"/>
  <c r="J1197" i="1"/>
  <c r="N1197" i="1" l="1"/>
  <c r="L1197" i="1"/>
  <c r="J1198" i="1"/>
  <c r="L1198" i="1" l="1"/>
  <c r="N1198" i="1"/>
  <c r="J1199" i="1"/>
  <c r="J1200" i="1" l="1"/>
  <c r="L1199" i="1"/>
  <c r="N1199" i="1"/>
  <c r="N1200" i="1" l="1"/>
  <c r="L1200" i="1"/>
  <c r="J1201" i="1"/>
  <c r="J1202" i="1" l="1"/>
  <c r="L1201" i="1"/>
  <c r="N1201" i="1"/>
  <c r="N1202" i="1" l="1"/>
  <c r="L1202" i="1"/>
  <c r="J1203" i="1"/>
  <c r="L1203" i="1" l="1"/>
  <c r="N1203" i="1"/>
  <c r="J1204" i="1"/>
  <c r="N1204" i="1" l="1"/>
  <c r="L1204" i="1"/>
  <c r="J1205" i="1"/>
  <c r="L1205" i="1" l="1"/>
  <c r="N1205" i="1"/>
  <c r="J1206" i="1"/>
  <c r="L1206" i="1" l="1"/>
  <c r="N1206" i="1"/>
  <c r="J1207" i="1"/>
  <c r="J1208" i="1" l="1"/>
  <c r="L1207" i="1"/>
  <c r="N1207" i="1"/>
  <c r="L1208" i="1" l="1"/>
  <c r="J1209" i="1"/>
  <c r="N1208" i="1"/>
  <c r="N1209" i="1" l="1"/>
  <c r="L1209" i="1"/>
  <c r="J1210" i="1"/>
  <c r="J1211" i="1" l="1"/>
  <c r="L1210" i="1"/>
  <c r="N1210" i="1"/>
  <c r="L1211" i="1" l="1"/>
  <c r="J1212" i="1"/>
  <c r="N1211" i="1"/>
  <c r="N1212" i="1" l="1"/>
  <c r="L1212" i="1"/>
  <c r="J1213" i="1"/>
  <c r="N1213" i="1" l="1"/>
  <c r="J1214" i="1"/>
  <c r="L1213" i="1"/>
  <c r="N1214" i="1" l="1"/>
  <c r="L1214" i="1"/>
  <c r="J1215" i="1"/>
  <c r="L1215" i="1" l="1"/>
  <c r="J1216" i="1"/>
  <c r="N1215" i="1"/>
  <c r="J1217" i="1" l="1"/>
  <c r="L1216" i="1"/>
  <c r="N1216" i="1"/>
  <c r="N1217" i="1" l="1"/>
  <c r="L1217" i="1"/>
  <c r="J1218" i="1"/>
  <c r="J1219" i="1" l="1"/>
  <c r="L1218" i="1"/>
  <c r="N1218" i="1"/>
  <c r="J1220" i="1" l="1"/>
  <c r="L1219" i="1"/>
  <c r="N1219" i="1"/>
  <c r="L1220" i="1" l="1"/>
  <c r="N1220" i="1"/>
  <c r="J1221" i="1"/>
  <c r="L1221" i="1" l="1"/>
  <c r="N1221" i="1"/>
  <c r="J1222" i="1"/>
  <c r="J1223" i="1" l="1"/>
  <c r="N1222" i="1"/>
  <c r="L1222" i="1"/>
  <c r="J1224" i="1" l="1"/>
  <c r="L1223" i="1"/>
  <c r="N1223" i="1"/>
  <c r="L1224" i="1" l="1"/>
  <c r="J1225" i="1"/>
  <c r="N1224" i="1"/>
  <c r="J1226" i="1" l="1"/>
  <c r="L1225" i="1"/>
  <c r="N1225" i="1"/>
  <c r="J1227" i="1" l="1"/>
  <c r="L1226" i="1"/>
  <c r="N1226" i="1"/>
  <c r="J1228" i="1" l="1"/>
  <c r="L1227" i="1"/>
  <c r="N1227" i="1"/>
  <c r="J1229" i="1" l="1"/>
  <c r="L1228" i="1"/>
  <c r="N1228" i="1"/>
  <c r="J1230" i="1" l="1"/>
  <c r="L1229" i="1"/>
  <c r="N1229" i="1"/>
  <c r="J1231" i="1" l="1"/>
  <c r="L1230" i="1"/>
  <c r="N1230" i="1"/>
  <c r="N1231" i="1" l="1"/>
  <c r="L1231" i="1"/>
  <c r="J1232" i="1"/>
  <c r="L1232" i="1" l="1"/>
  <c r="J1233" i="1"/>
  <c r="N1232" i="1"/>
  <c r="L1233" i="1" l="1"/>
  <c r="J1234" i="1"/>
  <c r="N1233" i="1"/>
  <c r="J1235" i="1" l="1"/>
  <c r="L1234" i="1"/>
  <c r="N1234" i="1"/>
  <c r="J1236" i="1" l="1"/>
  <c r="L1235" i="1"/>
  <c r="N1235" i="1"/>
  <c r="J1237" i="1" l="1"/>
  <c r="L1236" i="1"/>
  <c r="N1236" i="1"/>
  <c r="N1237" i="1" l="1"/>
  <c r="L1237" i="1"/>
  <c r="J1238" i="1"/>
  <c r="J1239" i="1" l="1"/>
  <c r="L1238" i="1"/>
  <c r="N1238" i="1"/>
  <c r="J1240" i="1" l="1"/>
  <c r="L1239" i="1"/>
  <c r="N1239" i="1"/>
  <c r="L1240" i="1" l="1"/>
  <c r="J1241" i="1"/>
  <c r="N1240" i="1"/>
  <c r="J1242" i="1" l="1"/>
  <c r="L1241" i="1"/>
  <c r="N1241" i="1"/>
  <c r="N1242" i="1" l="1"/>
  <c r="L1242" i="1"/>
  <c r="J1243" i="1"/>
  <c r="J1244" i="1" l="1"/>
  <c r="L1243" i="1"/>
  <c r="N1243" i="1"/>
  <c r="L1244" i="1" l="1"/>
  <c r="N1244" i="1"/>
  <c r="J1245" i="1"/>
  <c r="N1245" i="1" l="1"/>
  <c r="L1245" i="1"/>
  <c r="J1246" i="1"/>
  <c r="N1246" i="1" l="1"/>
  <c r="L1246" i="1"/>
  <c r="J1247" i="1"/>
  <c r="L1247" i="1" l="1"/>
  <c r="N1247" i="1"/>
  <c r="J1248" i="1"/>
  <c r="J1249" i="1" l="1"/>
  <c r="L1248" i="1"/>
  <c r="N1248" i="1"/>
  <c r="N1249" i="1" l="1"/>
  <c r="L1249" i="1"/>
  <c r="J1250" i="1"/>
  <c r="N1250" i="1" l="1"/>
  <c r="L1250" i="1"/>
  <c r="J1251" i="1"/>
  <c r="J1252" i="1" l="1"/>
  <c r="L1251" i="1"/>
  <c r="N1251" i="1"/>
  <c r="L1252" i="1" l="1"/>
  <c r="N1252" i="1"/>
  <c r="J1253" i="1"/>
  <c r="L1253" i="1" l="1"/>
  <c r="J1254" i="1"/>
  <c r="N1253" i="1"/>
  <c r="N1254" i="1" l="1"/>
  <c r="J1255" i="1"/>
  <c r="L1254" i="1"/>
  <c r="N1255" i="1" l="1"/>
  <c r="L1255" i="1"/>
  <c r="J1256" i="1"/>
  <c r="J1257" i="1" l="1"/>
  <c r="L1256" i="1"/>
  <c r="N1256" i="1"/>
  <c r="N1257" i="1" l="1"/>
  <c r="L1257" i="1"/>
  <c r="J1258" i="1"/>
  <c r="N1258" i="1" l="1"/>
  <c r="L1258" i="1"/>
  <c r="J1259" i="1"/>
  <c r="N1259" i="1" l="1"/>
  <c r="L1259" i="1"/>
  <c r="J1260" i="1"/>
  <c r="J1261" i="1" l="1"/>
  <c r="L1260" i="1"/>
  <c r="N1260" i="1"/>
  <c r="L1261" i="1" l="1"/>
  <c r="J1262" i="1"/>
  <c r="N1261" i="1"/>
  <c r="L1262" i="1" l="1"/>
  <c r="N1262" i="1"/>
  <c r="J1263" i="1"/>
  <c r="J1264" i="1" l="1"/>
  <c r="N1263" i="1"/>
  <c r="L1263" i="1"/>
  <c r="N1264" i="1" l="1"/>
  <c r="L1264" i="1"/>
  <c r="J1265" i="1"/>
  <c r="J1266" i="1" l="1"/>
  <c r="L1265" i="1"/>
  <c r="N1265" i="1"/>
  <c r="L1266" i="1" l="1"/>
  <c r="N1266" i="1"/>
  <c r="J1267" i="1"/>
  <c r="J1268" i="1" l="1"/>
  <c r="L1267" i="1"/>
  <c r="N1267" i="1"/>
  <c r="J1269" i="1" l="1"/>
  <c r="L1268" i="1"/>
  <c r="N1268" i="1"/>
  <c r="J1270" i="1" l="1"/>
  <c r="L1269" i="1"/>
  <c r="N1269" i="1"/>
  <c r="J1271" i="1" l="1"/>
  <c r="L1270" i="1"/>
  <c r="N1270" i="1"/>
  <c r="N1271" i="1" l="1"/>
  <c r="J1272" i="1"/>
  <c r="L1271" i="1"/>
  <c r="L1272" i="1" l="1"/>
  <c r="N1272" i="1"/>
  <c r="J1273" i="1"/>
  <c r="J1274" i="1" l="1"/>
  <c r="N1273" i="1"/>
  <c r="L1273" i="1"/>
  <c r="J1275" i="1" l="1"/>
  <c r="L1274" i="1"/>
  <c r="N1274" i="1"/>
  <c r="J1276" i="1" l="1"/>
  <c r="N1275" i="1"/>
  <c r="L1275" i="1"/>
  <c r="L1276" i="1" l="1"/>
  <c r="N1276" i="1"/>
  <c r="J1277" i="1"/>
  <c r="J1278" i="1" l="1"/>
  <c r="L1277" i="1"/>
  <c r="N1277" i="1"/>
  <c r="J1279" i="1" l="1"/>
  <c r="L1278" i="1"/>
  <c r="N1278" i="1"/>
  <c r="L1279" i="1" l="1"/>
  <c r="J1280" i="1"/>
  <c r="N1279" i="1"/>
  <c r="J1281" i="1" l="1"/>
  <c r="L1280" i="1"/>
  <c r="N1280" i="1"/>
  <c r="J1282" i="1" l="1"/>
  <c r="L1281" i="1"/>
  <c r="N1281" i="1"/>
  <c r="L1282" i="1" l="1"/>
  <c r="N1282" i="1"/>
  <c r="J1283" i="1"/>
  <c r="J1284" i="1" l="1"/>
  <c r="L1283" i="1"/>
  <c r="N1283" i="1"/>
  <c r="L1284" i="1" l="1"/>
  <c r="J1285" i="1"/>
  <c r="N1284" i="1"/>
  <c r="N1285" i="1" l="1"/>
  <c r="L1285" i="1"/>
  <c r="J1286" i="1"/>
  <c r="J1287" i="1" l="1"/>
  <c r="L1286" i="1"/>
  <c r="N1286" i="1"/>
  <c r="J1288" i="1" l="1"/>
  <c r="L1287" i="1"/>
  <c r="N1287" i="1"/>
  <c r="J1289" i="1" l="1"/>
  <c r="L1288" i="1"/>
  <c r="N1288" i="1"/>
  <c r="J1290" i="1" l="1"/>
  <c r="L1289" i="1"/>
  <c r="N1289" i="1"/>
  <c r="J1291" i="1" l="1"/>
  <c r="L1290" i="1"/>
  <c r="N1290" i="1"/>
  <c r="J1292" i="1" l="1"/>
  <c r="L1291" i="1"/>
  <c r="N1291" i="1"/>
  <c r="L1292" i="1" l="1"/>
  <c r="N1292" i="1"/>
  <c r="J1293" i="1"/>
  <c r="J1294" i="1" l="1"/>
  <c r="L1293" i="1"/>
  <c r="N1293" i="1"/>
  <c r="L1294" i="1" l="1"/>
  <c r="J1295" i="1"/>
  <c r="N1294" i="1"/>
  <c r="N1295" i="1" l="1"/>
  <c r="J1296" i="1"/>
  <c r="L1295" i="1"/>
  <c r="N1296" i="1" l="1"/>
  <c r="L1296" i="1"/>
  <c r="J1297" i="1"/>
  <c r="N1297" i="1" l="1"/>
  <c r="L1297" i="1"/>
  <c r="J1298" i="1"/>
  <c r="N1298" i="1" l="1"/>
  <c r="L1298" i="1"/>
  <c r="J1299" i="1"/>
  <c r="J1300" i="1" l="1"/>
  <c r="L1299" i="1"/>
  <c r="N1299" i="1"/>
  <c r="N1300" i="1" l="1"/>
  <c r="L1300" i="1"/>
  <c r="J1301" i="1"/>
  <c r="L1301" i="1" l="1"/>
  <c r="N1301" i="1"/>
  <c r="J1302" i="1"/>
  <c r="J1303" i="1" l="1"/>
  <c r="N1302" i="1"/>
  <c r="L1302" i="1"/>
  <c r="L1303" i="1" l="1"/>
  <c r="J1304" i="1"/>
  <c r="N1303" i="1"/>
  <c r="N1304" i="1" l="1"/>
  <c r="L1304" i="1"/>
  <c r="J1305" i="1"/>
  <c r="J1306" i="1" l="1"/>
  <c r="N1305" i="1"/>
  <c r="L1305" i="1"/>
  <c r="J1307" i="1" l="1"/>
  <c r="N1306" i="1"/>
  <c r="L1306" i="1"/>
  <c r="J1308" i="1" l="1"/>
  <c r="L1307" i="1"/>
  <c r="N1307" i="1"/>
  <c r="J1309" i="1" l="1"/>
  <c r="L1308" i="1"/>
  <c r="N1308" i="1"/>
  <c r="J1310" i="1" l="1"/>
  <c r="L1309" i="1"/>
  <c r="N1309" i="1"/>
  <c r="L1310" i="1" l="1"/>
  <c r="J1311" i="1"/>
  <c r="N1310" i="1"/>
  <c r="J1312" i="1" l="1"/>
  <c r="L1311" i="1"/>
  <c r="N1311" i="1"/>
  <c r="J1313" i="1" l="1"/>
  <c r="L1312" i="1"/>
  <c r="N1312" i="1"/>
  <c r="J1314" i="1" l="1"/>
  <c r="L1313" i="1"/>
  <c r="N1313" i="1"/>
  <c r="N1314" i="1" l="1"/>
  <c r="L1314" i="1"/>
  <c r="J1315" i="1"/>
  <c r="L1315" i="1" l="1"/>
  <c r="J1316" i="1"/>
  <c r="N1315" i="1"/>
  <c r="N1316" i="1" l="1"/>
  <c r="L1316" i="1"/>
  <c r="J1317" i="1"/>
  <c r="L1317" i="1" l="1"/>
  <c r="J1318" i="1"/>
  <c r="N1317" i="1"/>
  <c r="L1318" i="1" l="1"/>
  <c r="J1319" i="1"/>
  <c r="N1318" i="1"/>
  <c r="J1320" i="1" l="1"/>
  <c r="L1319" i="1"/>
  <c r="N1319" i="1"/>
  <c r="L1320" i="1" l="1"/>
  <c r="N1320" i="1"/>
  <c r="J1321" i="1"/>
  <c r="L1321" i="1" l="1"/>
  <c r="N1321" i="1"/>
  <c r="J1322" i="1"/>
  <c r="N1322" i="1" l="1"/>
  <c r="L1322" i="1"/>
  <c r="J1323" i="1"/>
  <c r="L1323" i="1" l="1"/>
  <c r="J1324" i="1"/>
  <c r="N1323" i="1"/>
  <c r="N1324" i="1" l="1"/>
  <c r="L1324" i="1"/>
  <c r="J1325" i="1"/>
  <c r="L1325" i="1" l="1"/>
  <c r="J1326" i="1"/>
  <c r="N1325" i="1"/>
  <c r="J1327" i="1" l="1"/>
  <c r="L1326" i="1"/>
  <c r="N1326" i="1"/>
  <c r="N1327" i="1" l="1"/>
  <c r="L1327" i="1"/>
  <c r="J1328" i="1"/>
  <c r="N1328" i="1" l="1"/>
  <c r="L1328" i="1"/>
  <c r="J1329" i="1"/>
  <c r="L1329" i="1" l="1"/>
  <c r="J1330" i="1"/>
  <c r="N1329" i="1"/>
  <c r="N1330" i="1" l="1"/>
  <c r="L1330" i="1"/>
  <c r="J1331" i="1"/>
  <c r="N1331" i="1" l="1"/>
  <c r="L1331" i="1"/>
  <c r="J1332" i="1"/>
  <c r="N1332" i="1" l="1"/>
  <c r="L1332" i="1"/>
  <c r="J1333" i="1"/>
  <c r="N1333" i="1" l="1"/>
  <c r="L1333" i="1"/>
  <c r="J1334" i="1"/>
  <c r="L1334" i="1" l="1"/>
  <c r="J1335" i="1"/>
  <c r="N1334" i="1"/>
  <c r="N1335" i="1" l="1"/>
  <c r="L1335" i="1"/>
  <c r="J1336" i="1"/>
  <c r="N1336" i="1" l="1"/>
  <c r="L1336" i="1"/>
  <c r="J1337" i="1"/>
  <c r="J1338" i="1" l="1"/>
  <c r="L1337" i="1"/>
  <c r="N1337" i="1"/>
  <c r="J1339" i="1" l="1"/>
  <c r="L1338" i="1"/>
  <c r="N1338" i="1"/>
  <c r="L1339" i="1" l="1"/>
  <c r="N1339" i="1"/>
  <c r="J1340" i="1"/>
  <c r="N1340" i="1" l="1"/>
  <c r="L1340" i="1"/>
  <c r="J1341" i="1"/>
  <c r="N1341" i="1" l="1"/>
  <c r="L1341" i="1"/>
  <c r="J1342" i="1"/>
  <c r="L1342" i="1" l="1"/>
  <c r="J1343" i="1"/>
  <c r="N1342" i="1"/>
  <c r="L1343" i="1" l="1"/>
  <c r="J1344" i="1"/>
  <c r="N1343" i="1"/>
  <c r="L1344" i="1" l="1"/>
  <c r="J1345" i="1"/>
  <c r="N1344" i="1"/>
  <c r="L1345" i="1" l="1"/>
  <c r="N1345" i="1"/>
  <c r="J1346" i="1"/>
  <c r="J1347" i="1" l="1"/>
  <c r="L1346" i="1"/>
  <c r="N1346" i="1"/>
  <c r="N1347" i="1" l="1"/>
  <c r="J1348" i="1"/>
  <c r="L1347" i="1"/>
  <c r="L1348" i="1" l="1"/>
  <c r="J1349" i="1"/>
  <c r="N1348" i="1"/>
  <c r="L1349" i="1" l="1"/>
  <c r="N1349" i="1"/>
  <c r="J1350" i="1"/>
  <c r="N1350" i="1" l="1"/>
  <c r="J1351" i="1"/>
  <c r="L1350" i="1"/>
  <c r="L1351" i="1" l="1"/>
  <c r="J1352" i="1"/>
  <c r="N1351" i="1"/>
  <c r="L1352" i="1" l="1"/>
  <c r="N1352" i="1"/>
  <c r="J1353" i="1"/>
  <c r="L1353" i="1" l="1"/>
  <c r="J1354" i="1"/>
  <c r="N1353" i="1"/>
  <c r="L1354" i="1" l="1"/>
  <c r="J1355" i="1"/>
  <c r="N1354" i="1"/>
  <c r="L1355" i="1" l="1"/>
  <c r="N1355" i="1"/>
  <c r="J1356" i="1"/>
  <c r="N1356" i="1" l="1"/>
  <c r="L1356" i="1"/>
  <c r="J1357" i="1"/>
  <c r="L1357" i="1" l="1"/>
  <c r="N1357" i="1"/>
  <c r="J1358" i="1"/>
  <c r="N1358" i="1" l="1"/>
  <c r="L1358" i="1"/>
  <c r="J1359" i="1"/>
  <c r="L1359" i="1" l="1"/>
  <c r="J1360" i="1"/>
  <c r="N1359" i="1"/>
  <c r="J1361" i="1" l="1"/>
  <c r="L1360" i="1"/>
  <c r="N1360" i="1"/>
  <c r="L1361" i="1" l="1"/>
  <c r="J1362" i="1"/>
  <c r="N1361" i="1"/>
  <c r="J1363" i="1" l="1"/>
  <c r="L1362" i="1"/>
  <c r="N1362" i="1"/>
  <c r="L1363" i="1" l="1"/>
  <c r="N1363" i="1"/>
  <c r="J1364" i="1"/>
  <c r="J1365" i="1" l="1"/>
  <c r="L1364" i="1"/>
  <c r="N1364" i="1"/>
  <c r="J1366" i="1" l="1"/>
  <c r="L1365" i="1"/>
  <c r="N1365" i="1"/>
  <c r="L1366" i="1" l="1"/>
  <c r="N1366" i="1"/>
  <c r="J1367" i="1"/>
  <c r="N1367" i="1" l="1"/>
  <c r="L1367" i="1"/>
  <c r="J1368" i="1"/>
  <c r="L1368" i="1" l="1"/>
  <c r="J1369" i="1"/>
  <c r="N1368" i="1"/>
  <c r="L1369" i="1" l="1"/>
  <c r="N1369" i="1"/>
  <c r="J1370" i="1"/>
  <c r="J1371" i="1" l="1"/>
  <c r="L1370" i="1"/>
  <c r="N1370" i="1"/>
  <c r="N1371" i="1" l="1"/>
  <c r="L1371" i="1"/>
  <c r="J1372" i="1"/>
  <c r="J1373" i="1" l="1"/>
  <c r="L1372" i="1"/>
  <c r="N1372" i="1"/>
  <c r="N1373" i="1" l="1"/>
  <c r="J1374" i="1"/>
  <c r="L1373" i="1"/>
  <c r="N1374" i="1" l="1"/>
  <c r="J1375" i="1"/>
  <c r="L1374" i="1"/>
  <c r="J1376" i="1" l="1"/>
  <c r="L1375" i="1"/>
  <c r="N1375" i="1"/>
  <c r="N1376" i="1" l="1"/>
  <c r="L1376" i="1"/>
  <c r="J1377" i="1"/>
  <c r="N1377" i="1" l="1"/>
  <c r="L1377" i="1"/>
  <c r="J1378" i="1"/>
  <c r="N1378" i="1" l="1"/>
  <c r="L1378" i="1"/>
  <c r="J1379" i="1"/>
  <c r="N1379" i="1" l="1"/>
  <c r="L1379" i="1"/>
  <c r="J1380" i="1"/>
  <c r="J1381" i="1" l="1"/>
  <c r="L1380" i="1"/>
  <c r="N1380" i="1"/>
  <c r="N1381" i="1" l="1"/>
  <c r="L1381" i="1"/>
  <c r="J1382" i="1"/>
  <c r="L1382" i="1" l="1"/>
  <c r="N1382" i="1"/>
  <c r="J1383" i="1"/>
  <c r="N1383" i="1" l="1"/>
  <c r="L1383" i="1"/>
  <c r="J1384" i="1"/>
  <c r="N1384" i="1" l="1"/>
  <c r="L1384" i="1"/>
  <c r="J1385" i="1"/>
  <c r="J1386" i="1" l="1"/>
  <c r="L1385" i="1"/>
  <c r="N1385" i="1"/>
  <c r="N1386" i="1" l="1"/>
  <c r="L1386" i="1"/>
  <c r="J1387" i="1"/>
  <c r="J1388" i="1" l="1"/>
  <c r="L1387" i="1"/>
  <c r="N1387" i="1"/>
  <c r="N1388" i="1" l="1"/>
  <c r="J1389" i="1"/>
  <c r="L1388" i="1"/>
  <c r="J1390" i="1" l="1"/>
  <c r="L1389" i="1"/>
  <c r="N1389" i="1"/>
  <c r="N1390" i="1" l="1"/>
  <c r="J1391" i="1"/>
  <c r="L1390" i="1"/>
  <c r="J1392" i="1" l="1"/>
  <c r="L1391" i="1"/>
  <c r="N1391" i="1"/>
  <c r="J1393" i="1" l="1"/>
  <c r="L1392" i="1"/>
  <c r="N1392" i="1"/>
  <c r="L1393" i="1" l="1"/>
  <c r="J1394" i="1"/>
  <c r="N1393" i="1"/>
  <c r="J1395" i="1" l="1"/>
  <c r="L1394" i="1"/>
  <c r="N1394" i="1"/>
  <c r="J1396" i="1" l="1"/>
  <c r="L1395" i="1"/>
  <c r="N1395" i="1"/>
  <c r="J1397" i="1" l="1"/>
  <c r="L1396" i="1"/>
  <c r="N1396" i="1"/>
  <c r="N1397" i="1" l="1"/>
  <c r="L1397" i="1"/>
  <c r="J1398" i="1"/>
  <c r="J1399" i="1" l="1"/>
  <c r="L1398" i="1"/>
  <c r="N1398" i="1"/>
  <c r="N1399" i="1" l="1"/>
  <c r="L1399" i="1"/>
  <c r="J1400" i="1"/>
  <c r="L1400" i="1" l="1"/>
  <c r="J1401" i="1"/>
  <c r="N1400" i="1"/>
  <c r="J1402" i="1" l="1"/>
  <c r="L1401" i="1"/>
  <c r="N1401" i="1"/>
  <c r="J1403" i="1" l="1"/>
  <c r="L1402" i="1"/>
  <c r="N1402" i="1"/>
  <c r="L1403" i="1" l="1"/>
  <c r="J1404" i="1"/>
  <c r="N1403" i="1"/>
  <c r="N1404" i="1" l="1"/>
  <c r="J1405" i="1"/>
  <c r="L1404" i="1"/>
  <c r="N1405" i="1" l="1"/>
  <c r="L1405" i="1"/>
  <c r="J1406" i="1"/>
  <c r="L1406" i="1" l="1"/>
  <c r="N1406" i="1"/>
  <c r="J1407" i="1"/>
  <c r="L1407" i="1" l="1"/>
  <c r="N1407" i="1"/>
  <c r="J1408" i="1"/>
  <c r="N1408" i="1" l="1"/>
  <c r="L1408" i="1"/>
  <c r="J1409" i="1"/>
  <c r="N1409" i="1" l="1"/>
  <c r="L1409" i="1"/>
  <c r="J1410" i="1"/>
  <c r="L1410" i="1" l="1"/>
  <c r="N1410" i="1"/>
  <c r="J1411" i="1"/>
  <c r="N1411" i="1" l="1"/>
  <c r="J1412" i="1"/>
  <c r="L1411" i="1"/>
  <c r="J1413" i="1" l="1"/>
  <c r="L1412" i="1"/>
  <c r="N1412" i="1"/>
  <c r="J1414" i="1" l="1"/>
  <c r="N1413" i="1"/>
  <c r="L1413" i="1"/>
  <c r="L1414" i="1" l="1"/>
  <c r="J1415" i="1"/>
  <c r="N1414" i="1"/>
  <c r="L1415" i="1" l="1"/>
  <c r="J1416" i="1"/>
  <c r="N1415" i="1"/>
  <c r="J1417" i="1" l="1"/>
  <c r="N1416" i="1"/>
  <c r="L1416" i="1"/>
  <c r="J1418" i="1" l="1"/>
  <c r="L1417" i="1"/>
  <c r="N1417" i="1"/>
  <c r="L1418" i="1" l="1"/>
  <c r="N1418" i="1"/>
  <c r="J1419" i="1"/>
  <c r="J1420" i="1" l="1"/>
  <c r="L1419" i="1"/>
  <c r="N1419" i="1"/>
  <c r="N1420" i="1" l="1"/>
  <c r="J1421" i="1"/>
  <c r="L1420" i="1"/>
  <c r="L1421" i="1" l="1"/>
  <c r="J1422" i="1"/>
  <c r="N1421" i="1"/>
  <c r="L1422" i="1" l="1"/>
  <c r="N1422" i="1"/>
  <c r="J1423" i="1"/>
  <c r="L1423" i="1" l="1"/>
  <c r="J1424" i="1"/>
  <c r="N1423" i="1"/>
  <c r="J1425" i="1" l="1"/>
  <c r="L1424" i="1"/>
  <c r="N1424" i="1"/>
  <c r="J1426" i="1" l="1"/>
  <c r="N1425" i="1"/>
  <c r="L1425" i="1"/>
  <c r="N1426" i="1" l="1"/>
  <c r="L1426" i="1"/>
  <c r="J1427" i="1"/>
  <c r="L1427" i="1" l="1"/>
  <c r="J1428" i="1"/>
  <c r="N1427" i="1"/>
  <c r="J1429" i="1" l="1"/>
  <c r="L1428" i="1"/>
  <c r="N1428" i="1"/>
  <c r="J1430" i="1" l="1"/>
  <c r="L1429" i="1"/>
  <c r="N1429" i="1"/>
  <c r="L1430" i="1" l="1"/>
  <c r="N1430" i="1"/>
  <c r="J1431" i="1"/>
  <c r="L1431" i="1" l="1"/>
  <c r="J1432" i="1"/>
  <c r="N1431" i="1"/>
  <c r="N1432" i="1" l="1"/>
  <c r="L1432" i="1"/>
  <c r="J1433" i="1"/>
  <c r="J1434" i="1" l="1"/>
  <c r="L1433" i="1"/>
  <c r="N1433" i="1"/>
  <c r="L1434" i="1" l="1"/>
  <c r="N1434" i="1"/>
  <c r="J1435" i="1"/>
  <c r="J1436" i="1" l="1"/>
  <c r="L1435" i="1"/>
  <c r="N1435" i="1"/>
  <c r="L1436" i="1" l="1"/>
  <c r="J1437" i="1"/>
  <c r="N1436" i="1"/>
  <c r="L1437" i="1" l="1"/>
  <c r="J1438" i="1"/>
  <c r="N1437" i="1"/>
  <c r="L1438" i="1" l="1"/>
  <c r="N1438" i="1"/>
  <c r="J1439" i="1"/>
  <c r="J1440" i="1" l="1"/>
  <c r="L1439" i="1"/>
  <c r="N1439" i="1"/>
  <c r="J1441" i="1" l="1"/>
  <c r="N1440" i="1"/>
  <c r="L1440" i="1"/>
  <c r="L1441" i="1" l="1"/>
  <c r="J1442" i="1"/>
  <c r="N1441" i="1"/>
  <c r="N1442" i="1" l="1"/>
  <c r="L1442" i="1"/>
  <c r="J1443" i="1"/>
  <c r="J1444" i="1" l="1"/>
  <c r="N1443" i="1"/>
  <c r="L1443" i="1"/>
  <c r="L1444" i="1" l="1"/>
  <c r="J1445" i="1"/>
  <c r="N1444" i="1"/>
  <c r="J1446" i="1" l="1"/>
  <c r="L1445" i="1"/>
  <c r="N1445" i="1"/>
  <c r="L1446" i="1" l="1"/>
  <c r="J1447" i="1"/>
  <c r="N1446" i="1"/>
  <c r="N1447" i="1" l="1"/>
  <c r="L1447" i="1"/>
  <c r="J1448" i="1"/>
  <c r="N1448" i="1" l="1"/>
  <c r="L1448" i="1"/>
  <c r="J1449" i="1"/>
  <c r="N1449" i="1" l="1"/>
  <c r="J1450" i="1"/>
  <c r="L1449" i="1"/>
  <c r="J1451" i="1" l="1"/>
  <c r="L1450" i="1"/>
  <c r="N1450" i="1"/>
  <c r="N1451" i="1" l="1"/>
  <c r="J1452" i="1"/>
  <c r="L1451" i="1"/>
  <c r="J1453" i="1" l="1"/>
  <c r="L1452" i="1"/>
  <c r="N1452" i="1"/>
  <c r="N1453" i="1" l="1"/>
  <c r="L1453" i="1"/>
  <c r="J1454" i="1"/>
  <c r="J1455" i="1" l="1"/>
  <c r="L1454" i="1"/>
  <c r="N1454" i="1"/>
  <c r="N1455" i="1" l="1"/>
  <c r="L1455" i="1"/>
  <c r="J1456" i="1"/>
  <c r="J1457" i="1" l="1"/>
  <c r="L1456" i="1"/>
  <c r="N1456" i="1"/>
  <c r="J1458" i="1" l="1"/>
  <c r="N1457" i="1"/>
  <c r="L1457" i="1"/>
  <c r="J1459" i="1" l="1"/>
  <c r="L1458" i="1"/>
  <c r="N1458" i="1"/>
  <c r="J1460" i="1" l="1"/>
  <c r="L1459" i="1"/>
  <c r="N1459" i="1"/>
  <c r="N1460" i="1" l="1"/>
  <c r="L1460" i="1"/>
  <c r="J1461" i="1"/>
  <c r="J1462" i="1" l="1"/>
  <c r="L1461" i="1"/>
  <c r="N1461" i="1"/>
  <c r="N1462" i="1" l="1"/>
  <c r="L1462" i="1"/>
  <c r="J1463" i="1"/>
  <c r="N1463" i="1" l="1"/>
  <c r="L1463" i="1"/>
  <c r="J1464" i="1"/>
  <c r="L1464" i="1" l="1"/>
  <c r="N1464" i="1"/>
  <c r="J1465" i="1"/>
  <c r="N1465" i="1" l="1"/>
  <c r="L1465" i="1"/>
  <c r="J1466" i="1"/>
  <c r="J1467" i="1" l="1"/>
  <c r="L1466" i="1"/>
  <c r="N1466" i="1"/>
  <c r="J1468" i="1" l="1"/>
  <c r="L1467" i="1"/>
  <c r="N1467" i="1"/>
  <c r="N1468" i="1" l="1"/>
  <c r="L1468" i="1"/>
  <c r="J1469" i="1"/>
  <c r="J1470" i="1" l="1"/>
  <c r="L1469" i="1"/>
  <c r="N1469" i="1"/>
  <c r="N1470" i="1" l="1"/>
  <c r="L1470" i="1"/>
  <c r="J1471" i="1"/>
  <c r="N1471" i="1" l="1"/>
  <c r="L1471" i="1"/>
  <c r="J1472" i="1"/>
  <c r="N1472" i="1" l="1"/>
  <c r="L1472" i="1"/>
  <c r="J1473" i="1"/>
  <c r="N1473" i="1" l="1"/>
  <c r="L1473" i="1"/>
  <c r="J1474" i="1"/>
  <c r="N1474" i="1" l="1"/>
  <c r="L1474" i="1"/>
  <c r="J1475" i="1"/>
  <c r="J1476" i="1" l="1"/>
  <c r="L1475" i="1"/>
  <c r="N1475" i="1"/>
  <c r="J1477" i="1" l="1"/>
  <c r="L1476" i="1"/>
  <c r="N1476" i="1"/>
  <c r="N1477" i="1" l="1"/>
  <c r="L1477" i="1"/>
  <c r="J1478" i="1"/>
  <c r="L1478" i="1" l="1"/>
  <c r="J1479" i="1"/>
  <c r="N1478" i="1"/>
  <c r="N1479" i="1" l="1"/>
  <c r="L1479" i="1"/>
  <c r="J1480" i="1"/>
  <c r="J1481" i="1" l="1"/>
  <c r="L1480" i="1"/>
  <c r="N1480" i="1"/>
  <c r="L1481" i="1" l="1"/>
  <c r="J1482" i="1"/>
  <c r="N1481" i="1"/>
  <c r="N1482" i="1" l="1"/>
  <c r="L1482" i="1"/>
  <c r="J1483" i="1"/>
  <c r="J1484" i="1" l="1"/>
  <c r="L1483" i="1"/>
  <c r="N1483" i="1"/>
  <c r="N1484" i="1" l="1"/>
  <c r="J1485" i="1"/>
  <c r="L1484" i="1"/>
  <c r="L1485" i="1" l="1"/>
  <c r="N1485" i="1"/>
  <c r="J1486" i="1"/>
  <c r="L1486" i="1" l="1"/>
  <c r="N1486" i="1"/>
  <c r="J1487" i="1"/>
  <c r="J1488" i="1" l="1"/>
  <c r="L1487" i="1"/>
  <c r="N1487" i="1"/>
  <c r="J1489" i="1" l="1"/>
  <c r="L1488" i="1"/>
  <c r="N1488" i="1"/>
  <c r="N1489" i="1" l="1"/>
  <c r="J1490" i="1"/>
  <c r="L1489" i="1"/>
  <c r="N1490" i="1" l="1"/>
  <c r="L1490" i="1"/>
  <c r="J1491" i="1"/>
  <c r="L1491" i="1" l="1"/>
  <c r="N1491" i="1"/>
  <c r="J1492" i="1"/>
  <c r="L1492" i="1" l="1"/>
  <c r="J1493" i="1"/>
  <c r="N1492" i="1"/>
  <c r="J1494" i="1" l="1"/>
  <c r="L1493" i="1"/>
  <c r="N1493" i="1"/>
  <c r="L1494" i="1" l="1"/>
  <c r="J1495" i="1"/>
  <c r="N1494" i="1"/>
  <c r="N1495" i="1" l="1"/>
  <c r="L1495" i="1"/>
  <c r="J1496" i="1"/>
  <c r="N1496" i="1" l="1"/>
  <c r="L1496" i="1"/>
  <c r="J1497" i="1"/>
  <c r="N1497" i="1" l="1"/>
  <c r="L1497" i="1"/>
  <c r="J1498" i="1"/>
  <c r="L1498" i="1" l="1"/>
  <c r="J1499" i="1"/>
  <c r="N1498" i="1"/>
  <c r="J1500" i="1" l="1"/>
  <c r="L1499" i="1"/>
  <c r="N1499" i="1"/>
  <c r="L1500" i="1" l="1"/>
  <c r="N1500" i="1"/>
  <c r="J1501" i="1"/>
  <c r="N1501" i="1" l="1"/>
  <c r="L1501" i="1"/>
  <c r="J1502" i="1"/>
  <c r="J1503" i="1" l="1"/>
  <c r="N1502" i="1"/>
  <c r="L1502" i="1"/>
  <c r="J1504" i="1" l="1"/>
  <c r="L1503" i="1"/>
  <c r="N1503" i="1"/>
  <c r="N1504" i="1" l="1"/>
  <c r="L1504" i="1"/>
  <c r="J1505" i="1"/>
  <c r="N1505" i="1" l="1"/>
  <c r="L1505" i="1"/>
  <c r="J1506" i="1"/>
  <c r="N1506" i="1" l="1"/>
  <c r="L1506" i="1"/>
  <c r="J1507" i="1"/>
  <c r="L1507" i="1" l="1"/>
  <c r="N1507" i="1"/>
  <c r="J1508" i="1"/>
  <c r="N1508" i="1" l="1"/>
  <c r="J1509" i="1"/>
  <c r="L1508" i="1"/>
  <c r="N1509" i="1" l="1"/>
  <c r="J1510" i="1"/>
  <c r="L1509" i="1"/>
  <c r="L1510" i="1" l="1"/>
  <c r="N1510" i="1"/>
  <c r="J1511" i="1"/>
  <c r="J1512" i="1" l="1"/>
  <c r="L1511" i="1"/>
  <c r="N1511" i="1"/>
  <c r="J1513" i="1" l="1"/>
  <c r="L1512" i="1"/>
  <c r="N1512" i="1"/>
  <c r="N1513" i="1" l="1"/>
  <c r="L1513" i="1"/>
  <c r="J1514" i="1"/>
  <c r="N1514" i="1" l="1"/>
  <c r="L1514" i="1"/>
  <c r="J1515" i="1"/>
  <c r="J1516" i="1" l="1"/>
  <c r="L1515" i="1"/>
  <c r="N1515" i="1"/>
  <c r="J1517" i="1" l="1"/>
  <c r="L1516" i="1"/>
  <c r="N1516" i="1"/>
  <c r="J1518" i="1" l="1"/>
  <c r="L1517" i="1"/>
  <c r="N1517" i="1"/>
  <c r="L1518" i="1" l="1"/>
  <c r="N1518" i="1"/>
  <c r="J1519" i="1"/>
  <c r="N1519" i="1" l="1"/>
  <c r="L1519" i="1"/>
  <c r="J1520" i="1"/>
  <c r="J1521" i="1" l="1"/>
  <c r="L1520" i="1"/>
  <c r="N1520" i="1"/>
  <c r="J1522" i="1" l="1"/>
  <c r="L1521" i="1"/>
  <c r="N1521" i="1"/>
  <c r="L1522" i="1" l="1"/>
  <c r="N1522" i="1"/>
  <c r="J1523" i="1"/>
  <c r="L1523" i="1" l="1"/>
  <c r="N1523" i="1"/>
  <c r="J1524" i="1"/>
  <c r="J1525" i="1" l="1"/>
  <c r="L1524" i="1"/>
  <c r="N1524" i="1"/>
  <c r="J1526" i="1" l="1"/>
  <c r="L1525" i="1"/>
  <c r="N1525" i="1"/>
  <c r="L1526" i="1" l="1"/>
  <c r="N1526" i="1"/>
  <c r="J1527" i="1"/>
  <c r="N1527" i="1" l="1"/>
  <c r="L1527" i="1"/>
  <c r="J1528" i="1"/>
  <c r="J1529" i="1" l="1"/>
  <c r="L1528" i="1"/>
  <c r="N1528" i="1"/>
  <c r="N1529" i="1" l="1"/>
  <c r="L1529" i="1"/>
  <c r="J1530" i="1"/>
  <c r="N1530" i="1" l="1"/>
  <c r="L1530" i="1"/>
  <c r="J1531" i="1"/>
  <c r="N1531" i="1" l="1"/>
  <c r="L1531" i="1"/>
  <c r="J1532" i="1"/>
  <c r="J1533" i="1" l="1"/>
  <c r="L1532" i="1"/>
  <c r="N1532" i="1"/>
  <c r="J1534" i="1" l="1"/>
  <c r="N1533" i="1"/>
  <c r="L1533" i="1"/>
  <c r="L1534" i="1" l="1"/>
  <c r="N1534" i="1"/>
  <c r="J1535" i="1"/>
  <c r="J1536" i="1" l="1"/>
  <c r="N1535" i="1"/>
  <c r="L1535" i="1"/>
  <c r="J1537" i="1" l="1"/>
  <c r="L1536" i="1"/>
  <c r="N1536" i="1"/>
  <c r="N1537" i="1" l="1"/>
  <c r="L1537" i="1"/>
  <c r="J1538" i="1"/>
  <c r="L1538" i="1" l="1"/>
  <c r="N1538" i="1"/>
  <c r="J1539" i="1"/>
  <c r="J1540" i="1" l="1"/>
  <c r="L1539" i="1"/>
  <c r="N1539" i="1"/>
  <c r="J1541" i="1" l="1"/>
  <c r="L1540" i="1"/>
  <c r="N1540" i="1"/>
  <c r="J1542" i="1" l="1"/>
  <c r="N1541" i="1"/>
  <c r="L1541" i="1"/>
  <c r="L1542" i="1" l="1"/>
  <c r="J1543" i="1"/>
  <c r="N1542" i="1"/>
  <c r="L1543" i="1" l="1"/>
  <c r="J1544" i="1"/>
  <c r="N1543" i="1"/>
  <c r="L1544" i="1" l="1"/>
  <c r="N1544" i="1"/>
  <c r="J1545" i="1"/>
  <c r="L1545" i="1" l="1"/>
  <c r="J1546" i="1"/>
  <c r="N1545" i="1"/>
  <c r="J1547" i="1" l="1"/>
  <c r="L1546" i="1"/>
  <c r="N1546" i="1"/>
  <c r="N1547" i="1" l="1"/>
  <c r="L1547" i="1"/>
  <c r="J1548" i="1"/>
  <c r="L1548" i="1" l="1"/>
  <c r="J1549" i="1"/>
  <c r="N1548" i="1"/>
  <c r="L1549" i="1" l="1"/>
  <c r="J1550" i="1"/>
  <c r="N1549" i="1"/>
  <c r="L1550" i="1" l="1"/>
  <c r="N1550" i="1"/>
  <c r="J1551" i="1"/>
  <c r="L1551" i="1" l="1"/>
  <c r="J1552" i="1"/>
  <c r="N1551" i="1"/>
  <c r="J1553" i="1" l="1"/>
  <c r="N1552" i="1"/>
  <c r="L1552" i="1"/>
  <c r="N1553" i="1" l="1"/>
  <c r="L1553" i="1"/>
  <c r="J1554" i="1"/>
  <c r="L1554" i="1" l="1"/>
  <c r="N1554" i="1"/>
  <c r="J1555" i="1"/>
  <c r="L1555" i="1" l="1"/>
  <c r="N1555" i="1"/>
  <c r="J1556" i="1"/>
  <c r="J1557" i="1" l="1"/>
  <c r="L1556" i="1"/>
  <c r="N1556" i="1"/>
  <c r="L1557" i="1" l="1"/>
  <c r="J1558" i="1"/>
  <c r="N1557" i="1"/>
  <c r="N1558" i="1" l="1"/>
  <c r="J1559" i="1"/>
  <c r="L1558" i="1"/>
  <c r="J1560" i="1" l="1"/>
  <c r="N1559" i="1"/>
  <c r="L1559" i="1"/>
  <c r="L1560" i="1" l="1"/>
  <c r="J1561" i="1"/>
  <c r="N1560" i="1"/>
  <c r="J1562" i="1" l="1"/>
  <c r="L1561" i="1"/>
  <c r="N1561" i="1"/>
  <c r="N1562" i="1" l="1"/>
  <c r="L1562" i="1"/>
  <c r="J1563" i="1"/>
  <c r="L1563" i="1" l="1"/>
  <c r="J1564" i="1"/>
  <c r="N1563" i="1"/>
  <c r="N1564" i="1" l="1"/>
  <c r="J1565" i="1"/>
  <c r="L1564" i="1"/>
  <c r="N1565" i="1" l="1"/>
  <c r="J1566" i="1"/>
  <c r="L1565" i="1"/>
  <c r="L1566" i="1" l="1"/>
  <c r="N1566" i="1"/>
  <c r="J1567" i="1"/>
  <c r="J1568" i="1" l="1"/>
  <c r="N1567" i="1"/>
  <c r="L1567" i="1"/>
  <c r="J1569" i="1" l="1"/>
  <c r="N1568" i="1"/>
  <c r="L1568" i="1"/>
  <c r="J1570" i="1" l="1"/>
  <c r="L1569" i="1"/>
  <c r="N1569" i="1"/>
  <c r="N1570" i="1" l="1"/>
  <c r="L1570" i="1"/>
  <c r="J1571" i="1"/>
  <c r="J1572" i="1" l="1"/>
  <c r="L1571" i="1"/>
  <c r="N1571" i="1"/>
  <c r="N1572" i="1" l="1"/>
  <c r="L1572" i="1"/>
  <c r="J1573" i="1"/>
  <c r="N1573" i="1" l="1"/>
  <c r="J1574" i="1"/>
  <c r="L1573" i="1"/>
  <c r="J1575" i="1" l="1"/>
  <c r="L1574" i="1"/>
  <c r="N1574" i="1"/>
  <c r="N1575" i="1" l="1"/>
  <c r="J1576" i="1"/>
  <c r="L1575" i="1"/>
  <c r="N1576" i="1" l="1"/>
  <c r="L1576" i="1"/>
  <c r="J1577" i="1"/>
  <c r="N1577" i="1" l="1"/>
  <c r="J1578" i="1"/>
  <c r="L1577" i="1"/>
  <c r="J1579" i="1" l="1"/>
  <c r="L1578" i="1"/>
  <c r="N1578" i="1"/>
  <c r="N1579" i="1" l="1"/>
  <c r="L1579" i="1"/>
  <c r="J1580" i="1"/>
  <c r="N1580" i="1" l="1"/>
  <c r="J1581" i="1"/>
  <c r="L1580" i="1"/>
  <c r="N1581" i="1" l="1"/>
  <c r="L1581" i="1"/>
  <c r="J1582" i="1"/>
  <c r="N1582" i="1" l="1"/>
  <c r="L1582" i="1"/>
  <c r="J1583" i="1"/>
  <c r="J1584" i="1" l="1"/>
  <c r="L1583" i="1"/>
  <c r="N1583" i="1"/>
  <c r="N1584" i="1" l="1"/>
  <c r="L1584" i="1"/>
  <c r="J1585" i="1"/>
  <c r="J1586" i="1" l="1"/>
  <c r="L1585" i="1"/>
  <c r="N1585" i="1"/>
  <c r="L1586" i="1" l="1"/>
  <c r="N1586" i="1"/>
  <c r="J1587" i="1"/>
  <c r="N1587" i="1" l="1"/>
  <c r="L1587" i="1"/>
  <c r="J1588" i="1"/>
  <c r="L1588" i="1" l="1"/>
  <c r="J1589" i="1"/>
  <c r="N1588" i="1"/>
  <c r="J1590" i="1" l="1"/>
  <c r="L1589" i="1"/>
  <c r="N1589" i="1"/>
  <c r="L1590" i="1" l="1"/>
  <c r="N1590" i="1"/>
  <c r="J1591" i="1"/>
  <c r="J1592" i="1" l="1"/>
  <c r="L1591" i="1"/>
  <c r="N1591" i="1"/>
  <c r="J1593" i="1" l="1"/>
  <c r="L1592" i="1"/>
  <c r="N1592" i="1"/>
  <c r="N1593" i="1" l="1"/>
  <c r="L1593" i="1"/>
  <c r="J1594" i="1"/>
  <c r="J1595" i="1" l="1"/>
  <c r="L1594" i="1"/>
  <c r="N1594" i="1"/>
  <c r="N1595" i="1" l="1"/>
  <c r="L1595" i="1"/>
  <c r="J1596" i="1"/>
  <c r="N1596" i="1" l="1"/>
  <c r="L1596" i="1"/>
  <c r="J1597" i="1"/>
  <c r="J1598" i="1" l="1"/>
  <c r="L1597" i="1"/>
  <c r="N1597" i="1"/>
  <c r="L1598" i="1" l="1"/>
  <c r="J1599" i="1"/>
  <c r="N1598" i="1"/>
  <c r="J1600" i="1" l="1"/>
  <c r="L1599" i="1"/>
  <c r="N1599" i="1"/>
  <c r="L1600" i="1" l="1"/>
  <c r="N1600" i="1"/>
  <c r="J1601" i="1"/>
  <c r="L1601" i="1" l="1"/>
  <c r="J1602" i="1"/>
  <c r="N1601" i="1"/>
  <c r="J1603" i="1" l="1"/>
  <c r="L1602" i="1"/>
  <c r="N1602" i="1"/>
  <c r="J1604" i="1" l="1"/>
  <c r="L1603" i="1"/>
  <c r="N1603" i="1"/>
  <c r="L1604" i="1" l="1"/>
  <c r="N1604" i="1"/>
  <c r="J1605" i="1"/>
  <c r="J1606" i="1" l="1"/>
  <c r="L1605" i="1"/>
  <c r="N1605" i="1"/>
  <c r="J1607" i="1" l="1"/>
  <c r="L1606" i="1"/>
  <c r="N1606" i="1"/>
  <c r="J1608" i="1" l="1"/>
  <c r="L1607" i="1"/>
  <c r="N1607" i="1"/>
  <c r="L1608" i="1" l="1"/>
  <c r="J1609" i="1"/>
  <c r="N1608" i="1"/>
  <c r="N1609" i="1" l="1"/>
  <c r="L1609" i="1"/>
  <c r="J1610" i="1"/>
  <c r="J1611" i="1" l="1"/>
  <c r="L1610" i="1"/>
  <c r="N1610" i="1"/>
  <c r="N1611" i="1" l="1"/>
  <c r="J1612" i="1"/>
  <c r="L1611" i="1"/>
  <c r="N1612" i="1" l="1"/>
  <c r="L1612" i="1"/>
  <c r="J1613" i="1"/>
  <c r="L1613" i="1" l="1"/>
  <c r="J1614" i="1"/>
  <c r="N1613" i="1"/>
  <c r="L1614" i="1" l="1"/>
  <c r="J1615" i="1"/>
  <c r="N1614" i="1"/>
  <c r="J1616" i="1" l="1"/>
  <c r="L1615" i="1"/>
  <c r="N1615" i="1"/>
  <c r="J1617" i="1" l="1"/>
  <c r="N1616" i="1"/>
  <c r="L1616" i="1"/>
  <c r="L1617" i="1" l="1"/>
  <c r="J1618" i="1"/>
  <c r="N1617" i="1"/>
  <c r="N1618" i="1" l="1"/>
  <c r="L1618" i="1"/>
  <c r="J1619" i="1"/>
  <c r="N1619" i="1" l="1"/>
  <c r="L1619" i="1"/>
  <c r="J1620" i="1"/>
  <c r="J1621" i="1" l="1"/>
  <c r="L1620" i="1"/>
  <c r="N1620" i="1"/>
  <c r="J1622" i="1" l="1"/>
  <c r="L1621" i="1"/>
  <c r="N1621" i="1"/>
  <c r="L1622" i="1" l="1"/>
  <c r="J1623" i="1"/>
  <c r="N1622" i="1"/>
  <c r="J1624" i="1" l="1"/>
  <c r="L1623" i="1"/>
  <c r="N1623" i="1"/>
  <c r="N1624" i="1" l="1"/>
  <c r="L1624" i="1"/>
  <c r="J1625" i="1"/>
  <c r="J1626" i="1" l="1"/>
  <c r="N1625" i="1"/>
  <c r="L1625" i="1"/>
  <c r="N1626" i="1" l="1"/>
  <c r="L1626" i="1"/>
  <c r="J1627" i="1"/>
  <c r="N1627" i="1" l="1"/>
  <c r="L1627" i="1"/>
  <c r="J1628" i="1"/>
  <c r="J1629" i="1" l="1"/>
  <c r="L1628" i="1"/>
  <c r="N1628" i="1"/>
  <c r="L1629" i="1" l="1"/>
  <c r="J1630" i="1"/>
  <c r="N1629" i="1"/>
  <c r="L1630" i="1" l="1"/>
  <c r="N1630" i="1"/>
  <c r="J1631" i="1"/>
  <c r="N1631" i="1" l="1"/>
  <c r="L1631" i="1"/>
  <c r="J1632" i="1"/>
  <c r="L1632" i="1" l="1"/>
  <c r="N1632" i="1"/>
  <c r="J1633" i="1"/>
  <c r="J1634" i="1" l="1"/>
  <c r="L1633" i="1"/>
  <c r="N1633" i="1"/>
  <c r="N1634" i="1" l="1"/>
  <c r="L1634" i="1"/>
  <c r="J1635" i="1"/>
  <c r="J1636" i="1" l="1"/>
  <c r="L1635" i="1"/>
  <c r="N1635" i="1"/>
  <c r="N1636" i="1" l="1"/>
  <c r="J1637" i="1"/>
  <c r="L1636" i="1"/>
  <c r="L1637" i="1" l="1"/>
  <c r="J1638" i="1"/>
  <c r="N1637" i="1"/>
  <c r="N1638" i="1" l="1"/>
  <c r="J1639" i="1"/>
  <c r="L1638" i="1"/>
  <c r="J1640" i="1" l="1"/>
  <c r="L1639" i="1"/>
  <c r="N1639" i="1"/>
  <c r="N1640" i="1" l="1"/>
  <c r="J1641" i="1"/>
  <c r="L1640" i="1"/>
  <c r="J1642" i="1" l="1"/>
  <c r="L1641" i="1"/>
  <c r="N1641" i="1"/>
  <c r="N1642" i="1" l="1"/>
  <c r="J1643" i="1"/>
  <c r="L1642" i="1"/>
  <c r="N1643" i="1" l="1"/>
  <c r="L1643" i="1"/>
  <c r="J1644" i="1"/>
  <c r="L1644" i="1" l="1"/>
  <c r="N1644" i="1"/>
  <c r="J1645" i="1"/>
  <c r="J1646" i="1" l="1"/>
  <c r="L1645" i="1"/>
  <c r="N1645" i="1"/>
  <c r="J1647" i="1" l="1"/>
  <c r="L1646" i="1"/>
  <c r="N1646" i="1"/>
  <c r="N1647" i="1" l="1"/>
  <c r="L1647" i="1"/>
  <c r="J1648" i="1"/>
  <c r="J1649" i="1" l="1"/>
  <c r="L1648" i="1"/>
  <c r="N1648" i="1"/>
  <c r="L1649" i="1" l="1"/>
  <c r="N1649" i="1"/>
  <c r="J1650" i="1"/>
  <c r="J1651" i="1" l="1"/>
  <c r="L1650" i="1"/>
  <c r="N1650" i="1"/>
  <c r="N1651" i="1" l="1"/>
  <c r="J1652" i="1"/>
  <c r="L1651" i="1"/>
  <c r="J1653" i="1" l="1"/>
  <c r="L1652" i="1"/>
  <c r="N1652" i="1"/>
  <c r="L1653" i="1" l="1"/>
  <c r="N1653" i="1"/>
  <c r="J1654" i="1"/>
  <c r="L1654" i="1" l="1"/>
  <c r="N1654" i="1"/>
  <c r="J1655" i="1"/>
  <c r="N1655" i="1" l="1"/>
  <c r="L1655" i="1"/>
  <c r="J1656" i="1"/>
  <c r="J1657" i="1" l="1"/>
  <c r="L1656" i="1"/>
  <c r="N1656" i="1"/>
  <c r="N1657" i="1" l="1"/>
  <c r="L1657" i="1"/>
  <c r="J1658" i="1"/>
  <c r="J1659" i="1" l="1"/>
  <c r="L1658" i="1"/>
  <c r="N1658" i="1"/>
  <c r="J1660" i="1" l="1"/>
  <c r="N1659" i="1"/>
  <c r="L1659" i="1"/>
  <c r="J1661" i="1" l="1"/>
  <c r="L1660" i="1"/>
  <c r="N1660" i="1"/>
  <c r="N1661" i="1" l="1"/>
  <c r="J1662" i="1"/>
  <c r="L1661" i="1"/>
  <c r="L1662" i="1" l="1"/>
  <c r="J1663" i="1"/>
  <c r="N1662" i="1"/>
  <c r="J1664" i="1" l="1"/>
  <c r="L1663" i="1"/>
  <c r="N1663" i="1"/>
  <c r="N1664" i="1" l="1"/>
  <c r="L1664" i="1"/>
  <c r="J1665" i="1"/>
  <c r="J1666" i="1" l="1"/>
  <c r="L1665" i="1"/>
  <c r="N1665" i="1"/>
  <c r="N1666" i="1" l="1"/>
  <c r="J1667" i="1"/>
  <c r="L1666" i="1"/>
  <c r="N1667" i="1" l="1"/>
  <c r="L1667" i="1"/>
  <c r="J1668" i="1"/>
  <c r="N1668" i="1" l="1"/>
  <c r="J1669" i="1"/>
  <c r="L1668" i="1"/>
  <c r="L1669" i="1" l="1"/>
  <c r="N1669" i="1"/>
  <c r="J1670" i="1"/>
  <c r="L1670" i="1" l="1"/>
  <c r="J1671" i="1"/>
  <c r="N1670" i="1"/>
  <c r="J1672" i="1" l="1"/>
  <c r="L1671" i="1"/>
  <c r="N1671" i="1"/>
  <c r="J1673" i="1" l="1"/>
  <c r="L1672" i="1"/>
  <c r="N1672" i="1"/>
  <c r="N1673" i="1" l="1"/>
  <c r="L1673" i="1"/>
  <c r="J1674" i="1"/>
  <c r="L1674" i="1" l="1"/>
  <c r="J1675" i="1"/>
  <c r="N1674" i="1"/>
  <c r="N1675" i="1" l="1"/>
  <c r="L1675" i="1"/>
  <c r="J1676" i="1"/>
  <c r="J1677" i="1" l="1"/>
  <c r="L1676" i="1"/>
  <c r="N1676" i="1"/>
  <c r="N1677" i="1" l="1"/>
  <c r="L1677" i="1"/>
  <c r="J1678" i="1"/>
  <c r="J1679" i="1" l="1"/>
  <c r="N1678" i="1"/>
  <c r="L1678" i="1"/>
  <c r="L1679" i="1" l="1"/>
  <c r="J1680" i="1"/>
  <c r="N1679" i="1"/>
  <c r="N1680" i="1" l="1"/>
  <c r="J1681" i="1"/>
  <c r="L1680" i="1"/>
  <c r="N1681" i="1" l="1"/>
  <c r="L1681" i="1"/>
  <c r="J1682" i="1"/>
  <c r="J1683" i="1" l="1"/>
  <c r="L1682" i="1"/>
  <c r="N1682" i="1"/>
  <c r="J1684" i="1" l="1"/>
  <c r="N1683" i="1"/>
  <c r="L1683" i="1"/>
  <c r="J1685" i="1" l="1"/>
  <c r="L1684" i="1"/>
  <c r="N1684" i="1"/>
  <c r="L1685" i="1" l="1"/>
  <c r="J1686" i="1"/>
  <c r="N1685" i="1"/>
  <c r="J1687" i="1" l="1"/>
  <c r="L1686" i="1"/>
  <c r="N1686" i="1"/>
  <c r="J1688" i="1" l="1"/>
  <c r="L1687" i="1"/>
  <c r="N1687" i="1"/>
  <c r="N1688" i="1" l="1"/>
  <c r="L1688" i="1"/>
  <c r="J1689" i="1"/>
  <c r="J1690" i="1" l="1"/>
  <c r="L1689" i="1"/>
  <c r="N1689" i="1"/>
  <c r="J1691" i="1" l="1"/>
  <c r="L1690" i="1"/>
  <c r="N1690" i="1"/>
  <c r="L1691" i="1" l="1"/>
  <c r="J1692" i="1"/>
  <c r="N1691" i="1"/>
  <c r="N1692" i="1" l="1"/>
  <c r="J1693" i="1"/>
  <c r="L1692" i="1"/>
  <c r="L1693" i="1" l="1"/>
  <c r="N1693" i="1"/>
  <c r="J1694" i="1"/>
  <c r="J1695" i="1" l="1"/>
  <c r="N1694" i="1"/>
  <c r="L1694" i="1"/>
  <c r="J1696" i="1" l="1"/>
  <c r="N1695" i="1"/>
  <c r="L1695" i="1"/>
  <c r="N1696" i="1" l="1"/>
  <c r="L1696" i="1"/>
  <c r="J1697" i="1"/>
  <c r="N1697" i="1" l="1"/>
  <c r="L1697" i="1"/>
  <c r="J1698" i="1"/>
  <c r="N1698" i="1" l="1"/>
  <c r="J1699" i="1"/>
  <c r="L1698" i="1"/>
  <c r="J1700" i="1" l="1"/>
  <c r="L1699" i="1"/>
  <c r="N1699" i="1"/>
  <c r="N1700" i="1" l="1"/>
  <c r="J1701" i="1"/>
  <c r="L1700" i="1"/>
  <c r="J1702" i="1" l="1"/>
  <c r="L1701" i="1"/>
  <c r="N1701" i="1"/>
  <c r="L1702" i="1" l="1"/>
  <c r="N1702" i="1"/>
  <c r="J1703" i="1"/>
  <c r="J1704" i="1" l="1"/>
  <c r="L1703" i="1"/>
  <c r="N1703" i="1"/>
  <c r="N1704" i="1" l="1"/>
  <c r="J1705" i="1"/>
  <c r="L1704" i="1"/>
  <c r="N1705" i="1" l="1"/>
  <c r="L1705" i="1"/>
  <c r="J1706" i="1"/>
  <c r="L1706" i="1" l="1"/>
  <c r="N1706" i="1"/>
  <c r="J1707" i="1"/>
  <c r="N1707" i="1" l="1"/>
  <c r="L1707" i="1"/>
  <c r="J1708" i="1"/>
  <c r="L1708" i="1" l="1"/>
  <c r="N1708" i="1"/>
  <c r="J1709" i="1"/>
  <c r="N1709" i="1" l="1"/>
  <c r="L1709" i="1"/>
  <c r="J1710" i="1"/>
  <c r="L1710" i="1" l="1"/>
  <c r="J1711" i="1"/>
  <c r="N1710" i="1"/>
  <c r="J1712" i="1" l="1"/>
  <c r="N1711" i="1"/>
  <c r="L1711" i="1"/>
  <c r="J1713" i="1" l="1"/>
  <c r="L1712" i="1"/>
  <c r="N1712" i="1"/>
  <c r="J1714" i="1" l="1"/>
  <c r="L1713" i="1"/>
  <c r="N1713" i="1"/>
  <c r="N1714" i="1" l="1"/>
  <c r="L1714" i="1"/>
  <c r="J1715" i="1"/>
  <c r="N1715" i="1" l="1"/>
  <c r="L1715" i="1"/>
  <c r="J1716" i="1"/>
  <c r="N1716" i="1" l="1"/>
  <c r="J1717" i="1"/>
  <c r="L1716" i="1"/>
  <c r="L1717" i="1" l="1"/>
  <c r="N1717" i="1"/>
  <c r="J1718" i="1"/>
  <c r="L1718" i="1" l="1"/>
  <c r="N1718" i="1"/>
  <c r="J1719" i="1"/>
  <c r="J1720" i="1" l="1"/>
  <c r="L1719" i="1"/>
  <c r="N1719" i="1"/>
  <c r="L1720" i="1" l="1"/>
  <c r="J1721" i="1"/>
  <c r="N1720" i="1"/>
  <c r="J1722" i="1" l="1"/>
  <c r="L1721" i="1"/>
  <c r="N1721" i="1"/>
  <c r="L1722" i="1" l="1"/>
  <c r="N1722" i="1"/>
  <c r="J1723" i="1"/>
  <c r="L1723" i="1" l="1"/>
  <c r="N1723" i="1"/>
  <c r="J1724" i="1"/>
  <c r="N1724" i="1" l="1"/>
  <c r="L1724" i="1"/>
  <c r="J1725" i="1"/>
  <c r="L1725" i="1" l="1"/>
  <c r="N1725" i="1"/>
  <c r="J1726" i="1"/>
  <c r="N1726" i="1" l="1"/>
  <c r="L1726" i="1"/>
  <c r="J1727" i="1"/>
  <c r="N1727" i="1" l="1"/>
  <c r="L1727" i="1"/>
  <c r="J1728" i="1"/>
  <c r="L1728" i="1" l="1"/>
  <c r="J1729" i="1"/>
  <c r="N1728" i="1"/>
  <c r="J1730" i="1" l="1"/>
  <c r="L1729" i="1"/>
  <c r="N1729" i="1"/>
  <c r="J1731" i="1" l="1"/>
  <c r="L1730" i="1"/>
  <c r="N1730" i="1"/>
  <c r="J1732" i="1" l="1"/>
  <c r="N1731" i="1"/>
  <c r="L1731" i="1"/>
  <c r="L1732" i="1" l="1"/>
  <c r="N1732" i="1"/>
  <c r="J1733" i="1"/>
  <c r="L1733" i="1" l="1"/>
  <c r="N1733" i="1"/>
  <c r="J1734" i="1"/>
  <c r="L1734" i="1" l="1"/>
  <c r="N1734" i="1"/>
  <c r="J1735" i="1"/>
  <c r="L1735" i="1" l="1"/>
  <c r="J1736" i="1"/>
  <c r="N1735" i="1"/>
  <c r="L1736" i="1" l="1"/>
  <c r="J1737" i="1"/>
  <c r="N1736" i="1"/>
  <c r="J1738" i="1" l="1"/>
  <c r="L1737" i="1"/>
  <c r="N1737" i="1"/>
  <c r="J1739" i="1" l="1"/>
  <c r="N1738" i="1"/>
  <c r="L1738" i="1"/>
  <c r="N1739" i="1" l="1"/>
  <c r="L1739" i="1"/>
  <c r="J1740" i="1"/>
  <c r="L1740" i="1" l="1"/>
  <c r="N1740" i="1"/>
  <c r="J1741" i="1"/>
  <c r="L1741" i="1" l="1"/>
  <c r="J1742" i="1"/>
  <c r="N1741" i="1"/>
  <c r="L1742" i="1" l="1"/>
  <c r="N1742" i="1"/>
  <c r="J1743" i="1"/>
  <c r="J1744" i="1" l="1"/>
  <c r="L1743" i="1"/>
  <c r="N1743" i="1"/>
  <c r="N1744" i="1" l="1"/>
  <c r="L1744" i="1"/>
  <c r="J1745" i="1"/>
  <c r="J1746" i="1" l="1"/>
  <c r="L1745" i="1"/>
  <c r="N1745" i="1"/>
  <c r="L1746" i="1" l="1"/>
  <c r="J1747" i="1"/>
  <c r="N1746" i="1"/>
  <c r="J1748" i="1" l="1"/>
  <c r="L1747" i="1"/>
  <c r="N1747" i="1"/>
  <c r="J1749" i="1" l="1"/>
  <c r="L1748" i="1"/>
  <c r="N1748" i="1"/>
  <c r="N1749" i="1" l="1"/>
  <c r="L1749" i="1"/>
  <c r="J1750" i="1"/>
  <c r="L1750" i="1" l="1"/>
  <c r="J1751" i="1"/>
  <c r="N1750" i="1"/>
  <c r="J1752" i="1" l="1"/>
  <c r="L1751" i="1"/>
  <c r="N1751" i="1"/>
  <c r="L1752" i="1" l="1"/>
  <c r="J1753" i="1"/>
  <c r="N1752" i="1"/>
  <c r="N1753" i="1" l="1"/>
  <c r="L1753" i="1"/>
  <c r="J1754" i="1"/>
  <c r="L1754" i="1" l="1"/>
  <c r="J1755" i="1"/>
  <c r="N1754" i="1"/>
  <c r="J1756" i="1" l="1"/>
  <c r="L1755" i="1"/>
  <c r="N1755" i="1"/>
  <c r="L1756" i="1" l="1"/>
  <c r="J1757" i="1"/>
  <c r="N1756" i="1"/>
  <c r="N1757" i="1" l="1"/>
  <c r="L1757" i="1"/>
  <c r="J1758" i="1"/>
  <c r="N1758" i="1" l="1"/>
  <c r="J1759" i="1"/>
  <c r="L1758" i="1"/>
  <c r="N1759" i="1" l="1"/>
  <c r="L1759" i="1"/>
  <c r="J1760" i="1"/>
  <c r="N1760" i="1" l="1"/>
  <c r="J1761" i="1"/>
  <c r="L1760" i="1"/>
  <c r="N1761" i="1" l="1"/>
  <c r="L1761" i="1"/>
  <c r="J1762" i="1"/>
  <c r="N1762" i="1" l="1"/>
  <c r="L1762" i="1"/>
  <c r="J1763" i="1"/>
  <c r="N1763" i="1" l="1"/>
  <c r="J1764" i="1"/>
  <c r="L1763" i="1"/>
  <c r="L1764" i="1" l="1"/>
  <c r="J1765" i="1"/>
  <c r="N1764" i="1"/>
  <c r="N1765" i="1" l="1"/>
  <c r="L1765" i="1"/>
  <c r="J1766" i="1"/>
  <c r="J1767" i="1" l="1"/>
  <c r="L1766" i="1"/>
  <c r="N1766" i="1"/>
  <c r="N1767" i="1" l="1"/>
  <c r="J1768" i="1"/>
  <c r="L1767" i="1"/>
  <c r="J1769" i="1" l="1"/>
  <c r="L1768" i="1"/>
  <c r="N1768" i="1"/>
  <c r="N1769" i="1" l="1"/>
  <c r="L1769" i="1"/>
  <c r="J1770" i="1"/>
  <c r="J1771" i="1" l="1"/>
  <c r="L1770" i="1"/>
  <c r="N1770" i="1"/>
  <c r="J1772" i="1" l="1"/>
  <c r="N1771" i="1"/>
  <c r="L1771" i="1"/>
  <c r="J1773" i="1" l="1"/>
  <c r="L1772" i="1"/>
  <c r="N1772" i="1"/>
  <c r="J1774" i="1" l="1"/>
  <c r="L1773" i="1"/>
  <c r="N1773" i="1"/>
  <c r="L1774" i="1" l="1"/>
  <c r="J1775" i="1"/>
  <c r="N1774" i="1"/>
  <c r="J1776" i="1" l="1"/>
  <c r="L1775" i="1"/>
  <c r="N1775" i="1"/>
  <c r="J1777" i="1" l="1"/>
  <c r="L1776" i="1"/>
  <c r="N1776" i="1"/>
  <c r="N1777" i="1" l="1"/>
  <c r="L1777" i="1"/>
  <c r="J1778" i="1"/>
  <c r="N1778" i="1" l="1"/>
  <c r="L1778" i="1"/>
  <c r="J1779" i="1"/>
  <c r="L1779" i="1" l="1"/>
  <c r="J1780" i="1"/>
  <c r="N1779" i="1"/>
  <c r="L1780" i="1" l="1"/>
  <c r="J1781" i="1"/>
  <c r="N1780" i="1"/>
  <c r="J1782" i="1" l="1"/>
  <c r="L1781" i="1"/>
  <c r="N1781" i="1"/>
  <c r="J1783" i="1" l="1"/>
  <c r="L1782" i="1"/>
  <c r="N1782" i="1"/>
  <c r="N1783" i="1" l="1"/>
  <c r="L1783" i="1"/>
  <c r="J1784" i="1"/>
  <c r="N1784" i="1" l="1"/>
  <c r="L1784" i="1"/>
  <c r="J1785" i="1"/>
  <c r="N1785" i="1" l="1"/>
  <c r="J1786" i="1"/>
  <c r="L1785" i="1"/>
  <c r="J1787" i="1" l="1"/>
  <c r="N1786" i="1"/>
  <c r="L1786" i="1"/>
  <c r="J1788" i="1" l="1"/>
  <c r="L1787" i="1"/>
  <c r="N1787" i="1"/>
  <c r="J1789" i="1" l="1"/>
  <c r="L1788" i="1"/>
  <c r="N1788" i="1"/>
  <c r="J1790" i="1" l="1"/>
  <c r="L1789" i="1"/>
  <c r="N1789" i="1"/>
  <c r="J1791" i="1" l="1"/>
  <c r="N1790" i="1"/>
  <c r="L1790" i="1"/>
  <c r="J1792" i="1" l="1"/>
  <c r="L1791" i="1"/>
  <c r="N1791" i="1"/>
  <c r="L1792" i="1" l="1"/>
  <c r="J1793" i="1"/>
  <c r="N1792" i="1"/>
  <c r="L1793" i="1" l="1"/>
  <c r="J1794" i="1"/>
  <c r="N1793" i="1"/>
  <c r="N1794" i="1" l="1"/>
  <c r="L1794" i="1"/>
  <c r="J1795" i="1"/>
  <c r="J1796" i="1" l="1"/>
  <c r="L1795" i="1"/>
  <c r="N1795" i="1"/>
  <c r="J1797" i="1" l="1"/>
  <c r="L1796" i="1"/>
  <c r="N1796" i="1"/>
  <c r="L1797" i="1" l="1"/>
  <c r="N1797" i="1"/>
  <c r="J1798" i="1"/>
  <c r="N1798" i="1" l="1"/>
  <c r="J1799" i="1"/>
  <c r="L1798" i="1"/>
  <c r="L1799" i="1" l="1"/>
  <c r="N1799" i="1"/>
  <c r="J1800" i="1"/>
  <c r="L1800" i="1" l="1"/>
  <c r="J1801" i="1"/>
  <c r="N1800" i="1"/>
  <c r="J1802" i="1" l="1"/>
  <c r="N1801" i="1"/>
  <c r="L1801" i="1"/>
  <c r="N1802" i="1" l="1"/>
  <c r="L1802" i="1"/>
  <c r="J1803" i="1"/>
  <c r="L1803" i="1" l="1"/>
  <c r="J1804" i="1"/>
  <c r="N1803" i="1"/>
  <c r="N1804" i="1" l="1"/>
  <c r="J1805" i="1"/>
  <c r="L1804" i="1"/>
  <c r="L1805" i="1" l="1"/>
  <c r="J1806" i="1"/>
  <c r="N1805" i="1"/>
  <c r="J1807" i="1" l="1"/>
  <c r="L1806" i="1"/>
  <c r="N1806" i="1"/>
  <c r="N1807" i="1" l="1"/>
  <c r="L1807" i="1"/>
  <c r="J1808" i="1"/>
  <c r="J1809" i="1" l="1"/>
  <c r="L1808" i="1"/>
  <c r="N1808" i="1"/>
  <c r="L1809" i="1" l="1"/>
  <c r="N1809" i="1"/>
  <c r="J1810" i="1"/>
  <c r="J1811" i="1" l="1"/>
  <c r="L1810" i="1"/>
  <c r="N1810" i="1"/>
  <c r="L1811" i="1" l="1"/>
  <c r="J1812" i="1"/>
  <c r="N1811" i="1"/>
  <c r="J1813" i="1" l="1"/>
  <c r="L1812" i="1"/>
  <c r="N1812" i="1"/>
  <c r="N1813" i="1" l="1"/>
  <c r="L1813" i="1"/>
  <c r="J1814" i="1"/>
  <c r="N1814" i="1" l="1"/>
  <c r="J1815" i="1"/>
  <c r="L1814" i="1"/>
  <c r="N1815" i="1" l="1"/>
  <c r="L1815" i="1"/>
  <c r="J1816" i="1"/>
  <c r="J1817" i="1" l="1"/>
  <c r="L1816" i="1"/>
  <c r="N1816" i="1"/>
  <c r="J1818" i="1" l="1"/>
  <c r="L1817" i="1"/>
  <c r="N1817" i="1"/>
  <c r="L1818" i="1" l="1"/>
  <c r="J1819" i="1"/>
  <c r="N1818" i="1"/>
  <c r="J1820" i="1" l="1"/>
  <c r="L1819" i="1"/>
  <c r="N1819" i="1"/>
  <c r="L1820" i="1" l="1"/>
  <c r="J1821" i="1"/>
  <c r="N1820" i="1"/>
  <c r="L1821" i="1" l="1"/>
  <c r="N1821" i="1"/>
  <c r="J1822" i="1"/>
  <c r="N1822" i="1" l="1"/>
  <c r="L1822" i="1"/>
  <c r="J1823" i="1"/>
  <c r="L1823" i="1" l="1"/>
  <c r="N1823" i="1"/>
  <c r="J1824" i="1"/>
  <c r="J1825" i="1" l="1"/>
  <c r="N1824" i="1"/>
  <c r="L1824" i="1"/>
  <c r="J1826" i="1" l="1"/>
  <c r="N1825" i="1"/>
  <c r="L1825" i="1"/>
  <c r="J1827" i="1" l="1"/>
  <c r="L1826" i="1"/>
  <c r="N1826" i="1"/>
  <c r="N1827" i="1" l="1"/>
  <c r="J1828" i="1"/>
  <c r="L1827" i="1"/>
  <c r="J1829" i="1" l="1"/>
  <c r="N1828" i="1"/>
  <c r="L1828" i="1"/>
  <c r="L1829" i="1" l="1"/>
  <c r="J1830" i="1"/>
  <c r="N1829" i="1"/>
  <c r="N1830" i="1" l="1"/>
  <c r="J1831" i="1"/>
  <c r="L1830" i="1"/>
  <c r="N1831" i="1" l="1"/>
  <c r="L1831" i="1"/>
  <c r="J1832" i="1"/>
  <c r="J1833" i="1" l="1"/>
  <c r="N1832" i="1"/>
  <c r="L1832" i="1"/>
  <c r="N1833" i="1" l="1"/>
  <c r="L1833" i="1"/>
  <c r="J1834" i="1"/>
  <c r="N1834" i="1" l="1"/>
  <c r="J1835" i="1"/>
  <c r="L1834" i="1"/>
  <c r="J1836" i="1" l="1"/>
  <c r="N1835" i="1"/>
  <c r="L1835" i="1"/>
  <c r="L1836" i="1" l="1"/>
  <c r="N1836" i="1"/>
  <c r="J1837" i="1"/>
  <c r="L1837" i="1" l="1"/>
  <c r="J1838" i="1"/>
  <c r="N1837" i="1"/>
  <c r="N1838" i="1" l="1"/>
  <c r="L1838" i="1"/>
  <c r="J1839" i="1"/>
  <c r="L1839" i="1" l="1"/>
  <c r="N1839" i="1"/>
  <c r="J1840" i="1"/>
  <c r="N1840" i="1" l="1"/>
  <c r="L1840" i="1"/>
  <c r="J1841" i="1"/>
  <c r="J1842" i="1" l="1"/>
  <c r="L1841" i="1"/>
  <c r="N1841" i="1"/>
  <c r="N1842" i="1" l="1"/>
  <c r="L1842" i="1"/>
  <c r="J1843" i="1"/>
  <c r="J1844" i="1" l="1"/>
  <c r="L1843" i="1"/>
  <c r="N1843" i="1"/>
  <c r="J1845" i="1" l="1"/>
  <c r="L1844" i="1"/>
  <c r="N1844" i="1"/>
  <c r="J1846" i="1" l="1"/>
  <c r="N1845" i="1"/>
  <c r="L1845" i="1"/>
  <c r="L1846" i="1" l="1"/>
  <c r="N1846" i="1"/>
  <c r="J1847" i="1"/>
  <c r="N1847" i="1" l="1"/>
  <c r="J1848" i="1"/>
  <c r="L1847" i="1"/>
  <c r="J1849" i="1" l="1"/>
  <c r="L1848" i="1"/>
  <c r="N1848" i="1"/>
  <c r="N1849" i="1" l="1"/>
  <c r="L1849" i="1"/>
  <c r="J1850" i="1"/>
  <c r="L1850" i="1" l="1"/>
  <c r="N1850" i="1"/>
  <c r="J1851" i="1"/>
  <c r="N1851" i="1" l="1"/>
  <c r="L1851" i="1"/>
  <c r="J1852" i="1"/>
  <c r="J1853" i="1" l="1"/>
  <c r="L1852" i="1"/>
  <c r="N1852" i="1"/>
  <c r="L1853" i="1" l="1"/>
  <c r="N1853" i="1"/>
  <c r="J1854" i="1"/>
  <c r="J1855" i="1" l="1"/>
  <c r="L1854" i="1"/>
  <c r="N1854" i="1"/>
  <c r="N1855" i="1" l="1"/>
  <c r="L1855" i="1"/>
  <c r="J1856" i="1"/>
  <c r="J1857" i="1" l="1"/>
  <c r="L1856" i="1"/>
  <c r="N1856" i="1"/>
  <c r="J1858" i="1" l="1"/>
  <c r="L1857" i="1"/>
  <c r="N1857" i="1"/>
  <c r="L1858" i="1" l="1"/>
  <c r="J1859" i="1"/>
  <c r="N1858" i="1"/>
  <c r="N1859" i="1" l="1"/>
  <c r="L1859" i="1"/>
  <c r="J1860" i="1"/>
  <c r="J1861" i="1" l="1"/>
  <c r="L1860" i="1"/>
  <c r="N1860" i="1"/>
  <c r="N1861" i="1" l="1"/>
  <c r="J1862" i="1"/>
  <c r="L1861" i="1"/>
  <c r="N1862" i="1" l="1"/>
  <c r="L1862" i="1"/>
  <c r="J1863" i="1"/>
  <c r="J1864" i="1" l="1"/>
  <c r="N1863" i="1"/>
  <c r="L1863" i="1"/>
  <c r="N1864" i="1" l="1"/>
  <c r="L1864" i="1"/>
  <c r="J1865" i="1"/>
  <c r="N1865" i="1" l="1"/>
  <c r="J1866" i="1"/>
  <c r="N1866" i="1" l="1"/>
  <c r="J1867" i="1"/>
  <c r="N1867" i="1" s="1"/>
</calcChain>
</file>

<file path=xl/sharedStrings.xml><?xml version="1.0" encoding="utf-8"?>
<sst xmlns="http://schemas.openxmlformats.org/spreadsheetml/2006/main" count="2123" uniqueCount="1884">
  <si>
    <t>Date</t>
  </si>
  <si>
    <t>P</t>
  </si>
  <si>
    <t>D</t>
  </si>
  <si>
    <t>E</t>
  </si>
  <si>
    <t>CPI</t>
  </si>
  <si>
    <t>NA</t>
  </si>
  <si>
    <t>Fraction</t>
  </si>
  <si>
    <t>Rate GS10</t>
  </si>
  <si>
    <t>CAPE</t>
  </si>
  <si>
    <t>The data and CAPE Ratio on this spreadsheet were developed by Robert J. Shiller using various public sources.  Neither Robert J. Shiller nor any affiliates or consultants, are registered investment advisers and do not guarantee the accuracy or completeness of the CAPE Ratio here, or any data or methodology either included therein or upon which it is based.  Individual investment decisions are best made with the help of a professional investment adviser</t>
  </si>
  <si>
    <t>TR CAPE</t>
  </si>
  <si>
    <t xml:space="preserve"> Real_Dividend</t>
  </si>
  <si>
    <t>Real_Price</t>
  </si>
  <si>
    <t>Real_Total_Returns_Price</t>
  </si>
  <si>
    <t>Real_Earnings</t>
  </si>
  <si>
    <t>Real_TR_Scaled_Earnings</t>
  </si>
  <si>
    <t>TBILL</t>
  </si>
  <si>
    <t>Excess_CAPE_Yield</t>
  </si>
  <si>
    <t>1871-01-01</t>
  </si>
  <si>
    <t>1871-02-01</t>
  </si>
  <si>
    <t>1871-03-01</t>
  </si>
  <si>
    <t>1871-04-01</t>
  </si>
  <si>
    <t>1871-05-01</t>
  </si>
  <si>
    <t>1871-06-01</t>
  </si>
  <si>
    <t>1871-07-01</t>
  </si>
  <si>
    <t>1871-08-01</t>
  </si>
  <si>
    <t>1871-09-01</t>
  </si>
  <si>
    <t>1871-10-01</t>
  </si>
  <si>
    <t>1871-11-01</t>
  </si>
  <si>
    <t>1871-12-01</t>
  </si>
  <si>
    <t>1872-01-01</t>
  </si>
  <si>
    <t>1872-02-01</t>
  </si>
  <si>
    <t>1872-03-01</t>
  </si>
  <si>
    <t>1872-04-01</t>
  </si>
  <si>
    <t>1872-05-01</t>
  </si>
  <si>
    <t>1872-06-01</t>
  </si>
  <si>
    <t>1872-07-01</t>
  </si>
  <si>
    <t>1872-08-01</t>
  </si>
  <si>
    <t>1872-09-01</t>
  </si>
  <si>
    <t>1872-10-01</t>
  </si>
  <si>
    <t>1872-11-01</t>
  </si>
  <si>
    <t>1872-12-01</t>
  </si>
  <si>
    <t>1873-01-01</t>
  </si>
  <si>
    <t>1873-02-01</t>
  </si>
  <si>
    <t>1873-03-01</t>
  </si>
  <si>
    <t>1873-04-01</t>
  </si>
  <si>
    <t>1873-05-01</t>
  </si>
  <si>
    <t>1873-06-01</t>
  </si>
  <si>
    <t>1873-07-01</t>
  </si>
  <si>
    <t>1873-08-01</t>
  </si>
  <si>
    <t>1873-09-01</t>
  </si>
  <si>
    <t>1873-10-01</t>
  </si>
  <si>
    <t>1873-11-01</t>
  </si>
  <si>
    <t>1873-12-01</t>
  </si>
  <si>
    <t>1874-01-01</t>
  </si>
  <si>
    <t>1874-02-01</t>
  </si>
  <si>
    <t>1874-03-01</t>
  </si>
  <si>
    <t>1874-04-01</t>
  </si>
  <si>
    <t>1874-05-01</t>
  </si>
  <si>
    <t>1874-06-01</t>
  </si>
  <si>
    <t>1874-07-01</t>
  </si>
  <si>
    <t>1874-08-01</t>
  </si>
  <si>
    <t>1874-09-01</t>
  </si>
  <si>
    <t>1874-10-01</t>
  </si>
  <si>
    <t>1874-11-01</t>
  </si>
  <si>
    <t>1874-12-01</t>
  </si>
  <si>
    <t>1875-01-01</t>
  </si>
  <si>
    <t>1875-02-01</t>
  </si>
  <si>
    <t>1875-03-01</t>
  </si>
  <si>
    <t>1875-04-01</t>
  </si>
  <si>
    <t>1875-05-01</t>
  </si>
  <si>
    <t>1875-06-01</t>
  </si>
  <si>
    <t>1875-07-01</t>
  </si>
  <si>
    <t>1875-08-01</t>
  </si>
  <si>
    <t>1875-09-01</t>
  </si>
  <si>
    <t>1875-10-01</t>
  </si>
  <si>
    <t>1875-11-01</t>
  </si>
  <si>
    <t>1875-12-01</t>
  </si>
  <si>
    <t>1876-01-01</t>
  </si>
  <si>
    <t>1876-02-01</t>
  </si>
  <si>
    <t>1876-03-01</t>
  </si>
  <si>
    <t>1876-04-01</t>
  </si>
  <si>
    <t>1876-05-01</t>
  </si>
  <si>
    <t>1876-06-01</t>
  </si>
  <si>
    <t>1876-07-01</t>
  </si>
  <si>
    <t>1876-08-01</t>
  </si>
  <si>
    <t>1876-09-01</t>
  </si>
  <si>
    <t>1876-10-01</t>
  </si>
  <si>
    <t>1876-11-01</t>
  </si>
  <si>
    <t>1876-12-01</t>
  </si>
  <si>
    <t>1877-01-01</t>
  </si>
  <si>
    <t>1877-02-01</t>
  </si>
  <si>
    <t>1877-03-01</t>
  </si>
  <si>
    <t>1877-04-01</t>
  </si>
  <si>
    <t>1877-05-01</t>
  </si>
  <si>
    <t>1877-06-01</t>
  </si>
  <si>
    <t>1877-07-01</t>
  </si>
  <si>
    <t>1877-08-01</t>
  </si>
  <si>
    <t>1877-09-01</t>
  </si>
  <si>
    <t>1877-10-01</t>
  </si>
  <si>
    <t>1877-11-01</t>
  </si>
  <si>
    <t>1877-12-01</t>
  </si>
  <si>
    <t>1878-01-01</t>
  </si>
  <si>
    <t>1878-02-01</t>
  </si>
  <si>
    <t>1878-03-01</t>
  </si>
  <si>
    <t>1878-04-01</t>
  </si>
  <si>
    <t>1878-05-01</t>
  </si>
  <si>
    <t>1878-06-01</t>
  </si>
  <si>
    <t>1878-07-01</t>
  </si>
  <si>
    <t>1878-08-01</t>
  </si>
  <si>
    <t>1878-09-01</t>
  </si>
  <si>
    <t>1878-10-01</t>
  </si>
  <si>
    <t>1878-11-01</t>
  </si>
  <si>
    <t>1878-12-01</t>
  </si>
  <si>
    <t>1879-01-01</t>
  </si>
  <si>
    <t>1879-02-01</t>
  </si>
  <si>
    <t>1879-03-01</t>
  </si>
  <si>
    <t>1879-04-01</t>
  </si>
  <si>
    <t>1879-05-01</t>
  </si>
  <si>
    <t>1879-06-01</t>
  </si>
  <si>
    <t>1879-07-01</t>
  </si>
  <si>
    <t>1879-08-01</t>
  </si>
  <si>
    <t>1879-09-01</t>
  </si>
  <si>
    <t>1879-10-01</t>
  </si>
  <si>
    <t>1879-11-01</t>
  </si>
  <si>
    <t>1879-12-01</t>
  </si>
  <si>
    <t>1880-01-01</t>
  </si>
  <si>
    <t>1880-02-01</t>
  </si>
  <si>
    <t>1880-03-01</t>
  </si>
  <si>
    <t>1880-04-01</t>
  </si>
  <si>
    <t>1880-05-01</t>
  </si>
  <si>
    <t>1880-06-01</t>
  </si>
  <si>
    <t>1880-07-01</t>
  </si>
  <si>
    <t>1880-08-01</t>
  </si>
  <si>
    <t>1880-09-01</t>
  </si>
  <si>
    <t>1880-10-01</t>
  </si>
  <si>
    <t>1880-11-01</t>
  </si>
  <si>
    <t>1880-12-01</t>
  </si>
  <si>
    <t>1881-01-01</t>
  </si>
  <si>
    <t>1881-02-01</t>
  </si>
  <si>
    <t>1881-03-01</t>
  </si>
  <si>
    <t>1881-04-01</t>
  </si>
  <si>
    <t>1881-05-01</t>
  </si>
  <si>
    <t>1881-06-01</t>
  </si>
  <si>
    <t>1881-07-01</t>
  </si>
  <si>
    <t>1881-08-01</t>
  </si>
  <si>
    <t>1881-09-01</t>
  </si>
  <si>
    <t>1881-10-01</t>
  </si>
  <si>
    <t>1881-11-01</t>
  </si>
  <si>
    <t>1881-12-01</t>
  </si>
  <si>
    <t>1882-01-01</t>
  </si>
  <si>
    <t>1882-02-01</t>
  </si>
  <si>
    <t>1882-03-01</t>
  </si>
  <si>
    <t>1882-04-01</t>
  </si>
  <si>
    <t>1882-05-01</t>
  </si>
  <si>
    <t>1882-06-01</t>
  </si>
  <si>
    <t>1882-07-01</t>
  </si>
  <si>
    <t>1882-08-01</t>
  </si>
  <si>
    <t>1882-09-01</t>
  </si>
  <si>
    <t>1882-10-01</t>
  </si>
  <si>
    <t>1882-11-01</t>
  </si>
  <si>
    <t>1882-12-01</t>
  </si>
  <si>
    <t>1883-01-01</t>
  </si>
  <si>
    <t>1883-02-01</t>
  </si>
  <si>
    <t>1883-03-01</t>
  </si>
  <si>
    <t>1883-04-01</t>
  </si>
  <si>
    <t>1883-05-01</t>
  </si>
  <si>
    <t>1883-06-01</t>
  </si>
  <si>
    <t>1883-07-01</t>
  </si>
  <si>
    <t>1883-08-01</t>
  </si>
  <si>
    <t>1883-09-01</t>
  </si>
  <si>
    <t>1883-10-01</t>
  </si>
  <si>
    <t>1883-11-01</t>
  </si>
  <si>
    <t>1883-12-01</t>
  </si>
  <si>
    <t>1884-01-01</t>
  </si>
  <si>
    <t>1884-02-01</t>
  </si>
  <si>
    <t>1884-03-01</t>
  </si>
  <si>
    <t>1884-04-01</t>
  </si>
  <si>
    <t>1884-05-01</t>
  </si>
  <si>
    <t>1884-06-01</t>
  </si>
  <si>
    <t>1884-07-01</t>
  </si>
  <si>
    <t>1884-08-01</t>
  </si>
  <si>
    <t>1884-09-01</t>
  </si>
  <si>
    <t>1884-10-01</t>
  </si>
  <si>
    <t>1884-11-01</t>
  </si>
  <si>
    <t>1884-12-01</t>
  </si>
  <si>
    <t>1885-01-01</t>
  </si>
  <si>
    <t>1885-02-01</t>
  </si>
  <si>
    <t>1885-03-01</t>
  </si>
  <si>
    <t>1885-04-01</t>
  </si>
  <si>
    <t>1885-05-01</t>
  </si>
  <si>
    <t>1885-06-01</t>
  </si>
  <si>
    <t>1885-07-01</t>
  </si>
  <si>
    <t>1885-08-01</t>
  </si>
  <si>
    <t>1885-09-01</t>
  </si>
  <si>
    <t>1885-10-01</t>
  </si>
  <si>
    <t>1885-11-01</t>
  </si>
  <si>
    <t>1885-12-01</t>
  </si>
  <si>
    <t>1886-01-01</t>
  </si>
  <si>
    <t>1886-02-01</t>
  </si>
  <si>
    <t>1886-03-01</t>
  </si>
  <si>
    <t>1886-04-01</t>
  </si>
  <si>
    <t>1886-05-01</t>
  </si>
  <si>
    <t>1886-06-01</t>
  </si>
  <si>
    <t>1886-07-01</t>
  </si>
  <si>
    <t>1886-08-01</t>
  </si>
  <si>
    <t>1886-09-01</t>
  </si>
  <si>
    <t>1886-10-01</t>
  </si>
  <si>
    <t>1886-11-01</t>
  </si>
  <si>
    <t>1886-12-01</t>
  </si>
  <si>
    <t>1887-01-01</t>
  </si>
  <si>
    <t>1887-02-01</t>
  </si>
  <si>
    <t>1887-03-01</t>
  </si>
  <si>
    <t>1887-04-01</t>
  </si>
  <si>
    <t>1887-05-01</t>
  </si>
  <si>
    <t>1887-06-01</t>
  </si>
  <si>
    <t>1887-07-01</t>
  </si>
  <si>
    <t>1887-08-01</t>
  </si>
  <si>
    <t>1887-09-01</t>
  </si>
  <si>
    <t>1887-10-01</t>
  </si>
  <si>
    <t>1887-11-01</t>
  </si>
  <si>
    <t>1887-12-01</t>
  </si>
  <si>
    <t>1888-01-01</t>
  </si>
  <si>
    <t>1888-02-01</t>
  </si>
  <si>
    <t>1888-03-01</t>
  </si>
  <si>
    <t>1888-04-01</t>
  </si>
  <si>
    <t>1888-05-01</t>
  </si>
  <si>
    <t>1888-06-01</t>
  </si>
  <si>
    <t>1888-07-01</t>
  </si>
  <si>
    <t>1888-08-01</t>
  </si>
  <si>
    <t>1888-09-01</t>
  </si>
  <si>
    <t>1888-10-01</t>
  </si>
  <si>
    <t>1888-11-01</t>
  </si>
  <si>
    <t>1888-12-01</t>
  </si>
  <si>
    <t>1889-01-01</t>
  </si>
  <si>
    <t>1889-02-01</t>
  </si>
  <si>
    <t>1889-03-01</t>
  </si>
  <si>
    <t>1889-04-01</t>
  </si>
  <si>
    <t>1889-05-01</t>
  </si>
  <si>
    <t>1889-06-01</t>
  </si>
  <si>
    <t>1889-07-01</t>
  </si>
  <si>
    <t>1889-08-01</t>
  </si>
  <si>
    <t>1889-09-01</t>
  </si>
  <si>
    <t>1889-10-01</t>
  </si>
  <si>
    <t>1889-11-01</t>
  </si>
  <si>
    <t>1889-12-01</t>
  </si>
  <si>
    <t>1890-01-01</t>
  </si>
  <si>
    <t>1890-02-01</t>
  </si>
  <si>
    <t>1890-03-01</t>
  </si>
  <si>
    <t>1890-04-01</t>
  </si>
  <si>
    <t>1890-05-01</t>
  </si>
  <si>
    <t>1890-06-01</t>
  </si>
  <si>
    <t>1890-07-01</t>
  </si>
  <si>
    <t>1890-08-01</t>
  </si>
  <si>
    <t>1890-09-01</t>
  </si>
  <si>
    <t>1890-10-01</t>
  </si>
  <si>
    <t>1890-11-01</t>
  </si>
  <si>
    <t>1890-12-01</t>
  </si>
  <si>
    <t>1891-01-01</t>
  </si>
  <si>
    <t>1891-02-01</t>
  </si>
  <si>
    <t>1891-03-01</t>
  </si>
  <si>
    <t>1891-04-01</t>
  </si>
  <si>
    <t>1891-05-01</t>
  </si>
  <si>
    <t>1891-06-01</t>
  </si>
  <si>
    <t>1891-07-01</t>
  </si>
  <si>
    <t>1891-08-01</t>
  </si>
  <si>
    <t>1891-09-01</t>
  </si>
  <si>
    <t>1891-10-01</t>
  </si>
  <si>
    <t>1891-11-01</t>
  </si>
  <si>
    <t>1891-12-01</t>
  </si>
  <si>
    <t>1892-01-01</t>
  </si>
  <si>
    <t>1892-02-01</t>
  </si>
  <si>
    <t>1892-03-01</t>
  </si>
  <si>
    <t>1892-04-01</t>
  </si>
  <si>
    <t>1892-05-01</t>
  </si>
  <si>
    <t>1892-06-01</t>
  </si>
  <si>
    <t>1892-07-01</t>
  </si>
  <si>
    <t>1892-08-01</t>
  </si>
  <si>
    <t>1892-09-01</t>
  </si>
  <si>
    <t>1892-10-01</t>
  </si>
  <si>
    <t>1892-11-01</t>
  </si>
  <si>
    <t>1892-12-01</t>
  </si>
  <si>
    <t>1893-01-01</t>
  </si>
  <si>
    <t>1893-02-01</t>
  </si>
  <si>
    <t>1893-03-01</t>
  </si>
  <si>
    <t>1893-04-01</t>
  </si>
  <si>
    <t>1893-05-01</t>
  </si>
  <si>
    <t>1893-06-01</t>
  </si>
  <si>
    <t>1893-07-01</t>
  </si>
  <si>
    <t>1893-08-01</t>
  </si>
  <si>
    <t>1893-09-01</t>
  </si>
  <si>
    <t>1893-10-01</t>
  </si>
  <si>
    <t>1893-11-01</t>
  </si>
  <si>
    <t>1893-12-01</t>
  </si>
  <si>
    <t>1894-01-01</t>
  </si>
  <si>
    <t>1894-02-01</t>
  </si>
  <si>
    <t>1894-03-01</t>
  </si>
  <si>
    <t>1894-04-01</t>
  </si>
  <si>
    <t>1894-05-01</t>
  </si>
  <si>
    <t>1894-06-01</t>
  </si>
  <si>
    <t>1894-07-01</t>
  </si>
  <si>
    <t>1894-08-01</t>
  </si>
  <si>
    <t>1894-09-01</t>
  </si>
  <si>
    <t>1894-10-01</t>
  </si>
  <si>
    <t>1894-11-01</t>
  </si>
  <si>
    <t>1894-12-01</t>
  </si>
  <si>
    <t>1895-01-01</t>
  </si>
  <si>
    <t>1895-02-01</t>
  </si>
  <si>
    <t>1895-03-01</t>
  </si>
  <si>
    <t>1895-04-01</t>
  </si>
  <si>
    <t>1895-05-01</t>
  </si>
  <si>
    <t>1895-06-01</t>
  </si>
  <si>
    <t>1895-07-01</t>
  </si>
  <si>
    <t>1895-08-01</t>
  </si>
  <si>
    <t>1895-09-01</t>
  </si>
  <si>
    <t>1895-10-01</t>
  </si>
  <si>
    <t>1895-11-01</t>
  </si>
  <si>
    <t>1895-12-01</t>
  </si>
  <si>
    <t>1896-01-01</t>
  </si>
  <si>
    <t>1896-02-01</t>
  </si>
  <si>
    <t>1896-03-01</t>
  </si>
  <si>
    <t>1896-04-01</t>
  </si>
  <si>
    <t>1896-05-01</t>
  </si>
  <si>
    <t>1896-06-01</t>
  </si>
  <si>
    <t>1896-07-01</t>
  </si>
  <si>
    <t>1896-08-01</t>
  </si>
  <si>
    <t>1896-09-01</t>
  </si>
  <si>
    <t>1896-10-01</t>
  </si>
  <si>
    <t>1896-11-01</t>
  </si>
  <si>
    <t>1896-12-01</t>
  </si>
  <si>
    <t>1897-01-01</t>
  </si>
  <si>
    <t>1897-02-01</t>
  </si>
  <si>
    <t>1897-03-01</t>
  </si>
  <si>
    <t>1897-04-01</t>
  </si>
  <si>
    <t>1897-05-01</t>
  </si>
  <si>
    <t>1897-06-01</t>
  </si>
  <si>
    <t>1897-07-01</t>
  </si>
  <si>
    <t>1897-08-01</t>
  </si>
  <si>
    <t>1897-09-01</t>
  </si>
  <si>
    <t>1897-10-01</t>
  </si>
  <si>
    <t>1897-11-01</t>
  </si>
  <si>
    <t>1897-12-01</t>
  </si>
  <si>
    <t>1898-01-01</t>
  </si>
  <si>
    <t>1898-02-01</t>
  </si>
  <si>
    <t>1898-03-01</t>
  </si>
  <si>
    <t>1898-04-01</t>
  </si>
  <si>
    <t>1898-05-01</t>
  </si>
  <si>
    <t>1898-06-01</t>
  </si>
  <si>
    <t>1898-07-01</t>
  </si>
  <si>
    <t>1898-08-01</t>
  </si>
  <si>
    <t>1898-09-01</t>
  </si>
  <si>
    <t>1898-10-01</t>
  </si>
  <si>
    <t>1898-11-01</t>
  </si>
  <si>
    <t>1898-12-01</t>
  </si>
  <si>
    <t>1899-01-01</t>
  </si>
  <si>
    <t>1899-02-01</t>
  </si>
  <si>
    <t>1899-03-01</t>
  </si>
  <si>
    <t>1899-04-01</t>
  </si>
  <si>
    <t>1899-05-01</t>
  </si>
  <si>
    <t>1899-06-01</t>
  </si>
  <si>
    <t>1899-07-01</t>
  </si>
  <si>
    <t>1899-08-01</t>
  </si>
  <si>
    <t>1899-09-01</t>
  </si>
  <si>
    <t>1899-10-01</t>
  </si>
  <si>
    <t>1899-11-01</t>
  </si>
  <si>
    <t>1899-12-01</t>
  </si>
  <si>
    <t>1900-01-01</t>
  </si>
  <si>
    <t>1900-02-01</t>
  </si>
  <si>
    <t>1900-03-01</t>
  </si>
  <si>
    <t>1900-04-01</t>
  </si>
  <si>
    <t>1900-05-01</t>
  </si>
  <si>
    <t>1900-06-01</t>
  </si>
  <si>
    <t>1900-07-01</t>
  </si>
  <si>
    <t>1900-08-01</t>
  </si>
  <si>
    <t>1900-09-01</t>
  </si>
  <si>
    <t>1900-10-01</t>
  </si>
  <si>
    <t>1900-11-01</t>
  </si>
  <si>
    <t>1900-12-01</t>
  </si>
  <si>
    <t>1901-01-01</t>
  </si>
  <si>
    <t>1901-02-01</t>
  </si>
  <si>
    <t>1901-03-01</t>
  </si>
  <si>
    <t>1901-04-01</t>
  </si>
  <si>
    <t>1901-05-01</t>
  </si>
  <si>
    <t>1901-06-01</t>
  </si>
  <si>
    <t>1901-07-01</t>
  </si>
  <si>
    <t>1901-08-01</t>
  </si>
  <si>
    <t>1901-09-01</t>
  </si>
  <si>
    <t>1901-10-01</t>
  </si>
  <si>
    <t>1901-11-01</t>
  </si>
  <si>
    <t>1901-12-01</t>
  </si>
  <si>
    <t>1902-01-01</t>
  </si>
  <si>
    <t>1902-02-01</t>
  </si>
  <si>
    <t>1902-03-01</t>
  </si>
  <si>
    <t>1902-04-01</t>
  </si>
  <si>
    <t>1902-05-01</t>
  </si>
  <si>
    <t>1902-06-01</t>
  </si>
  <si>
    <t>1902-07-01</t>
  </si>
  <si>
    <t>1902-08-01</t>
  </si>
  <si>
    <t>1902-09-01</t>
  </si>
  <si>
    <t>1902-10-01</t>
  </si>
  <si>
    <t>1902-11-01</t>
  </si>
  <si>
    <t>1902-12-01</t>
  </si>
  <si>
    <t>1903-01-01</t>
  </si>
  <si>
    <t>1903-02-01</t>
  </si>
  <si>
    <t>1903-03-01</t>
  </si>
  <si>
    <t>1903-04-01</t>
  </si>
  <si>
    <t>1903-05-01</t>
  </si>
  <si>
    <t>1903-06-01</t>
  </si>
  <si>
    <t>1903-07-01</t>
  </si>
  <si>
    <t>1903-08-01</t>
  </si>
  <si>
    <t>1903-09-01</t>
  </si>
  <si>
    <t>1903-10-01</t>
  </si>
  <si>
    <t>1903-11-01</t>
  </si>
  <si>
    <t>1903-12-01</t>
  </si>
  <si>
    <t>1904-01-01</t>
  </si>
  <si>
    <t>1904-02-01</t>
  </si>
  <si>
    <t>1904-03-01</t>
  </si>
  <si>
    <t>1904-04-01</t>
  </si>
  <si>
    <t>1904-05-01</t>
  </si>
  <si>
    <t>1904-06-01</t>
  </si>
  <si>
    <t>1904-07-01</t>
  </si>
  <si>
    <t>1904-08-01</t>
  </si>
  <si>
    <t>1904-09-01</t>
  </si>
  <si>
    <t>1904-10-01</t>
  </si>
  <si>
    <t>1904-11-01</t>
  </si>
  <si>
    <t>1904-12-01</t>
  </si>
  <si>
    <t>1905-01-01</t>
  </si>
  <si>
    <t>1905-02-01</t>
  </si>
  <si>
    <t>1905-03-01</t>
  </si>
  <si>
    <t>1905-04-01</t>
  </si>
  <si>
    <t>1905-05-01</t>
  </si>
  <si>
    <t>1905-06-01</t>
  </si>
  <si>
    <t>1905-07-01</t>
  </si>
  <si>
    <t>1905-08-01</t>
  </si>
  <si>
    <t>1905-09-01</t>
  </si>
  <si>
    <t>1905-10-01</t>
  </si>
  <si>
    <t>1905-11-01</t>
  </si>
  <si>
    <t>1905-12-01</t>
  </si>
  <si>
    <t>1906-01-01</t>
  </si>
  <si>
    <t>1906-02-01</t>
  </si>
  <si>
    <t>1906-03-01</t>
  </si>
  <si>
    <t>1906-04-01</t>
  </si>
  <si>
    <t>1906-05-01</t>
  </si>
  <si>
    <t>1906-06-01</t>
  </si>
  <si>
    <t>1906-07-01</t>
  </si>
  <si>
    <t>1906-08-01</t>
  </si>
  <si>
    <t>1906-09-01</t>
  </si>
  <si>
    <t>1906-10-01</t>
  </si>
  <si>
    <t>1906-11-01</t>
  </si>
  <si>
    <t>1906-12-01</t>
  </si>
  <si>
    <t>1907-01-01</t>
  </si>
  <si>
    <t>1907-02-01</t>
  </si>
  <si>
    <t>1907-03-01</t>
  </si>
  <si>
    <t>1907-04-01</t>
  </si>
  <si>
    <t>1907-05-01</t>
  </si>
  <si>
    <t>1907-06-01</t>
  </si>
  <si>
    <t>1907-07-01</t>
  </si>
  <si>
    <t>1907-08-01</t>
  </si>
  <si>
    <t>1907-09-01</t>
  </si>
  <si>
    <t>1907-10-01</t>
  </si>
  <si>
    <t>1907-11-01</t>
  </si>
  <si>
    <t>1907-12-01</t>
  </si>
  <si>
    <t>1908-01-01</t>
  </si>
  <si>
    <t>1908-02-01</t>
  </si>
  <si>
    <t>1908-03-01</t>
  </si>
  <si>
    <t>1908-04-01</t>
  </si>
  <si>
    <t>1908-05-01</t>
  </si>
  <si>
    <t>1908-06-01</t>
  </si>
  <si>
    <t>1908-07-01</t>
  </si>
  <si>
    <t>1908-08-01</t>
  </si>
  <si>
    <t>1908-09-01</t>
  </si>
  <si>
    <t>1908-10-01</t>
  </si>
  <si>
    <t>1908-11-01</t>
  </si>
  <si>
    <t>1908-12-01</t>
  </si>
  <si>
    <t>1909-01-01</t>
  </si>
  <si>
    <t>1909-02-01</t>
  </si>
  <si>
    <t>1909-03-01</t>
  </si>
  <si>
    <t>1909-04-01</t>
  </si>
  <si>
    <t>1909-05-01</t>
  </si>
  <si>
    <t>1909-06-01</t>
  </si>
  <si>
    <t>1909-07-01</t>
  </si>
  <si>
    <t>1909-08-01</t>
  </si>
  <si>
    <t>1909-09-01</t>
  </si>
  <si>
    <t>1909-10-01</t>
  </si>
  <si>
    <t>1909-11-01</t>
  </si>
  <si>
    <t>1909-12-01</t>
  </si>
  <si>
    <t>1910-01-01</t>
  </si>
  <si>
    <t>1910-02-01</t>
  </si>
  <si>
    <t>1910-03-01</t>
  </si>
  <si>
    <t>1910-04-01</t>
  </si>
  <si>
    <t>1910-05-01</t>
  </si>
  <si>
    <t>1910-06-01</t>
  </si>
  <si>
    <t>1910-07-01</t>
  </si>
  <si>
    <t>1910-08-01</t>
  </si>
  <si>
    <t>1910-09-01</t>
  </si>
  <si>
    <t>1910-10-01</t>
  </si>
  <si>
    <t>1910-11-01</t>
  </si>
  <si>
    <t>1910-12-01</t>
  </si>
  <si>
    <t>1911-01-01</t>
  </si>
  <si>
    <t>1911-02-01</t>
  </si>
  <si>
    <t>1911-03-01</t>
  </si>
  <si>
    <t>1911-04-01</t>
  </si>
  <si>
    <t>1911-05-01</t>
  </si>
  <si>
    <t>1911-06-01</t>
  </si>
  <si>
    <t>1911-07-01</t>
  </si>
  <si>
    <t>1911-08-01</t>
  </si>
  <si>
    <t>1911-09-01</t>
  </si>
  <si>
    <t>1911-10-01</t>
  </si>
  <si>
    <t>1911-11-01</t>
  </si>
  <si>
    <t>1911-12-01</t>
  </si>
  <si>
    <t>1912-01-01</t>
  </si>
  <si>
    <t>1912-02-01</t>
  </si>
  <si>
    <t>1912-03-01</t>
  </si>
  <si>
    <t>1912-04-01</t>
  </si>
  <si>
    <t>1912-05-01</t>
  </si>
  <si>
    <t>1912-06-01</t>
  </si>
  <si>
    <t>1912-07-01</t>
  </si>
  <si>
    <t>1912-08-01</t>
  </si>
  <si>
    <t>1912-09-01</t>
  </si>
  <si>
    <t>1912-10-01</t>
  </si>
  <si>
    <t>1912-11-01</t>
  </si>
  <si>
    <t>1912-12-01</t>
  </si>
  <si>
    <t>1913-01-01</t>
  </si>
  <si>
    <t>1913-02-01</t>
  </si>
  <si>
    <t>1913-03-01</t>
  </si>
  <si>
    <t>1913-04-01</t>
  </si>
  <si>
    <t>1913-05-01</t>
  </si>
  <si>
    <t>1913-06-01</t>
  </si>
  <si>
    <t>1913-07-01</t>
  </si>
  <si>
    <t>1913-08-01</t>
  </si>
  <si>
    <t>1913-09-01</t>
  </si>
  <si>
    <t>1913-10-01</t>
  </si>
  <si>
    <t>1913-11-01</t>
  </si>
  <si>
    <t>1913-12-01</t>
  </si>
  <si>
    <t>1914-01-01</t>
  </si>
  <si>
    <t>1914-02-01</t>
  </si>
  <si>
    <t>1914-03-01</t>
  </si>
  <si>
    <t>1914-04-01</t>
  </si>
  <si>
    <t>1914-05-01</t>
  </si>
  <si>
    <t>1914-06-01</t>
  </si>
  <si>
    <t>1914-07-01</t>
  </si>
  <si>
    <t>1914-08-01</t>
  </si>
  <si>
    <t>1914-09-01</t>
  </si>
  <si>
    <t>1914-10-01</t>
  </si>
  <si>
    <t>1914-11-01</t>
  </si>
  <si>
    <t>1914-12-01</t>
  </si>
  <si>
    <t>1915-01-01</t>
  </si>
  <si>
    <t>1915-02-01</t>
  </si>
  <si>
    <t>1915-03-01</t>
  </si>
  <si>
    <t>1915-04-01</t>
  </si>
  <si>
    <t>1915-05-01</t>
  </si>
  <si>
    <t>1915-06-01</t>
  </si>
  <si>
    <t>1915-07-01</t>
  </si>
  <si>
    <t>1915-08-01</t>
  </si>
  <si>
    <t>1915-09-01</t>
  </si>
  <si>
    <t>1915-10-01</t>
  </si>
  <si>
    <t>1915-11-01</t>
  </si>
  <si>
    <t>1915-12-01</t>
  </si>
  <si>
    <t>1916-01-01</t>
  </si>
  <si>
    <t>1916-02-01</t>
  </si>
  <si>
    <t>1916-03-01</t>
  </si>
  <si>
    <t>1916-04-01</t>
  </si>
  <si>
    <t>1916-05-01</t>
  </si>
  <si>
    <t>1916-06-01</t>
  </si>
  <si>
    <t>1916-07-01</t>
  </si>
  <si>
    <t>1916-08-01</t>
  </si>
  <si>
    <t>1916-09-01</t>
  </si>
  <si>
    <t>1916-10-01</t>
  </si>
  <si>
    <t>1916-11-01</t>
  </si>
  <si>
    <t>1916-12-01</t>
  </si>
  <si>
    <t>1917-01-01</t>
  </si>
  <si>
    <t>1917-02-01</t>
  </si>
  <si>
    <t>1917-03-01</t>
  </si>
  <si>
    <t>1917-04-01</t>
  </si>
  <si>
    <t>1917-05-01</t>
  </si>
  <si>
    <t>1917-06-01</t>
  </si>
  <si>
    <t>1917-07-01</t>
  </si>
  <si>
    <t>1917-08-01</t>
  </si>
  <si>
    <t>1917-09-01</t>
  </si>
  <si>
    <t>1917-10-01</t>
  </si>
  <si>
    <t>1917-11-01</t>
  </si>
  <si>
    <t>1917-12-01</t>
  </si>
  <si>
    <t>1918-01-01</t>
  </si>
  <si>
    <t>1918-02-01</t>
  </si>
  <si>
    <t>1918-03-01</t>
  </si>
  <si>
    <t>1918-04-01</t>
  </si>
  <si>
    <t>1918-05-01</t>
  </si>
  <si>
    <t>1918-06-01</t>
  </si>
  <si>
    <t>1918-07-01</t>
  </si>
  <si>
    <t>1918-08-01</t>
  </si>
  <si>
    <t>1918-09-01</t>
  </si>
  <si>
    <t>1918-10-01</t>
  </si>
  <si>
    <t>1918-11-01</t>
  </si>
  <si>
    <t>1918-12-01</t>
  </si>
  <si>
    <t>1919-01-01</t>
  </si>
  <si>
    <t>1919-02-01</t>
  </si>
  <si>
    <t>1919-03-01</t>
  </si>
  <si>
    <t>1919-04-01</t>
  </si>
  <si>
    <t>1919-05-01</t>
  </si>
  <si>
    <t>1919-06-01</t>
  </si>
  <si>
    <t>1919-07-01</t>
  </si>
  <si>
    <t>1919-08-01</t>
  </si>
  <si>
    <t>1919-09-01</t>
  </si>
  <si>
    <t>1919-10-01</t>
  </si>
  <si>
    <t>1919-11-01</t>
  </si>
  <si>
    <t>1919-12-01</t>
  </si>
  <si>
    <t>1920-01-01</t>
  </si>
  <si>
    <t>1920-02-01</t>
  </si>
  <si>
    <t>1920-03-01</t>
  </si>
  <si>
    <t>1920-04-01</t>
  </si>
  <si>
    <t>1920-05-01</t>
  </si>
  <si>
    <t>1920-06-01</t>
  </si>
  <si>
    <t>1920-07-01</t>
  </si>
  <si>
    <t>1920-08-01</t>
  </si>
  <si>
    <t>1920-09-01</t>
  </si>
  <si>
    <t>1920-10-01</t>
  </si>
  <si>
    <t>1920-11-01</t>
  </si>
  <si>
    <t>1920-12-01</t>
  </si>
  <si>
    <t>1921-01-01</t>
  </si>
  <si>
    <t>1921-02-01</t>
  </si>
  <si>
    <t>1921-03-01</t>
  </si>
  <si>
    <t>1921-04-01</t>
  </si>
  <si>
    <t>1921-05-01</t>
  </si>
  <si>
    <t>1921-06-01</t>
  </si>
  <si>
    <t>1921-07-01</t>
  </si>
  <si>
    <t>1921-08-01</t>
  </si>
  <si>
    <t>1921-09-01</t>
  </si>
  <si>
    <t>1921-10-01</t>
  </si>
  <si>
    <t>1921-11-01</t>
  </si>
  <si>
    <t>1921-12-01</t>
  </si>
  <si>
    <t>1922-01-01</t>
  </si>
  <si>
    <t>1922-02-01</t>
  </si>
  <si>
    <t>1922-03-01</t>
  </si>
  <si>
    <t>1922-04-01</t>
  </si>
  <si>
    <t>1922-05-01</t>
  </si>
  <si>
    <t>1922-06-01</t>
  </si>
  <si>
    <t>1922-07-01</t>
  </si>
  <si>
    <t>1922-08-01</t>
  </si>
  <si>
    <t>1922-09-01</t>
  </si>
  <si>
    <t>1922-10-01</t>
  </si>
  <si>
    <t>1922-11-01</t>
  </si>
  <si>
    <t>1922-12-01</t>
  </si>
  <si>
    <t>1923-01-01</t>
  </si>
  <si>
    <t>1923-02-01</t>
  </si>
  <si>
    <t>1923-03-01</t>
  </si>
  <si>
    <t>1923-04-01</t>
  </si>
  <si>
    <t>1923-05-01</t>
  </si>
  <si>
    <t>1923-06-01</t>
  </si>
  <si>
    <t>1923-07-01</t>
  </si>
  <si>
    <t>1923-08-01</t>
  </si>
  <si>
    <t>1923-09-01</t>
  </si>
  <si>
    <t>1923-10-01</t>
  </si>
  <si>
    <t>1923-11-01</t>
  </si>
  <si>
    <t>1923-12-01</t>
  </si>
  <si>
    <t>1924-01-01</t>
  </si>
  <si>
    <t>1924-02-01</t>
  </si>
  <si>
    <t>1924-03-01</t>
  </si>
  <si>
    <t>1924-04-01</t>
  </si>
  <si>
    <t>1924-05-01</t>
  </si>
  <si>
    <t>1924-06-01</t>
  </si>
  <si>
    <t>1924-07-01</t>
  </si>
  <si>
    <t>1924-08-01</t>
  </si>
  <si>
    <t>1924-09-01</t>
  </si>
  <si>
    <t>1924-10-01</t>
  </si>
  <si>
    <t>1924-11-01</t>
  </si>
  <si>
    <t>1924-12-01</t>
  </si>
  <si>
    <t>1925-01-01</t>
  </si>
  <si>
    <t>1925-02-01</t>
  </si>
  <si>
    <t>1925-03-01</t>
  </si>
  <si>
    <t>1925-04-01</t>
  </si>
  <si>
    <t>1925-05-01</t>
  </si>
  <si>
    <t>1925-06-01</t>
  </si>
  <si>
    <t>1925-07-01</t>
  </si>
  <si>
    <t>1925-08-01</t>
  </si>
  <si>
    <t>1925-09-01</t>
  </si>
  <si>
    <t>1925-10-01</t>
  </si>
  <si>
    <t>1925-11-01</t>
  </si>
  <si>
    <t>1925-12-01</t>
  </si>
  <si>
    <t>1926-01-01</t>
  </si>
  <si>
    <t>1926-02-01</t>
  </si>
  <si>
    <t>1926-03-01</t>
  </si>
  <si>
    <t>1926-04-01</t>
  </si>
  <si>
    <t>1926-05-01</t>
  </si>
  <si>
    <t>1926-06-01</t>
  </si>
  <si>
    <t>1926-07-01</t>
  </si>
  <si>
    <t>1926-08-01</t>
  </si>
  <si>
    <t>1926-09-01</t>
  </si>
  <si>
    <t>1926-10-01</t>
  </si>
  <si>
    <t>1926-11-01</t>
  </si>
  <si>
    <t>1926-12-01</t>
  </si>
  <si>
    <t>1927-01-01</t>
  </si>
  <si>
    <t>1927-02-01</t>
  </si>
  <si>
    <t>1927-03-01</t>
  </si>
  <si>
    <t>1927-04-01</t>
  </si>
  <si>
    <t>1927-05-01</t>
  </si>
  <si>
    <t>1927-06-01</t>
  </si>
  <si>
    <t>1927-07-01</t>
  </si>
  <si>
    <t>1927-08-01</t>
  </si>
  <si>
    <t>1927-09-01</t>
  </si>
  <si>
    <t>1927-10-01</t>
  </si>
  <si>
    <t>1927-11-01</t>
  </si>
  <si>
    <t>1927-12-01</t>
  </si>
  <si>
    <t>1928-01-01</t>
  </si>
  <si>
    <t>1928-02-01</t>
  </si>
  <si>
    <t>1928-03-01</t>
  </si>
  <si>
    <t>1928-04-01</t>
  </si>
  <si>
    <t>1928-05-01</t>
  </si>
  <si>
    <t>1928-06-01</t>
  </si>
  <si>
    <t>1928-07-01</t>
  </si>
  <si>
    <t>1928-08-01</t>
  </si>
  <si>
    <t>1928-09-01</t>
  </si>
  <si>
    <t>1928-10-01</t>
  </si>
  <si>
    <t>1928-11-01</t>
  </si>
  <si>
    <t>1928-12-01</t>
  </si>
  <si>
    <t>1929-01-01</t>
  </si>
  <si>
    <t>1929-02-01</t>
  </si>
  <si>
    <t>1929-03-01</t>
  </si>
  <si>
    <t>1929-04-01</t>
  </si>
  <si>
    <t>1929-05-01</t>
  </si>
  <si>
    <t>1929-06-01</t>
  </si>
  <si>
    <t>1929-07-01</t>
  </si>
  <si>
    <t>1929-08-01</t>
  </si>
  <si>
    <t>1929-09-01</t>
  </si>
  <si>
    <t>1929-10-01</t>
  </si>
  <si>
    <t>1929-11-01</t>
  </si>
  <si>
    <t>1929-12-01</t>
  </si>
  <si>
    <t>1930-01-01</t>
  </si>
  <si>
    <t>1930-02-01</t>
  </si>
  <si>
    <t>1930-03-01</t>
  </si>
  <si>
    <t>1930-04-01</t>
  </si>
  <si>
    <t>1930-05-01</t>
  </si>
  <si>
    <t>1930-06-01</t>
  </si>
  <si>
    <t>1930-07-01</t>
  </si>
  <si>
    <t>1930-08-01</t>
  </si>
  <si>
    <t>1930-09-01</t>
  </si>
  <si>
    <t>1930-10-01</t>
  </si>
  <si>
    <t>1930-11-01</t>
  </si>
  <si>
    <t>1930-12-01</t>
  </si>
  <si>
    <t>1931-01-01</t>
  </si>
  <si>
    <t>1931-02-01</t>
  </si>
  <si>
    <t>1931-03-01</t>
  </si>
  <si>
    <t>1931-04-01</t>
  </si>
  <si>
    <t>1931-05-01</t>
  </si>
  <si>
    <t>1931-06-01</t>
  </si>
  <si>
    <t>1931-07-01</t>
  </si>
  <si>
    <t>1931-08-01</t>
  </si>
  <si>
    <t>1931-09-01</t>
  </si>
  <si>
    <t>1931-10-01</t>
  </si>
  <si>
    <t>1931-11-01</t>
  </si>
  <si>
    <t>1931-12-01</t>
  </si>
  <si>
    <t>1932-01-01</t>
  </si>
  <si>
    <t>1932-02-01</t>
  </si>
  <si>
    <t>1932-03-01</t>
  </si>
  <si>
    <t>1932-04-01</t>
  </si>
  <si>
    <t>1932-05-01</t>
  </si>
  <si>
    <t>1932-06-01</t>
  </si>
  <si>
    <t>1932-07-01</t>
  </si>
  <si>
    <t>1932-08-01</t>
  </si>
  <si>
    <t>1932-09-01</t>
  </si>
  <si>
    <t>1932-10-01</t>
  </si>
  <si>
    <t>1932-11-01</t>
  </si>
  <si>
    <t>1932-12-01</t>
  </si>
  <si>
    <t>1933-01-01</t>
  </si>
  <si>
    <t>1933-02-01</t>
  </si>
  <si>
    <t>1933-03-01</t>
  </si>
  <si>
    <t>1933-04-01</t>
  </si>
  <si>
    <t>1933-05-01</t>
  </si>
  <si>
    <t>1933-06-01</t>
  </si>
  <si>
    <t>1933-07-01</t>
  </si>
  <si>
    <t>1933-08-01</t>
  </si>
  <si>
    <t>1933-09-01</t>
  </si>
  <si>
    <t>1933-10-01</t>
  </si>
  <si>
    <t>1933-11-01</t>
  </si>
  <si>
    <t>1933-12-01</t>
  </si>
  <si>
    <t>1934-01-01</t>
  </si>
  <si>
    <t>1934-02-01</t>
  </si>
  <si>
    <t>1934-03-01</t>
  </si>
  <si>
    <t>1934-04-01</t>
  </si>
  <si>
    <t>1934-05-01</t>
  </si>
  <si>
    <t>1934-06-01</t>
  </si>
  <si>
    <t>1934-07-01</t>
  </si>
  <si>
    <t>1934-08-01</t>
  </si>
  <si>
    <t>1934-09-01</t>
  </si>
  <si>
    <t>1934-10-01</t>
  </si>
  <si>
    <t>1934-11-01</t>
  </si>
  <si>
    <t>1934-12-01</t>
  </si>
  <si>
    <t>1935-01-01</t>
  </si>
  <si>
    <t>1935-02-01</t>
  </si>
  <si>
    <t>1935-03-01</t>
  </si>
  <si>
    <t>1935-04-01</t>
  </si>
  <si>
    <t>1935-05-01</t>
  </si>
  <si>
    <t>1935-06-01</t>
  </si>
  <si>
    <t>1935-07-01</t>
  </si>
  <si>
    <t>1935-08-01</t>
  </si>
  <si>
    <t>1935-09-01</t>
  </si>
  <si>
    <t>1935-10-01</t>
  </si>
  <si>
    <t>1935-11-01</t>
  </si>
  <si>
    <t>1935-12-01</t>
  </si>
  <si>
    <t>1936-01-01</t>
  </si>
  <si>
    <t>1936-02-01</t>
  </si>
  <si>
    <t>1936-03-01</t>
  </si>
  <si>
    <t>1936-04-01</t>
  </si>
  <si>
    <t>1936-05-01</t>
  </si>
  <si>
    <t>1936-06-01</t>
  </si>
  <si>
    <t>1936-07-01</t>
  </si>
  <si>
    <t>1936-08-01</t>
  </si>
  <si>
    <t>1936-09-01</t>
  </si>
  <si>
    <t>1936-10-01</t>
  </si>
  <si>
    <t>1936-11-01</t>
  </si>
  <si>
    <t>1936-12-01</t>
  </si>
  <si>
    <t>1937-01-01</t>
  </si>
  <si>
    <t>1937-02-01</t>
  </si>
  <si>
    <t>1937-03-01</t>
  </si>
  <si>
    <t>1937-04-01</t>
  </si>
  <si>
    <t>1937-05-01</t>
  </si>
  <si>
    <t>1937-06-01</t>
  </si>
  <si>
    <t>1937-07-01</t>
  </si>
  <si>
    <t>1937-08-01</t>
  </si>
  <si>
    <t>1937-09-01</t>
  </si>
  <si>
    <t>1937-10-01</t>
  </si>
  <si>
    <t>1937-11-01</t>
  </si>
  <si>
    <t>1937-12-01</t>
  </si>
  <si>
    <t>1938-01-01</t>
  </si>
  <si>
    <t>1938-02-01</t>
  </si>
  <si>
    <t>1938-03-01</t>
  </si>
  <si>
    <t>1938-04-01</t>
  </si>
  <si>
    <t>1938-05-01</t>
  </si>
  <si>
    <t>1938-06-01</t>
  </si>
  <si>
    <t>1938-07-01</t>
  </si>
  <si>
    <t>1938-08-01</t>
  </si>
  <si>
    <t>1938-09-01</t>
  </si>
  <si>
    <t>1938-10-01</t>
  </si>
  <si>
    <t>1938-11-01</t>
  </si>
  <si>
    <t>1938-12-01</t>
  </si>
  <si>
    <t>1939-01-01</t>
  </si>
  <si>
    <t>1939-02-01</t>
  </si>
  <si>
    <t>1939-03-01</t>
  </si>
  <si>
    <t>1939-04-01</t>
  </si>
  <si>
    <t>1939-05-01</t>
  </si>
  <si>
    <t>1939-06-01</t>
  </si>
  <si>
    <t>1939-07-01</t>
  </si>
  <si>
    <t>1939-08-01</t>
  </si>
  <si>
    <t>1939-09-01</t>
  </si>
  <si>
    <t>1939-10-01</t>
  </si>
  <si>
    <t>1939-11-01</t>
  </si>
  <si>
    <t>1939-12-01</t>
  </si>
  <si>
    <t>1940-01-01</t>
  </si>
  <si>
    <t>1940-02-01</t>
  </si>
  <si>
    <t>1940-03-01</t>
  </si>
  <si>
    <t>1940-04-01</t>
  </si>
  <si>
    <t>1940-05-01</t>
  </si>
  <si>
    <t>1940-06-01</t>
  </si>
  <si>
    <t>1940-07-01</t>
  </si>
  <si>
    <t>1940-08-01</t>
  </si>
  <si>
    <t>1940-09-01</t>
  </si>
  <si>
    <t>1940-10-01</t>
  </si>
  <si>
    <t>1940-11-01</t>
  </si>
  <si>
    <t>1940-12-01</t>
  </si>
  <si>
    <t>1941-01-01</t>
  </si>
  <si>
    <t>1941-02-01</t>
  </si>
  <si>
    <t>1941-03-01</t>
  </si>
  <si>
    <t>1941-04-01</t>
  </si>
  <si>
    <t>1941-05-01</t>
  </si>
  <si>
    <t>1941-06-01</t>
  </si>
  <si>
    <t>1941-07-01</t>
  </si>
  <si>
    <t>1941-08-01</t>
  </si>
  <si>
    <t>1941-09-01</t>
  </si>
  <si>
    <t>1941-10-01</t>
  </si>
  <si>
    <t>1941-11-01</t>
  </si>
  <si>
    <t>1941-12-01</t>
  </si>
  <si>
    <t>1942-01-01</t>
  </si>
  <si>
    <t>1942-02-01</t>
  </si>
  <si>
    <t>1942-03-01</t>
  </si>
  <si>
    <t>1942-04-01</t>
  </si>
  <si>
    <t>1942-05-01</t>
  </si>
  <si>
    <t>1942-06-01</t>
  </si>
  <si>
    <t>1942-07-01</t>
  </si>
  <si>
    <t>1942-08-01</t>
  </si>
  <si>
    <t>1942-09-01</t>
  </si>
  <si>
    <t>1942-10-01</t>
  </si>
  <si>
    <t>1942-11-01</t>
  </si>
  <si>
    <t>1942-12-01</t>
  </si>
  <si>
    <t>1943-01-01</t>
  </si>
  <si>
    <t>1943-02-01</t>
  </si>
  <si>
    <t>1943-03-01</t>
  </si>
  <si>
    <t>1943-04-01</t>
  </si>
  <si>
    <t>1943-05-01</t>
  </si>
  <si>
    <t>1943-06-01</t>
  </si>
  <si>
    <t>1943-07-01</t>
  </si>
  <si>
    <t>1943-08-01</t>
  </si>
  <si>
    <t>1943-09-01</t>
  </si>
  <si>
    <t>1943-10-01</t>
  </si>
  <si>
    <t>1943-11-01</t>
  </si>
  <si>
    <t>1943-12-01</t>
  </si>
  <si>
    <t>1944-01-01</t>
  </si>
  <si>
    <t>1944-02-01</t>
  </si>
  <si>
    <t>1944-03-01</t>
  </si>
  <si>
    <t>1944-04-01</t>
  </si>
  <si>
    <t>1944-05-01</t>
  </si>
  <si>
    <t>1944-06-01</t>
  </si>
  <si>
    <t>1944-07-01</t>
  </si>
  <si>
    <t>1944-08-01</t>
  </si>
  <si>
    <t>1944-09-01</t>
  </si>
  <si>
    <t>1944-10-01</t>
  </si>
  <si>
    <t>1944-11-01</t>
  </si>
  <si>
    <t>1944-12-01</t>
  </si>
  <si>
    <t>1945-01-01</t>
  </si>
  <si>
    <t>1945-02-01</t>
  </si>
  <si>
    <t>1945-03-01</t>
  </si>
  <si>
    <t>1945-04-01</t>
  </si>
  <si>
    <t>1945-05-01</t>
  </si>
  <si>
    <t>1945-06-01</t>
  </si>
  <si>
    <t>1945-07-01</t>
  </si>
  <si>
    <t>1945-08-01</t>
  </si>
  <si>
    <t>1945-09-01</t>
  </si>
  <si>
    <t>1945-10-01</t>
  </si>
  <si>
    <t>1945-11-01</t>
  </si>
  <si>
    <t>1945-12-01</t>
  </si>
  <si>
    <t>1946-01-01</t>
  </si>
  <si>
    <t>1946-02-01</t>
  </si>
  <si>
    <t>1946-03-01</t>
  </si>
  <si>
    <t>1946-04-01</t>
  </si>
  <si>
    <t>1946-05-01</t>
  </si>
  <si>
    <t>1946-06-01</t>
  </si>
  <si>
    <t>1946-07-01</t>
  </si>
  <si>
    <t>1946-08-01</t>
  </si>
  <si>
    <t>1946-09-01</t>
  </si>
  <si>
    <t>1946-10-01</t>
  </si>
  <si>
    <t>1946-11-01</t>
  </si>
  <si>
    <t>1946-12-01</t>
  </si>
  <si>
    <t>1947-01-01</t>
  </si>
  <si>
    <t>1947-02-01</t>
  </si>
  <si>
    <t>1947-03-01</t>
  </si>
  <si>
    <t>1947-04-01</t>
  </si>
  <si>
    <t>1947-05-01</t>
  </si>
  <si>
    <t>1947-06-01</t>
  </si>
  <si>
    <t>1947-07-01</t>
  </si>
  <si>
    <t>1947-08-01</t>
  </si>
  <si>
    <t>1947-09-01</t>
  </si>
  <si>
    <t>1947-10-01</t>
  </si>
  <si>
    <t>1947-11-01</t>
  </si>
  <si>
    <t>1947-12-01</t>
  </si>
  <si>
    <t>1948-01-01</t>
  </si>
  <si>
    <t>1948-02-01</t>
  </si>
  <si>
    <t>1948-03-01</t>
  </si>
  <si>
    <t>1948-04-01</t>
  </si>
  <si>
    <t>1948-05-01</t>
  </si>
  <si>
    <t>1948-06-01</t>
  </si>
  <si>
    <t>1948-07-01</t>
  </si>
  <si>
    <t>1948-08-01</t>
  </si>
  <si>
    <t>1948-09-01</t>
  </si>
  <si>
    <t>1948-10-01</t>
  </si>
  <si>
    <t>1948-11-01</t>
  </si>
  <si>
    <t>1948-12-01</t>
  </si>
  <si>
    <t>1949-01-01</t>
  </si>
  <si>
    <t>1949-02-01</t>
  </si>
  <si>
    <t>1949-03-01</t>
  </si>
  <si>
    <t>1949-04-01</t>
  </si>
  <si>
    <t>1949-05-01</t>
  </si>
  <si>
    <t>1949-06-01</t>
  </si>
  <si>
    <t>1949-07-01</t>
  </si>
  <si>
    <t>1949-08-01</t>
  </si>
  <si>
    <t>1949-09-01</t>
  </si>
  <si>
    <t>1949-10-01</t>
  </si>
  <si>
    <t>1949-11-01</t>
  </si>
  <si>
    <t>1949-12-01</t>
  </si>
  <si>
    <t>1950-01-01</t>
  </si>
  <si>
    <t>1950-02-01</t>
  </si>
  <si>
    <t>1950-03-01</t>
  </si>
  <si>
    <t>1950-04-01</t>
  </si>
  <si>
    <t>1950-05-01</t>
  </si>
  <si>
    <t>1950-06-01</t>
  </si>
  <si>
    <t>1950-07-01</t>
  </si>
  <si>
    <t>1950-08-01</t>
  </si>
  <si>
    <t>1950-09-01</t>
  </si>
  <si>
    <t>1950-10-01</t>
  </si>
  <si>
    <t>1950-11-01</t>
  </si>
  <si>
    <t>1950-12-01</t>
  </si>
  <si>
    <t>1951-01-01</t>
  </si>
  <si>
    <t>1951-02-01</t>
  </si>
  <si>
    <t>1951-03-01</t>
  </si>
  <si>
    <t>1951-04-01</t>
  </si>
  <si>
    <t>1951-05-01</t>
  </si>
  <si>
    <t>1951-06-01</t>
  </si>
  <si>
    <t>1951-07-01</t>
  </si>
  <si>
    <t>1951-08-01</t>
  </si>
  <si>
    <t>1951-09-01</t>
  </si>
  <si>
    <t>1951-10-01</t>
  </si>
  <si>
    <t>1951-11-01</t>
  </si>
  <si>
    <t>1951-12-01</t>
  </si>
  <si>
    <t>1952-01-01</t>
  </si>
  <si>
    <t>1952-02-01</t>
  </si>
  <si>
    <t>1952-03-01</t>
  </si>
  <si>
    <t>1952-04-01</t>
  </si>
  <si>
    <t>1952-05-01</t>
  </si>
  <si>
    <t>1952-06-01</t>
  </si>
  <si>
    <t>1952-07-01</t>
  </si>
  <si>
    <t>1952-08-01</t>
  </si>
  <si>
    <t>1952-09-01</t>
  </si>
  <si>
    <t>1952-10-01</t>
  </si>
  <si>
    <t>1952-11-01</t>
  </si>
  <si>
    <t>1952-12-01</t>
  </si>
  <si>
    <t>1953-01-01</t>
  </si>
  <si>
    <t>1953-02-01</t>
  </si>
  <si>
    <t>1953-03-01</t>
  </si>
  <si>
    <t>1953-04-01</t>
  </si>
  <si>
    <t>1953-05-01</t>
  </si>
  <si>
    <t>1953-06-01</t>
  </si>
  <si>
    <t>1953-07-01</t>
  </si>
  <si>
    <t>1953-08-01</t>
  </si>
  <si>
    <t>1953-09-01</t>
  </si>
  <si>
    <t>1953-10-01</t>
  </si>
  <si>
    <t>1953-11-01</t>
  </si>
  <si>
    <t>1953-12-01</t>
  </si>
  <si>
    <t>1954-01-01</t>
  </si>
  <si>
    <t>1954-02-01</t>
  </si>
  <si>
    <t>1954-03-01</t>
  </si>
  <si>
    <t>1954-04-01</t>
  </si>
  <si>
    <t>1954-05-01</t>
  </si>
  <si>
    <t>1954-06-01</t>
  </si>
  <si>
    <t>1954-07-01</t>
  </si>
  <si>
    <t>1954-08-01</t>
  </si>
  <si>
    <t>1954-09-01</t>
  </si>
  <si>
    <t>1954-10-01</t>
  </si>
  <si>
    <t>1954-11-01</t>
  </si>
  <si>
    <t>1954-12-01</t>
  </si>
  <si>
    <t>1955-01-01</t>
  </si>
  <si>
    <t>1955-02-01</t>
  </si>
  <si>
    <t>1955-03-01</t>
  </si>
  <si>
    <t>1955-04-01</t>
  </si>
  <si>
    <t>1955-05-01</t>
  </si>
  <si>
    <t>1955-06-01</t>
  </si>
  <si>
    <t>1955-07-01</t>
  </si>
  <si>
    <t>1955-08-01</t>
  </si>
  <si>
    <t>1955-09-01</t>
  </si>
  <si>
    <t>1955-10-01</t>
  </si>
  <si>
    <t>1955-11-01</t>
  </si>
  <si>
    <t>1955-12-01</t>
  </si>
  <si>
    <t>1956-01-01</t>
  </si>
  <si>
    <t>1956-02-01</t>
  </si>
  <si>
    <t>1956-03-01</t>
  </si>
  <si>
    <t>1956-04-01</t>
  </si>
  <si>
    <t>1956-05-01</t>
  </si>
  <si>
    <t>1956-06-01</t>
  </si>
  <si>
    <t>1956-07-01</t>
  </si>
  <si>
    <t>1956-08-01</t>
  </si>
  <si>
    <t>1956-09-01</t>
  </si>
  <si>
    <t>1956-10-01</t>
  </si>
  <si>
    <t>1956-11-01</t>
  </si>
  <si>
    <t>1956-12-01</t>
  </si>
  <si>
    <t>1957-01-01</t>
  </si>
  <si>
    <t>1957-02-01</t>
  </si>
  <si>
    <t>1957-03-01</t>
  </si>
  <si>
    <t>1957-04-01</t>
  </si>
  <si>
    <t>1957-05-01</t>
  </si>
  <si>
    <t>1957-06-01</t>
  </si>
  <si>
    <t>1957-07-01</t>
  </si>
  <si>
    <t>1957-08-01</t>
  </si>
  <si>
    <t>1957-09-01</t>
  </si>
  <si>
    <t>1957-10-01</t>
  </si>
  <si>
    <t>1957-11-01</t>
  </si>
  <si>
    <t>1957-12-01</t>
  </si>
  <si>
    <t>1958-01-01</t>
  </si>
  <si>
    <t>1958-02-01</t>
  </si>
  <si>
    <t>1958-03-01</t>
  </si>
  <si>
    <t>1958-04-01</t>
  </si>
  <si>
    <t>1958-05-01</t>
  </si>
  <si>
    <t>1958-06-01</t>
  </si>
  <si>
    <t>1958-07-01</t>
  </si>
  <si>
    <t>1958-08-01</t>
  </si>
  <si>
    <t>1958-09-01</t>
  </si>
  <si>
    <t>1958-10-01</t>
  </si>
  <si>
    <t>1958-11-01</t>
  </si>
  <si>
    <t>1958-12-01</t>
  </si>
  <si>
    <t>1959-01-01</t>
  </si>
  <si>
    <t>1959-02-01</t>
  </si>
  <si>
    <t>1959-03-01</t>
  </si>
  <si>
    <t>1959-04-01</t>
  </si>
  <si>
    <t>1959-05-01</t>
  </si>
  <si>
    <t>1959-06-01</t>
  </si>
  <si>
    <t>1959-07-01</t>
  </si>
  <si>
    <t>1959-08-01</t>
  </si>
  <si>
    <t>1959-09-01</t>
  </si>
  <si>
    <t>1959-10-01</t>
  </si>
  <si>
    <t>1959-11-01</t>
  </si>
  <si>
    <t>1959-12-01</t>
  </si>
  <si>
    <t>1960-01-01</t>
  </si>
  <si>
    <t>1960-02-01</t>
  </si>
  <si>
    <t>1960-03-01</t>
  </si>
  <si>
    <t>1960-04-01</t>
  </si>
  <si>
    <t>1960-05-01</t>
  </si>
  <si>
    <t>1960-06-01</t>
  </si>
  <si>
    <t>1960-07-01</t>
  </si>
  <si>
    <t>1960-08-01</t>
  </si>
  <si>
    <t>1960-09-01</t>
  </si>
  <si>
    <t>1960-10-01</t>
  </si>
  <si>
    <t>1960-11-01</t>
  </si>
  <si>
    <t>1960-12-01</t>
  </si>
  <si>
    <t>1961-01-01</t>
  </si>
  <si>
    <t>1961-02-01</t>
  </si>
  <si>
    <t>1961-03-01</t>
  </si>
  <si>
    <t>1961-04-01</t>
  </si>
  <si>
    <t>1961-05-01</t>
  </si>
  <si>
    <t>1961-06-01</t>
  </si>
  <si>
    <t>1961-07-01</t>
  </si>
  <si>
    <t>1961-08-01</t>
  </si>
  <si>
    <t>1961-09-01</t>
  </si>
  <si>
    <t>1961-10-01</t>
  </si>
  <si>
    <t>1961-11-01</t>
  </si>
  <si>
    <t>1961-12-01</t>
  </si>
  <si>
    <t>1962-01-01</t>
  </si>
  <si>
    <t>1962-02-01</t>
  </si>
  <si>
    <t>1962-03-01</t>
  </si>
  <si>
    <t>1962-04-01</t>
  </si>
  <si>
    <t>1962-05-01</t>
  </si>
  <si>
    <t>1962-06-01</t>
  </si>
  <si>
    <t>1962-07-01</t>
  </si>
  <si>
    <t>1962-08-01</t>
  </si>
  <si>
    <t>1962-09-01</t>
  </si>
  <si>
    <t>1962-10-01</t>
  </si>
  <si>
    <t>1962-11-01</t>
  </si>
  <si>
    <t>1962-12-01</t>
  </si>
  <si>
    <t>1963-01-01</t>
  </si>
  <si>
    <t>1963-02-01</t>
  </si>
  <si>
    <t>1963-03-01</t>
  </si>
  <si>
    <t>1963-04-01</t>
  </si>
  <si>
    <t>1963-05-01</t>
  </si>
  <si>
    <t>1963-06-01</t>
  </si>
  <si>
    <t>1963-07-01</t>
  </si>
  <si>
    <t>1963-08-01</t>
  </si>
  <si>
    <t>1963-09-01</t>
  </si>
  <si>
    <t>1963-10-01</t>
  </si>
  <si>
    <t>1963-11-01</t>
  </si>
  <si>
    <t>1963-12-01</t>
  </si>
  <si>
    <t>1964-01-01</t>
  </si>
  <si>
    <t>1964-02-01</t>
  </si>
  <si>
    <t>1964-03-01</t>
  </si>
  <si>
    <t>1964-04-01</t>
  </si>
  <si>
    <t>1964-05-01</t>
  </si>
  <si>
    <t>1964-06-01</t>
  </si>
  <si>
    <t>1964-07-01</t>
  </si>
  <si>
    <t>1964-08-01</t>
  </si>
  <si>
    <t>1964-09-01</t>
  </si>
  <si>
    <t>1964-10-01</t>
  </si>
  <si>
    <t>1964-11-01</t>
  </si>
  <si>
    <t>1964-12-01</t>
  </si>
  <si>
    <t>1965-01-01</t>
  </si>
  <si>
    <t>1965-02-01</t>
  </si>
  <si>
    <t>1965-03-01</t>
  </si>
  <si>
    <t>1965-04-01</t>
  </si>
  <si>
    <t>1965-05-01</t>
  </si>
  <si>
    <t>1965-06-01</t>
  </si>
  <si>
    <t>1965-07-01</t>
  </si>
  <si>
    <t>1965-08-01</t>
  </si>
  <si>
    <t>1965-09-01</t>
  </si>
  <si>
    <t>1965-10-01</t>
  </si>
  <si>
    <t>1965-11-01</t>
  </si>
  <si>
    <t>1965-12-01</t>
  </si>
  <si>
    <t>1966-01-01</t>
  </si>
  <si>
    <t>1966-02-01</t>
  </si>
  <si>
    <t>1966-03-01</t>
  </si>
  <si>
    <t>1966-04-01</t>
  </si>
  <si>
    <t>1966-05-01</t>
  </si>
  <si>
    <t>1966-06-01</t>
  </si>
  <si>
    <t>1966-07-01</t>
  </si>
  <si>
    <t>1966-08-01</t>
  </si>
  <si>
    <t>1966-09-01</t>
  </si>
  <si>
    <t>1966-10-01</t>
  </si>
  <si>
    <t>1966-11-01</t>
  </si>
  <si>
    <t>1966-12-01</t>
  </si>
  <si>
    <t>1967-01-01</t>
  </si>
  <si>
    <t>1967-02-01</t>
  </si>
  <si>
    <t>1967-03-01</t>
  </si>
  <si>
    <t>1967-04-01</t>
  </si>
  <si>
    <t>1967-05-01</t>
  </si>
  <si>
    <t>1967-06-01</t>
  </si>
  <si>
    <t>1967-07-01</t>
  </si>
  <si>
    <t>1967-08-01</t>
  </si>
  <si>
    <t>1967-09-01</t>
  </si>
  <si>
    <t>1967-10-01</t>
  </si>
  <si>
    <t>1967-11-01</t>
  </si>
  <si>
    <t>1967-12-01</t>
  </si>
  <si>
    <t>1968-01-01</t>
  </si>
  <si>
    <t>1968-02-01</t>
  </si>
  <si>
    <t>1968-03-01</t>
  </si>
  <si>
    <t>1968-04-01</t>
  </si>
  <si>
    <t>1968-05-01</t>
  </si>
  <si>
    <t>1968-06-01</t>
  </si>
  <si>
    <t>1968-07-01</t>
  </si>
  <si>
    <t>1968-08-01</t>
  </si>
  <si>
    <t>1968-09-01</t>
  </si>
  <si>
    <t>1968-10-01</t>
  </si>
  <si>
    <t>1968-11-01</t>
  </si>
  <si>
    <t>1968-12-01</t>
  </si>
  <si>
    <t>1969-01-01</t>
  </si>
  <si>
    <t>1969-02-01</t>
  </si>
  <si>
    <t>1969-03-01</t>
  </si>
  <si>
    <t>1969-04-01</t>
  </si>
  <si>
    <t>1969-05-01</t>
  </si>
  <si>
    <t>1969-06-01</t>
  </si>
  <si>
    <t>1969-07-01</t>
  </si>
  <si>
    <t>1969-08-01</t>
  </si>
  <si>
    <t>1969-09-01</t>
  </si>
  <si>
    <t>1969-10-01</t>
  </si>
  <si>
    <t>1969-11-01</t>
  </si>
  <si>
    <t>1969-12-01</t>
  </si>
  <si>
    <t>1970-01-01</t>
  </si>
  <si>
    <t>1970-02-01</t>
  </si>
  <si>
    <t>1970-03-01</t>
  </si>
  <si>
    <t>1970-04-01</t>
  </si>
  <si>
    <t>1970-05-01</t>
  </si>
  <si>
    <t>1970-06-01</t>
  </si>
  <si>
    <t>1970-07-01</t>
  </si>
  <si>
    <t>1970-08-01</t>
  </si>
  <si>
    <t>1970-09-01</t>
  </si>
  <si>
    <t>1970-10-01</t>
  </si>
  <si>
    <t>1970-11-01</t>
  </si>
  <si>
    <t>1970-12-01</t>
  </si>
  <si>
    <t>1971-01-01</t>
  </si>
  <si>
    <t>1971-02-01</t>
  </si>
  <si>
    <t>1971-03-01</t>
  </si>
  <si>
    <t>1971-04-01</t>
  </si>
  <si>
    <t>1971-05-01</t>
  </si>
  <si>
    <t>1971-06-01</t>
  </si>
  <si>
    <t>1971-07-01</t>
  </si>
  <si>
    <t>1971-08-01</t>
  </si>
  <si>
    <t>1971-09-01</t>
  </si>
  <si>
    <t>1971-10-01</t>
  </si>
  <si>
    <t>1971-11-01</t>
  </si>
  <si>
    <t>1971-12-01</t>
  </si>
  <si>
    <t>1972-01-01</t>
  </si>
  <si>
    <t>1972-02-01</t>
  </si>
  <si>
    <t>1972-03-01</t>
  </si>
  <si>
    <t>1972-04-01</t>
  </si>
  <si>
    <t>1972-05-01</t>
  </si>
  <si>
    <t>1972-06-01</t>
  </si>
  <si>
    <t>1972-07-01</t>
  </si>
  <si>
    <t>1972-08-01</t>
  </si>
  <si>
    <t>1972-09-01</t>
  </si>
  <si>
    <t>1972-10-01</t>
  </si>
  <si>
    <t>1972-11-01</t>
  </si>
  <si>
    <t>1972-12-01</t>
  </si>
  <si>
    <t>1973-01-01</t>
  </si>
  <si>
    <t>1973-02-01</t>
  </si>
  <si>
    <t>1973-03-01</t>
  </si>
  <si>
    <t>1973-04-01</t>
  </si>
  <si>
    <t>1973-05-01</t>
  </si>
  <si>
    <t>1973-06-01</t>
  </si>
  <si>
    <t>1973-07-01</t>
  </si>
  <si>
    <t>1973-08-01</t>
  </si>
  <si>
    <t>1973-09-01</t>
  </si>
  <si>
    <t>1973-10-01</t>
  </si>
  <si>
    <t>1973-11-01</t>
  </si>
  <si>
    <t>1973-12-01</t>
  </si>
  <si>
    <t>1974-01-01</t>
  </si>
  <si>
    <t>1974-02-01</t>
  </si>
  <si>
    <t>1974-03-01</t>
  </si>
  <si>
    <t>1974-04-01</t>
  </si>
  <si>
    <t>1974-05-01</t>
  </si>
  <si>
    <t>1974-06-01</t>
  </si>
  <si>
    <t>1974-07-01</t>
  </si>
  <si>
    <t>1974-08-01</t>
  </si>
  <si>
    <t>1974-09-01</t>
  </si>
  <si>
    <t>1974-10-01</t>
  </si>
  <si>
    <t>1974-11-01</t>
  </si>
  <si>
    <t>1974-12-01</t>
  </si>
  <si>
    <t>1975-01-01</t>
  </si>
  <si>
    <t>1975-02-01</t>
  </si>
  <si>
    <t>1975-03-01</t>
  </si>
  <si>
    <t>1975-04-01</t>
  </si>
  <si>
    <t>1975-05-01</t>
  </si>
  <si>
    <t>1975-06-01</t>
  </si>
  <si>
    <t>1975-07-01</t>
  </si>
  <si>
    <t>1975-08-01</t>
  </si>
  <si>
    <t>1975-09-01</t>
  </si>
  <si>
    <t>1975-10-01</t>
  </si>
  <si>
    <t>1975-11-01</t>
  </si>
  <si>
    <t>1975-12-01</t>
  </si>
  <si>
    <t>1976-01-01</t>
  </si>
  <si>
    <t>1976-02-01</t>
  </si>
  <si>
    <t>1976-03-01</t>
  </si>
  <si>
    <t>1976-04-01</t>
  </si>
  <si>
    <t>1976-05-01</t>
  </si>
  <si>
    <t>1976-06-01</t>
  </si>
  <si>
    <t>1976-07-01</t>
  </si>
  <si>
    <t>1976-08-01</t>
  </si>
  <si>
    <t>1976-09-01</t>
  </si>
  <si>
    <t>1976-10-01</t>
  </si>
  <si>
    <t>1976-11-01</t>
  </si>
  <si>
    <t>1976-12-01</t>
  </si>
  <si>
    <t>1977-01-01</t>
  </si>
  <si>
    <t>1977-02-01</t>
  </si>
  <si>
    <t>1977-03-01</t>
  </si>
  <si>
    <t>1977-04-01</t>
  </si>
  <si>
    <t>1977-05-01</t>
  </si>
  <si>
    <t>1977-06-01</t>
  </si>
  <si>
    <t>1977-07-01</t>
  </si>
  <si>
    <t>1977-08-01</t>
  </si>
  <si>
    <t>1977-09-01</t>
  </si>
  <si>
    <t>1977-10-01</t>
  </si>
  <si>
    <t>1977-11-01</t>
  </si>
  <si>
    <t>1977-12-01</t>
  </si>
  <si>
    <t>1978-01-01</t>
  </si>
  <si>
    <t>1978-02-01</t>
  </si>
  <si>
    <t>1978-03-01</t>
  </si>
  <si>
    <t>1978-04-01</t>
  </si>
  <si>
    <t>1978-05-01</t>
  </si>
  <si>
    <t>1978-06-01</t>
  </si>
  <si>
    <t>1978-07-01</t>
  </si>
  <si>
    <t>1978-08-01</t>
  </si>
  <si>
    <t>1978-09-01</t>
  </si>
  <si>
    <t>1978-10-01</t>
  </si>
  <si>
    <t>1978-11-01</t>
  </si>
  <si>
    <t>1978-12-01</t>
  </si>
  <si>
    <t>1979-01-01</t>
  </si>
  <si>
    <t>1979-02-01</t>
  </si>
  <si>
    <t>1979-03-01</t>
  </si>
  <si>
    <t>1979-04-01</t>
  </si>
  <si>
    <t>1979-05-01</t>
  </si>
  <si>
    <t>1979-06-01</t>
  </si>
  <si>
    <t>1979-07-01</t>
  </si>
  <si>
    <t>1979-08-01</t>
  </si>
  <si>
    <t>1979-09-01</t>
  </si>
  <si>
    <t>1979-10-01</t>
  </si>
  <si>
    <t>1979-11-01</t>
  </si>
  <si>
    <t>1979-12-01</t>
  </si>
  <si>
    <t>1980-01-01</t>
  </si>
  <si>
    <t>1980-02-01</t>
  </si>
  <si>
    <t>1980-03-01</t>
  </si>
  <si>
    <t>1980-04-01</t>
  </si>
  <si>
    <t>1980-05-01</t>
  </si>
  <si>
    <t>1980-06-01</t>
  </si>
  <si>
    <t>1980-07-01</t>
  </si>
  <si>
    <t>1980-08-01</t>
  </si>
  <si>
    <t>1980-09-01</t>
  </si>
  <si>
    <t>1980-10-01</t>
  </si>
  <si>
    <t>1980-11-01</t>
  </si>
  <si>
    <t>1980-12-01</t>
  </si>
  <si>
    <t>1981-01-01</t>
  </si>
  <si>
    <t>1981-02-01</t>
  </si>
  <si>
    <t>1981-03-01</t>
  </si>
  <si>
    <t>1981-04-01</t>
  </si>
  <si>
    <t>1981-05-01</t>
  </si>
  <si>
    <t>1981-06-01</t>
  </si>
  <si>
    <t>1981-07-01</t>
  </si>
  <si>
    <t>1981-08-01</t>
  </si>
  <si>
    <t>1981-09-01</t>
  </si>
  <si>
    <t>1981-10-01</t>
  </si>
  <si>
    <t>1981-11-01</t>
  </si>
  <si>
    <t>1981-12-01</t>
  </si>
  <si>
    <t>1982-01-01</t>
  </si>
  <si>
    <t>1982-02-01</t>
  </si>
  <si>
    <t>1982-03-01</t>
  </si>
  <si>
    <t>1982-04-01</t>
  </si>
  <si>
    <t>1982-05-01</t>
  </si>
  <si>
    <t>1982-06-01</t>
  </si>
  <si>
    <t>1982-07-01</t>
  </si>
  <si>
    <t>1982-08-01</t>
  </si>
  <si>
    <t>1982-09-01</t>
  </si>
  <si>
    <t>1982-10-01</t>
  </si>
  <si>
    <t>1982-11-01</t>
  </si>
  <si>
    <t>1982-12-01</t>
  </si>
  <si>
    <t>1983-01-01</t>
  </si>
  <si>
    <t>1983-02-01</t>
  </si>
  <si>
    <t>1983-03-01</t>
  </si>
  <si>
    <t>1983-04-01</t>
  </si>
  <si>
    <t>1983-05-01</t>
  </si>
  <si>
    <t>1983-06-01</t>
  </si>
  <si>
    <t>1983-07-01</t>
  </si>
  <si>
    <t>1983-08-01</t>
  </si>
  <si>
    <t>1983-09-01</t>
  </si>
  <si>
    <t>1983-10-01</t>
  </si>
  <si>
    <t>1983-11-01</t>
  </si>
  <si>
    <t>1983-12-01</t>
  </si>
  <si>
    <t>1984-01-01</t>
  </si>
  <si>
    <t>1984-02-01</t>
  </si>
  <si>
    <t>1984-03-01</t>
  </si>
  <si>
    <t>1984-04-01</t>
  </si>
  <si>
    <t>1984-05-01</t>
  </si>
  <si>
    <t>1984-06-01</t>
  </si>
  <si>
    <t>1984-07-01</t>
  </si>
  <si>
    <t>1984-08-01</t>
  </si>
  <si>
    <t>1984-09-01</t>
  </si>
  <si>
    <t>1984-10-01</t>
  </si>
  <si>
    <t>1984-11-01</t>
  </si>
  <si>
    <t>1984-12-01</t>
  </si>
  <si>
    <t>1985-01-01</t>
  </si>
  <si>
    <t>1985-02-01</t>
  </si>
  <si>
    <t>1985-03-01</t>
  </si>
  <si>
    <t>1985-04-01</t>
  </si>
  <si>
    <t>1985-05-01</t>
  </si>
  <si>
    <t>1985-06-01</t>
  </si>
  <si>
    <t>1985-07-01</t>
  </si>
  <si>
    <t>1985-08-01</t>
  </si>
  <si>
    <t>1985-09-01</t>
  </si>
  <si>
    <t>1985-10-01</t>
  </si>
  <si>
    <t>1985-11-01</t>
  </si>
  <si>
    <t>1985-12-01</t>
  </si>
  <si>
    <t>1986-01-01</t>
  </si>
  <si>
    <t>1986-02-01</t>
  </si>
  <si>
    <t>1986-03-01</t>
  </si>
  <si>
    <t>1986-04-01</t>
  </si>
  <si>
    <t>1986-05-01</t>
  </si>
  <si>
    <t>1986-06-01</t>
  </si>
  <si>
    <t>1986-07-01</t>
  </si>
  <si>
    <t>1986-08-01</t>
  </si>
  <si>
    <t>1986-09-01</t>
  </si>
  <si>
    <t>1986-10-01</t>
  </si>
  <si>
    <t>1986-11-01</t>
  </si>
  <si>
    <t>1986-12-01</t>
  </si>
  <si>
    <t>1987-01-01</t>
  </si>
  <si>
    <t>1987-02-01</t>
  </si>
  <si>
    <t>1987-03-01</t>
  </si>
  <si>
    <t>1987-04-01</t>
  </si>
  <si>
    <t>1987-05-01</t>
  </si>
  <si>
    <t>1987-06-01</t>
  </si>
  <si>
    <t>1987-07-01</t>
  </si>
  <si>
    <t>1987-08-01</t>
  </si>
  <si>
    <t>1987-09-01</t>
  </si>
  <si>
    <t>1987-10-01</t>
  </si>
  <si>
    <t>1987-11-01</t>
  </si>
  <si>
    <t>1987-12-01</t>
  </si>
  <si>
    <t>1988-01-01</t>
  </si>
  <si>
    <t>1988-02-01</t>
  </si>
  <si>
    <t>1988-03-01</t>
  </si>
  <si>
    <t>1988-04-01</t>
  </si>
  <si>
    <t>1988-05-01</t>
  </si>
  <si>
    <t>1988-06-01</t>
  </si>
  <si>
    <t>1988-07-01</t>
  </si>
  <si>
    <t>1988-08-01</t>
  </si>
  <si>
    <t>1988-09-01</t>
  </si>
  <si>
    <t>1988-10-01</t>
  </si>
  <si>
    <t>1988-11-01</t>
  </si>
  <si>
    <t>1988-12-01</t>
  </si>
  <si>
    <t>1989-01-01</t>
  </si>
  <si>
    <t>1989-02-01</t>
  </si>
  <si>
    <t>1989-03-01</t>
  </si>
  <si>
    <t>1989-04-01</t>
  </si>
  <si>
    <t>1989-05-01</t>
  </si>
  <si>
    <t>1989-06-01</t>
  </si>
  <si>
    <t>1989-07-01</t>
  </si>
  <si>
    <t>1989-08-01</t>
  </si>
  <si>
    <t>1989-09-01</t>
  </si>
  <si>
    <t>1989-10-01</t>
  </si>
  <si>
    <t>1989-11-01</t>
  </si>
  <si>
    <t>1989-12-01</t>
  </si>
  <si>
    <t>1990-01-01</t>
  </si>
  <si>
    <t>1990-02-01</t>
  </si>
  <si>
    <t>1990-03-01</t>
  </si>
  <si>
    <t>1990-04-01</t>
  </si>
  <si>
    <t>1990-05-01</t>
  </si>
  <si>
    <t>1990-06-01</t>
  </si>
  <si>
    <t>1990-07-01</t>
  </si>
  <si>
    <t>1990-08-01</t>
  </si>
  <si>
    <t>1990-09-01</t>
  </si>
  <si>
    <t>1990-10-01</t>
  </si>
  <si>
    <t>1990-11-01</t>
  </si>
  <si>
    <t>1990-12-01</t>
  </si>
  <si>
    <t>1991-01-01</t>
  </si>
  <si>
    <t>1991-02-01</t>
  </si>
  <si>
    <t>1991-03-01</t>
  </si>
  <si>
    <t>1991-04-01</t>
  </si>
  <si>
    <t>1991-05-01</t>
  </si>
  <si>
    <t>1991-06-01</t>
  </si>
  <si>
    <t>1991-07-01</t>
  </si>
  <si>
    <t>1991-08-01</t>
  </si>
  <si>
    <t>1991-09-01</t>
  </si>
  <si>
    <t>1991-10-01</t>
  </si>
  <si>
    <t>1991-11-01</t>
  </si>
  <si>
    <t>1991-12-01</t>
  </si>
  <si>
    <t>1992-01-01</t>
  </si>
  <si>
    <t>1992-02-01</t>
  </si>
  <si>
    <t>1992-03-01</t>
  </si>
  <si>
    <t>1992-04-01</t>
  </si>
  <si>
    <t>1992-05-01</t>
  </si>
  <si>
    <t>1992-06-01</t>
  </si>
  <si>
    <t>1992-07-01</t>
  </si>
  <si>
    <t>1992-08-01</t>
  </si>
  <si>
    <t>1992-09-01</t>
  </si>
  <si>
    <t>1992-10-01</t>
  </si>
  <si>
    <t>1992-11-01</t>
  </si>
  <si>
    <t>1992-12-01</t>
  </si>
  <si>
    <t>1993-01-01</t>
  </si>
  <si>
    <t>1993-02-01</t>
  </si>
  <si>
    <t>1993-03-01</t>
  </si>
  <si>
    <t>1993-04-01</t>
  </si>
  <si>
    <t>1993-05-01</t>
  </si>
  <si>
    <t>1993-06-01</t>
  </si>
  <si>
    <t>1993-07-01</t>
  </si>
  <si>
    <t>1993-08-01</t>
  </si>
  <si>
    <t>1993-09-01</t>
  </si>
  <si>
    <t>1993-10-01</t>
  </si>
  <si>
    <t>1993-11-01</t>
  </si>
  <si>
    <t>1993-12-01</t>
  </si>
  <si>
    <t>1994-01-01</t>
  </si>
  <si>
    <t>1994-02-01</t>
  </si>
  <si>
    <t>1994-03-01</t>
  </si>
  <si>
    <t>1994-04-01</t>
  </si>
  <si>
    <t>1994-05-01</t>
  </si>
  <si>
    <t>1994-06-01</t>
  </si>
  <si>
    <t>1994-07-01</t>
  </si>
  <si>
    <t>1994-08-01</t>
  </si>
  <si>
    <t>1994-09-01</t>
  </si>
  <si>
    <t>1994-10-01</t>
  </si>
  <si>
    <t>1994-11-01</t>
  </si>
  <si>
    <t>1994-12-01</t>
  </si>
  <si>
    <t>1995-01-01</t>
  </si>
  <si>
    <t>1995-02-01</t>
  </si>
  <si>
    <t>1995-03-01</t>
  </si>
  <si>
    <t>1995-04-01</t>
  </si>
  <si>
    <t>1995-05-01</t>
  </si>
  <si>
    <t>1995-06-01</t>
  </si>
  <si>
    <t>1995-07-01</t>
  </si>
  <si>
    <t>1995-08-01</t>
  </si>
  <si>
    <t>1995-09-01</t>
  </si>
  <si>
    <t>1995-10-01</t>
  </si>
  <si>
    <t>1995-11-01</t>
  </si>
  <si>
    <t>1995-12-01</t>
  </si>
  <si>
    <t>1996-01-01</t>
  </si>
  <si>
    <t>1996-02-01</t>
  </si>
  <si>
    <t>1996-03-01</t>
  </si>
  <si>
    <t>1996-04-01</t>
  </si>
  <si>
    <t>1996-05-01</t>
  </si>
  <si>
    <t>1996-06-01</t>
  </si>
  <si>
    <t>1996-07-01</t>
  </si>
  <si>
    <t>1996-08-01</t>
  </si>
  <si>
    <t>1996-09-01</t>
  </si>
  <si>
    <t>1996-10-01</t>
  </si>
  <si>
    <t>1996-11-01</t>
  </si>
  <si>
    <t>1996-12-01</t>
  </si>
  <si>
    <t>1997-01-01</t>
  </si>
  <si>
    <t>1997-02-01</t>
  </si>
  <si>
    <t>1997-03-01</t>
  </si>
  <si>
    <t>1997-04-01</t>
  </si>
  <si>
    <t>1997-05-01</t>
  </si>
  <si>
    <t>1997-06-01</t>
  </si>
  <si>
    <t>1997-07-01</t>
  </si>
  <si>
    <t>1997-08-01</t>
  </si>
  <si>
    <t>1997-09-01</t>
  </si>
  <si>
    <t>1997-10-01</t>
  </si>
  <si>
    <t>1997-11-01</t>
  </si>
  <si>
    <t>1997-12-01</t>
  </si>
  <si>
    <t>1998-01-01</t>
  </si>
  <si>
    <t>1998-02-01</t>
  </si>
  <si>
    <t>1998-03-01</t>
  </si>
  <si>
    <t>1998-04-01</t>
  </si>
  <si>
    <t>1998-05-01</t>
  </si>
  <si>
    <t>1998-06-01</t>
  </si>
  <si>
    <t>1998-07-01</t>
  </si>
  <si>
    <t>1998-08-01</t>
  </si>
  <si>
    <t>1998-09-01</t>
  </si>
  <si>
    <t>1998-10-01</t>
  </si>
  <si>
    <t>1998-11-01</t>
  </si>
  <si>
    <t>1998-12-01</t>
  </si>
  <si>
    <t>1999-01-01</t>
  </si>
  <si>
    <t>1999-02-01</t>
  </si>
  <si>
    <t>1999-03-01</t>
  </si>
  <si>
    <t>1999-04-01</t>
  </si>
  <si>
    <t>1999-05-01</t>
  </si>
  <si>
    <t>1999-06-01</t>
  </si>
  <si>
    <t>1999-07-01</t>
  </si>
  <si>
    <t>1999-08-01</t>
  </si>
  <si>
    <t>1999-09-01</t>
  </si>
  <si>
    <t>1999-10-01</t>
  </si>
  <si>
    <t>1999-11-01</t>
  </si>
  <si>
    <t>1999-12-01</t>
  </si>
  <si>
    <t>2000-01-01</t>
  </si>
  <si>
    <t>2000-02-01</t>
  </si>
  <si>
    <t>2000-03-01</t>
  </si>
  <si>
    <t>2000-04-01</t>
  </si>
  <si>
    <t>2000-05-01</t>
  </si>
  <si>
    <t>2000-06-01</t>
  </si>
  <si>
    <t>2000-07-01</t>
  </si>
  <si>
    <t>2000-08-01</t>
  </si>
  <si>
    <t>2000-09-01</t>
  </si>
  <si>
    <t>2000-10-01</t>
  </si>
  <si>
    <t>2000-11-01</t>
  </si>
  <si>
    <t>2000-12-01</t>
  </si>
  <si>
    <t>2001-01-01</t>
  </si>
  <si>
    <t>2001-02-01</t>
  </si>
  <si>
    <t>2001-03-01</t>
  </si>
  <si>
    <t>2001-04-01</t>
  </si>
  <si>
    <t>2001-05-01</t>
  </si>
  <si>
    <t>2001-06-01</t>
  </si>
  <si>
    <t>2001-07-01</t>
  </si>
  <si>
    <t>2001-08-01</t>
  </si>
  <si>
    <t>2001-09-01</t>
  </si>
  <si>
    <t>2001-10-01</t>
  </si>
  <si>
    <t>2001-11-01</t>
  </si>
  <si>
    <t>2001-12-01</t>
  </si>
  <si>
    <t>2002-01-01</t>
  </si>
  <si>
    <t>2002-02-01</t>
  </si>
  <si>
    <t>2002-03-01</t>
  </si>
  <si>
    <t>2002-04-01</t>
  </si>
  <si>
    <t>2002-05-01</t>
  </si>
  <si>
    <t>2002-06-01</t>
  </si>
  <si>
    <t>2002-07-01</t>
  </si>
  <si>
    <t>2002-08-01</t>
  </si>
  <si>
    <t>2002-09-01</t>
  </si>
  <si>
    <t>2002-10-01</t>
  </si>
  <si>
    <t>2002-11-01</t>
  </si>
  <si>
    <t>2002-12-01</t>
  </si>
  <si>
    <t>2003-01-01</t>
  </si>
  <si>
    <t>2003-02-01</t>
  </si>
  <si>
    <t>2003-03-01</t>
  </si>
  <si>
    <t>2003-04-01</t>
  </si>
  <si>
    <t>2003-05-01</t>
  </si>
  <si>
    <t>2003-06-01</t>
  </si>
  <si>
    <t>2003-07-01</t>
  </si>
  <si>
    <t>2003-08-01</t>
  </si>
  <si>
    <t>2003-09-01</t>
  </si>
  <si>
    <t>2003-10-01</t>
  </si>
  <si>
    <t>2003-11-01</t>
  </si>
  <si>
    <t>2003-12-01</t>
  </si>
  <si>
    <t>2004-01-01</t>
  </si>
  <si>
    <t>2004-02-01</t>
  </si>
  <si>
    <t>2004-03-01</t>
  </si>
  <si>
    <t>2004-04-01</t>
  </si>
  <si>
    <t>2004-05-01</t>
  </si>
  <si>
    <t>2004-06-01</t>
  </si>
  <si>
    <t>2004-07-01</t>
  </si>
  <si>
    <t>2004-08-01</t>
  </si>
  <si>
    <t>2004-09-01</t>
  </si>
  <si>
    <t>2004-10-01</t>
  </si>
  <si>
    <t>2004-11-01</t>
  </si>
  <si>
    <t>2004-12-01</t>
  </si>
  <si>
    <t>2005-01-01</t>
  </si>
  <si>
    <t>2005-02-01</t>
  </si>
  <si>
    <t>2005-03-01</t>
  </si>
  <si>
    <t>2005-04-01</t>
  </si>
  <si>
    <t>2005-05-01</t>
  </si>
  <si>
    <t>2005-06-01</t>
  </si>
  <si>
    <t>2005-07-01</t>
  </si>
  <si>
    <t>2005-08-01</t>
  </si>
  <si>
    <t>2005-09-01</t>
  </si>
  <si>
    <t>2005-10-01</t>
  </si>
  <si>
    <t>2005-11-01</t>
  </si>
  <si>
    <t>2005-12-01</t>
  </si>
  <si>
    <t>2006-01-01</t>
  </si>
  <si>
    <t>2006-02-01</t>
  </si>
  <si>
    <t>2006-03-01</t>
  </si>
  <si>
    <t>2006-04-01</t>
  </si>
  <si>
    <t>2006-05-01</t>
  </si>
  <si>
    <t>2006-06-01</t>
  </si>
  <si>
    <t>2006-07-01</t>
  </si>
  <si>
    <t>2006-08-01</t>
  </si>
  <si>
    <t>2006-09-01</t>
  </si>
  <si>
    <t>2006-10-01</t>
  </si>
  <si>
    <t>2006-11-01</t>
  </si>
  <si>
    <t>2006-12-01</t>
  </si>
  <si>
    <t>2007-01-01</t>
  </si>
  <si>
    <t>2007-02-01</t>
  </si>
  <si>
    <t>2007-03-01</t>
  </si>
  <si>
    <t>2007-04-01</t>
  </si>
  <si>
    <t>2007-05-01</t>
  </si>
  <si>
    <t>2007-06-01</t>
  </si>
  <si>
    <t>2007-07-01</t>
  </si>
  <si>
    <t>2007-08-01</t>
  </si>
  <si>
    <t>2007-09-01</t>
  </si>
  <si>
    <t>2007-10-01</t>
  </si>
  <si>
    <t>2007-11-01</t>
  </si>
  <si>
    <t>2007-12-01</t>
  </si>
  <si>
    <t>2008-01-01</t>
  </si>
  <si>
    <t>2008-02-01</t>
  </si>
  <si>
    <t>2008-03-01</t>
  </si>
  <si>
    <t>2008-04-01</t>
  </si>
  <si>
    <t>2008-05-01</t>
  </si>
  <si>
    <t>2008-06-01</t>
  </si>
  <si>
    <t>2008-07-01</t>
  </si>
  <si>
    <t>2008-08-01</t>
  </si>
  <si>
    <t>2008-09-01</t>
  </si>
  <si>
    <t>2008-10-01</t>
  </si>
  <si>
    <t>2008-11-01</t>
  </si>
  <si>
    <t>2008-12-01</t>
  </si>
  <si>
    <t>2009-01-01</t>
  </si>
  <si>
    <t>2009-02-01</t>
  </si>
  <si>
    <t>2009-03-01</t>
  </si>
  <si>
    <t>2009-04-01</t>
  </si>
  <si>
    <t>2009-05-01</t>
  </si>
  <si>
    <t>2009-06-01</t>
  </si>
  <si>
    <t>2009-07-01</t>
  </si>
  <si>
    <t>2009-08-01</t>
  </si>
  <si>
    <t>2009-09-01</t>
  </si>
  <si>
    <t>2009-10-01</t>
  </si>
  <si>
    <t>2009-11-01</t>
  </si>
  <si>
    <t>2009-12-01</t>
  </si>
  <si>
    <t>2010-01-01</t>
  </si>
  <si>
    <t>2010-02-01</t>
  </si>
  <si>
    <t>2010-03-01</t>
  </si>
  <si>
    <t>2010-04-01</t>
  </si>
  <si>
    <t>2010-05-01</t>
  </si>
  <si>
    <t>2010-06-01</t>
  </si>
  <si>
    <t>2010-07-01</t>
  </si>
  <si>
    <t>2010-08-01</t>
  </si>
  <si>
    <t>2010-09-01</t>
  </si>
  <si>
    <t>2010-10-01</t>
  </si>
  <si>
    <t>2010-11-01</t>
  </si>
  <si>
    <t>2010-12-01</t>
  </si>
  <si>
    <t>2011-01-01</t>
  </si>
  <si>
    <t>2011-02-01</t>
  </si>
  <si>
    <t>2011-03-01</t>
  </si>
  <si>
    <t>2011-04-01</t>
  </si>
  <si>
    <t>2011-05-01</t>
  </si>
  <si>
    <t>2011-06-01</t>
  </si>
  <si>
    <t>2011-07-01</t>
  </si>
  <si>
    <t>2011-08-01</t>
  </si>
  <si>
    <t>2011-09-01</t>
  </si>
  <si>
    <t>2011-10-01</t>
  </si>
  <si>
    <t>2011-11-01</t>
  </si>
  <si>
    <t>2011-12-01</t>
  </si>
  <si>
    <t>2012-01-01</t>
  </si>
  <si>
    <t>2012-02-01</t>
  </si>
  <si>
    <t>2012-03-01</t>
  </si>
  <si>
    <t>2012-04-01</t>
  </si>
  <si>
    <t>2012-05-01</t>
  </si>
  <si>
    <t>2012-06-01</t>
  </si>
  <si>
    <t>2012-07-01</t>
  </si>
  <si>
    <t>2012-08-01</t>
  </si>
  <si>
    <t>2012-09-01</t>
  </si>
  <si>
    <t>2012-10-01</t>
  </si>
  <si>
    <t>2012-11-01</t>
  </si>
  <si>
    <t>2012-12-01</t>
  </si>
  <si>
    <t>2013-01-01</t>
  </si>
  <si>
    <t>2013-02-01</t>
  </si>
  <si>
    <t>2013-03-01</t>
  </si>
  <si>
    <t>2013-04-01</t>
  </si>
  <si>
    <t>2013-05-01</t>
  </si>
  <si>
    <t>2013-06-01</t>
  </si>
  <si>
    <t>2013-07-01</t>
  </si>
  <si>
    <t>2013-08-01</t>
  </si>
  <si>
    <t>2013-09-01</t>
  </si>
  <si>
    <t>2013-10-01</t>
  </si>
  <si>
    <t>2013-11-01</t>
  </si>
  <si>
    <t>2013-12-01</t>
  </si>
  <si>
    <t>2014-01-01</t>
  </si>
  <si>
    <t>2014-02-01</t>
  </si>
  <si>
    <t>2014-03-01</t>
  </si>
  <si>
    <t>2014-04-01</t>
  </si>
  <si>
    <t>2014-05-01</t>
  </si>
  <si>
    <t>2014-06-01</t>
  </si>
  <si>
    <t>2014-07-01</t>
  </si>
  <si>
    <t>2014-08-01</t>
  </si>
  <si>
    <t>2014-09-01</t>
  </si>
  <si>
    <t>2014-10-01</t>
  </si>
  <si>
    <t>2014-11-01</t>
  </si>
  <si>
    <t>2014-12-01</t>
  </si>
  <si>
    <t>2015-01-01</t>
  </si>
  <si>
    <t>2015-02-01</t>
  </si>
  <si>
    <t>2015-03-01</t>
  </si>
  <si>
    <t>2015-04-01</t>
  </si>
  <si>
    <t>2015-05-01</t>
  </si>
  <si>
    <t>2015-06-01</t>
  </si>
  <si>
    <t>2015-07-01</t>
  </si>
  <si>
    <t>2015-08-01</t>
  </si>
  <si>
    <t>2015-09-01</t>
  </si>
  <si>
    <t>2015-10-01</t>
  </si>
  <si>
    <t>2015-11-01</t>
  </si>
  <si>
    <t>2015-12-01</t>
  </si>
  <si>
    <t>2016-01-01</t>
  </si>
  <si>
    <t>2016-02-01</t>
  </si>
  <si>
    <t>2016-03-01</t>
  </si>
  <si>
    <t>2016-04-01</t>
  </si>
  <si>
    <t>2016-05-01</t>
  </si>
  <si>
    <t>2016-06-01</t>
  </si>
  <si>
    <t>2016-07-01</t>
  </si>
  <si>
    <t>2016-08-01</t>
  </si>
  <si>
    <t>2016-09-01</t>
  </si>
  <si>
    <t>2016-10-01</t>
  </si>
  <si>
    <t>2016-11-01</t>
  </si>
  <si>
    <t>2016-12-01</t>
  </si>
  <si>
    <t>2017-01-01</t>
  </si>
  <si>
    <t>2017-02-01</t>
  </si>
  <si>
    <t>2017-03-01</t>
  </si>
  <si>
    <t>2017-04-01</t>
  </si>
  <si>
    <t>2017-05-01</t>
  </si>
  <si>
    <t>2017-06-01</t>
  </si>
  <si>
    <t>2017-07-01</t>
  </si>
  <si>
    <t>2017-08-01</t>
  </si>
  <si>
    <t>2017-09-01</t>
  </si>
  <si>
    <t>2017-10-01</t>
  </si>
  <si>
    <t>2017-11-01</t>
  </si>
  <si>
    <t>2017-12-01</t>
  </si>
  <si>
    <t>2018-01-01</t>
  </si>
  <si>
    <t>2018-02-01</t>
  </si>
  <si>
    <t>2018-03-01</t>
  </si>
  <si>
    <t>2018-04-01</t>
  </si>
  <si>
    <t>2018-05-01</t>
  </si>
  <si>
    <t>2018-06-01</t>
  </si>
  <si>
    <t>2018-07-01</t>
  </si>
  <si>
    <t>2018-08-01</t>
  </si>
  <si>
    <t>2018-09-01</t>
  </si>
  <si>
    <t>2018-10-01</t>
  </si>
  <si>
    <t>2018-11-01</t>
  </si>
  <si>
    <t>2018-12-01</t>
  </si>
  <si>
    <t>2019-01-01</t>
  </si>
  <si>
    <t>2019-02-01</t>
  </si>
  <si>
    <t>2019-03-01</t>
  </si>
  <si>
    <t>2019-04-01</t>
  </si>
  <si>
    <t>2019-05-01</t>
  </si>
  <si>
    <t>2019-06-01</t>
  </si>
  <si>
    <t>2019-07-01</t>
  </si>
  <si>
    <t>2019-08-01</t>
  </si>
  <si>
    <t>2019-09-01</t>
  </si>
  <si>
    <t>2019-10-01</t>
  </si>
  <si>
    <t>2019-11-01</t>
  </si>
  <si>
    <t>2019-12-01</t>
  </si>
  <si>
    <t>2020-01-01</t>
  </si>
  <si>
    <t>2020-02-01</t>
  </si>
  <si>
    <t>2020-03-01</t>
  </si>
  <si>
    <t>2020-04-01</t>
  </si>
  <si>
    <t>2020-05-01</t>
  </si>
  <si>
    <t>2020-06-01</t>
  </si>
  <si>
    <t>2020-07-01</t>
  </si>
  <si>
    <t>2020-08-01</t>
  </si>
  <si>
    <t>2020-09-01</t>
  </si>
  <si>
    <t>2020-10-01</t>
  </si>
  <si>
    <t>2020-11-01</t>
  </si>
  <si>
    <t>2020-12-01</t>
  </si>
  <si>
    <t>2021-01-01</t>
  </si>
  <si>
    <t>2021-02-01</t>
  </si>
  <si>
    <t>2021-03-01</t>
  </si>
  <si>
    <t>2021-04-01</t>
  </si>
  <si>
    <t>2021-05-01</t>
  </si>
  <si>
    <t>2021-06-01</t>
  </si>
  <si>
    <t>2021-07-01</t>
  </si>
  <si>
    <t>2021-08-01</t>
  </si>
  <si>
    <t>2021-09-01</t>
  </si>
  <si>
    <t>2021-10-01</t>
  </si>
  <si>
    <t>2021-11-01</t>
  </si>
  <si>
    <t>2021-12-01</t>
  </si>
  <si>
    <t>2022-01-01</t>
  </si>
  <si>
    <t>2022-02-01</t>
  </si>
  <si>
    <t>2022-03-01</t>
  </si>
  <si>
    <t>2022-04-01</t>
  </si>
  <si>
    <t>2022-05-01</t>
  </si>
  <si>
    <t>2022-06-01</t>
  </si>
  <si>
    <t>2022-07-01</t>
  </si>
  <si>
    <t>2022-08-01</t>
  </si>
  <si>
    <t>2022-09-01</t>
  </si>
  <si>
    <t>2022-10-01</t>
  </si>
  <si>
    <t>2022-11-01</t>
  </si>
  <si>
    <t>2022-12-01</t>
  </si>
  <si>
    <t>2023-01-01</t>
  </si>
  <si>
    <t>2023-02-01</t>
  </si>
  <si>
    <t>2023-03-01</t>
  </si>
  <si>
    <t>2023-04-01</t>
  </si>
  <si>
    <t>2023-05-01</t>
  </si>
  <si>
    <t>2023-06-01</t>
  </si>
  <si>
    <t>2023-07-01</t>
  </si>
  <si>
    <t>2023-08-01</t>
  </si>
  <si>
    <t>2023-09-01</t>
  </si>
  <si>
    <t>2023-10-01</t>
  </si>
  <si>
    <t>2023-11-01</t>
  </si>
  <si>
    <t>2023-12-01</t>
  </si>
  <si>
    <t>2024-01-01</t>
  </si>
  <si>
    <t>2024-02-01</t>
  </si>
  <si>
    <t>2024-03-01</t>
  </si>
  <si>
    <t>2024-04-01</t>
  </si>
  <si>
    <t>2024-05-01</t>
  </si>
  <si>
    <t>2024-06-01</t>
  </si>
  <si>
    <t>2024-07-01</t>
  </si>
  <si>
    <t>2024-08-01</t>
  </si>
  <si>
    <t>2024-09-01</t>
  </si>
  <si>
    <t>2024-10-01</t>
  </si>
  <si>
    <t>2024-11-01</t>
  </si>
  <si>
    <t>2024-12-01</t>
  </si>
  <si>
    <t>2025-01-01</t>
  </si>
  <si>
    <t>2025-02-01</t>
  </si>
  <si>
    <t>2025-03-01</t>
  </si>
  <si>
    <t>2025-04-01</t>
  </si>
  <si>
    <t>2025-05-01</t>
  </si>
  <si>
    <t>2025-06-01</t>
  </si>
  <si>
    <t>2025-07-01</t>
  </si>
  <si>
    <t>2025-08-01</t>
  </si>
  <si>
    <t>2025-09-01</t>
  </si>
  <si>
    <t>2025-10-01</t>
  </si>
  <si>
    <t>2025-11-01</t>
  </si>
  <si>
    <t>2025-12-01</t>
  </si>
  <si>
    <t>2026-01-01</t>
  </si>
  <si>
    <t>2026-02-01</t>
  </si>
  <si>
    <t>2026-03-01</t>
  </si>
  <si>
    <t>2026-04-01</t>
  </si>
  <si>
    <t>2026-05-01</t>
  </si>
  <si>
    <t>2026-06-01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</si>
</sst>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quot;$&quot;* #,##0.00_);_(&quot;$&quot;* \(#,##0.00\);_(&quot;$&quot;* &quot;-&quot;??_);_(@_)"/>
    <numFmt numFmtId="165" formatCode="_(* #,##0.00_);_(* \(#,##0.00\);_(* &quot;-&quot;??_);_(@_)"/>
    <numFmt numFmtId="166" formatCode="[$-409]mmm\-yy;@"/>
    <numFmt numFmtId="167" formatCode="0.0000"/>
    <numFmt numFmtId="168" formatCode="_(* #,##0.00000_);_(* \(#,##0.00000\);_(* &quot;-&quot;??_);_(@_)"/>
    <numFmt numFmtId="170" formatCode="yyyy\-mm\-dd;@"/>
  </numFmts>
  <fonts count="35" x14ac:knownFonts="1">
    <font>
      <sz val="10"/>
      <name val="Courier"/>
    </font>
    <font>
      <sz val="10"/>
      <name val="Arial"/>
      <family val="2"/>
    </font>
    <font>
      <sz val="10"/>
      <name val="Times New Roman"/>
      <family val="1"/>
    </font>
    <font>
      <sz val="10"/>
      <name val="Courier"/>
    </font>
    <font>
      <b/>
      <sz val="10"/>
      <name val="Times New Roman"/>
      <family val="1"/>
    </font>
    <font>
      <b/>
      <sz val="10"/>
      <name val="Courier"/>
    </font>
    <font>
      <i/>
      <sz val="9"/>
      <name val="Times New Roman"/>
      <family val="1"/>
    </font>
    <font>
      <i/>
      <sz val="9"/>
      <name val="Courier"/>
    </font>
    <font>
      <sz val="10"/>
      <color indexed="8"/>
      <name val="Arial"/>
      <family val="2"/>
    </font>
    <font>
      <i/>
      <sz val="10"/>
      <name val="Times New Roman"/>
      <family val="1"/>
    </font>
    <font>
      <b/>
      <i/>
      <sz val="11"/>
      <name val="Times New Roman"/>
      <family val="1"/>
    </font>
    <font>
      <b/>
      <i/>
      <sz val="16"/>
      <name val="Times New Roman"/>
      <family val="1"/>
    </font>
    <font>
      <sz val="11"/>
      <color indexed="8"/>
      <name val="Calibri"/>
      <family val="2"/>
    </font>
    <font>
      <sz val="11"/>
      <color indexed="22"/>
      <name val="Calibri"/>
      <family val="2"/>
    </font>
    <font>
      <sz val="11"/>
      <color indexed="20"/>
      <name val="Calibri"/>
      <family val="2"/>
    </font>
    <font>
      <b/>
      <sz val="11"/>
      <color indexed="52"/>
      <name val="Calibri"/>
      <family val="2"/>
    </font>
    <font>
      <b/>
      <sz val="11"/>
      <color indexed="22"/>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62"/>
      <name val="Cambria"/>
      <family val="2"/>
    </font>
    <font>
      <b/>
      <sz val="11"/>
      <color indexed="8"/>
      <name val="Calibri"/>
      <family val="2"/>
    </font>
    <font>
      <sz val="11"/>
      <color indexed="10"/>
      <name val="Calibri"/>
      <family val="2"/>
    </font>
    <font>
      <sz val="10"/>
      <name val="Arial"/>
      <family val="2"/>
    </font>
    <font>
      <sz val="9"/>
      <name val="Times New Roman"/>
      <family val="1"/>
    </font>
    <font>
      <b/>
      <sz val="9"/>
      <name val="Times New Roman"/>
      <family val="1"/>
    </font>
    <font>
      <sz val="9"/>
      <name val="Courier"/>
    </font>
    <font>
      <sz val="11"/>
      <color indexed="8"/>
      <name val="Calibri"/>
      <family val="2"/>
      <scheme val="minor"/>
    </font>
    <font>
      <b/>
      <sz val="9"/>
      <color rgb="FFFF0000"/>
      <name val="Times New Roman"/>
      <family val="1"/>
    </font>
  </fonts>
  <fills count="20">
    <fill>
      <patternFill patternType="none"/>
    </fill>
    <fill>
      <patternFill patternType="gray125"/>
    </fill>
    <fill>
      <patternFill patternType="solid">
        <fgColor indexed="9"/>
      </patternFill>
    </fill>
    <fill>
      <patternFill patternType="solid">
        <fgColor indexed="47"/>
      </patternFill>
    </fill>
    <fill>
      <patternFill patternType="solid">
        <fgColor indexed="26"/>
      </patternFill>
    </fill>
    <fill>
      <patternFill patternType="solid">
        <fgColor indexed="27"/>
      </patternFill>
    </fill>
    <fill>
      <patternFill patternType="solid">
        <fgColor indexed="45"/>
      </patternFill>
    </fill>
    <fill>
      <patternFill patternType="solid">
        <fgColor indexed="42"/>
      </patternFill>
    </fill>
    <fill>
      <patternFill patternType="solid">
        <fgColor indexed="22"/>
      </patternFill>
    </fill>
    <fill>
      <patternFill patternType="solid">
        <fgColor indexed="29"/>
      </patternFill>
    </fill>
    <fill>
      <patternFill patternType="solid">
        <fgColor indexed="43"/>
      </patternFill>
    </fill>
    <fill>
      <patternFill patternType="solid">
        <fgColor indexed="44"/>
      </patternFill>
    </fill>
    <fill>
      <patternFill patternType="solid">
        <fgColor indexed="49"/>
      </patternFill>
    </fill>
    <fill>
      <patternFill patternType="solid">
        <fgColor indexed="10"/>
      </patternFill>
    </fill>
    <fill>
      <patternFill patternType="solid">
        <fgColor indexed="57"/>
      </patternFill>
    </fill>
    <fill>
      <patternFill patternType="solid">
        <fgColor indexed="54"/>
      </patternFill>
    </fill>
    <fill>
      <patternFill patternType="solid">
        <fgColor indexed="53"/>
      </patternFill>
    </fill>
    <fill>
      <patternFill patternType="solid">
        <fgColor indexed="55"/>
      </patternFill>
    </fill>
    <fill>
      <patternFill patternType="solid">
        <fgColor theme="0"/>
        <bgColor indexed="64"/>
      </patternFill>
    </fill>
    <fill>
      <patternFill patternType="solid">
        <fgColor theme="0" tint="-4.9989318521683403E-2"/>
        <bgColor indexed="64"/>
      </patternFill>
    </fill>
  </fills>
  <borders count="12">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3"/>
      </left>
      <right style="thin">
        <color indexed="63"/>
      </right>
      <top style="thin">
        <color indexed="63"/>
      </top>
      <bottom style="thin">
        <color indexed="63"/>
      </bottom>
      <diagonal/>
    </border>
    <border>
      <left/>
      <right/>
      <top/>
      <bottom style="thick">
        <color indexed="49"/>
      </bottom>
      <diagonal/>
    </border>
    <border>
      <left/>
      <right/>
      <top/>
      <bottom style="thick">
        <color indexed="22"/>
      </bottom>
      <diagonal/>
    </border>
    <border>
      <left/>
      <right/>
      <top/>
      <bottom style="medium">
        <color indexed="49"/>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right/>
      <top style="thin">
        <color indexed="49"/>
      </top>
      <bottom style="double">
        <color indexed="49"/>
      </bottom>
      <diagonal/>
    </border>
    <border>
      <left style="medium">
        <color indexed="64"/>
      </left>
      <right style="medium">
        <color indexed="64"/>
      </right>
      <top/>
      <bottom style="medium">
        <color indexed="64"/>
      </bottom>
      <diagonal/>
    </border>
    <border>
      <left style="thin">
        <color indexed="64"/>
      </left>
      <right style="thin">
        <color indexed="64"/>
      </right>
      <top/>
      <bottom/>
      <diagonal/>
    </border>
  </borders>
  <cellStyleXfs count="53">
    <xf numFmtId="0" fontId="0" fillId="0" borderId="0"/>
    <xf numFmtId="166" fontId="1" fillId="0" borderId="0" applyNumberFormat="0" applyFill="0" applyBorder="0" applyAlignment="0" applyProtection="0"/>
    <xf numFmtId="0" fontId="1" fillId="0" borderId="0"/>
    <xf numFmtId="0" fontId="12" fillId="2" borderId="0" applyNumberFormat="0" applyBorder="0" applyAlignment="0" applyProtection="0"/>
    <xf numFmtId="0" fontId="12" fillId="3" borderId="0" applyNumberFormat="0" applyBorder="0" applyAlignment="0" applyProtection="0"/>
    <xf numFmtId="0" fontId="12" fillId="4" borderId="0" applyNumberFormat="0" applyBorder="0" applyAlignment="0" applyProtection="0"/>
    <xf numFmtId="0" fontId="12" fillId="2" borderId="0" applyNumberFormat="0" applyBorder="0" applyAlignment="0" applyProtection="0"/>
    <xf numFmtId="0" fontId="12" fillId="5" borderId="0" applyNumberFormat="0" applyBorder="0" applyAlignment="0" applyProtection="0"/>
    <xf numFmtId="0" fontId="12" fillId="3" borderId="0" applyNumberFormat="0" applyBorder="0" applyAlignment="0" applyProtection="0"/>
    <xf numFmtId="0" fontId="12" fillId="8" borderId="0" applyNumberFormat="0" applyBorder="0" applyAlignment="0" applyProtection="0"/>
    <xf numFmtId="0" fontId="12" fillId="9" borderId="0" applyNumberFormat="0" applyBorder="0" applyAlignment="0" applyProtection="0"/>
    <xf numFmtId="0" fontId="12" fillId="10" borderId="0" applyNumberFormat="0" applyBorder="0" applyAlignment="0" applyProtection="0"/>
    <xf numFmtId="0" fontId="12" fillId="8" borderId="0" applyNumberFormat="0" applyBorder="0" applyAlignment="0" applyProtection="0"/>
    <xf numFmtId="0" fontId="12" fillId="11" borderId="0" applyNumberFormat="0" applyBorder="0" applyAlignment="0" applyProtection="0"/>
    <xf numFmtId="0" fontId="12" fillId="3" borderId="0" applyNumberFormat="0" applyBorder="0" applyAlignment="0" applyProtection="0"/>
    <xf numFmtId="0" fontId="13" fillId="12" borderId="0" applyNumberFormat="0" applyBorder="0" applyAlignment="0" applyProtection="0"/>
    <xf numFmtId="0" fontId="13" fillId="9" borderId="0" applyNumberFormat="0" applyBorder="0" applyAlignment="0" applyProtection="0"/>
    <xf numFmtId="0" fontId="13" fillId="10" borderId="0" applyNumberFormat="0" applyBorder="0" applyAlignment="0" applyProtection="0"/>
    <xf numFmtId="0" fontId="13" fillId="8" borderId="0" applyNumberFormat="0" applyBorder="0" applyAlignment="0" applyProtection="0"/>
    <xf numFmtId="0" fontId="13" fillId="12" borderId="0" applyNumberFormat="0" applyBorder="0" applyAlignment="0" applyProtection="0"/>
    <xf numFmtId="0" fontId="13" fillId="3" borderId="0" applyNumberFormat="0" applyBorder="0" applyAlignment="0" applyProtection="0"/>
    <xf numFmtId="0" fontId="13" fillId="12" borderId="0" applyNumberFormat="0" applyBorder="0" applyAlignment="0" applyProtection="0"/>
    <xf numFmtId="0" fontId="13" fillId="13" borderId="0" applyNumberFormat="0" applyBorder="0" applyAlignment="0" applyProtection="0"/>
    <xf numFmtId="0" fontId="13" fillId="14" borderId="0" applyNumberFormat="0" applyBorder="0" applyAlignment="0" applyProtection="0"/>
    <xf numFmtId="0" fontId="13" fillId="15" borderId="0" applyNumberFormat="0" applyBorder="0" applyAlignment="0" applyProtection="0"/>
    <xf numFmtId="0" fontId="13" fillId="12" borderId="0" applyNumberFormat="0" applyBorder="0" applyAlignment="0" applyProtection="0"/>
    <xf numFmtId="0" fontId="13" fillId="16" borderId="0" applyNumberFormat="0" applyBorder="0" applyAlignment="0" applyProtection="0"/>
    <xf numFmtId="0" fontId="14" fillId="6" borderId="0" applyNumberFormat="0" applyBorder="0" applyAlignment="0" applyProtection="0"/>
    <xf numFmtId="0" fontId="15" fillId="2" borderId="1" applyNumberFormat="0" applyAlignment="0" applyProtection="0"/>
    <xf numFmtId="0" fontId="16" fillId="17" borderId="2" applyNumberFormat="0" applyAlignment="0" applyProtection="0"/>
    <xf numFmtId="164" fontId="1" fillId="0" borderId="0" applyFont="0" applyFill="0" applyBorder="0" applyAlignment="0" applyProtection="0"/>
    <xf numFmtId="165" fontId="3" fillId="0" borderId="0" applyFont="0" applyFill="0" applyBorder="0" applyAlignment="0" applyProtection="0"/>
    <xf numFmtId="0" fontId="17" fillId="0" borderId="0" applyNumberFormat="0" applyFill="0" applyBorder="0" applyAlignment="0" applyProtection="0"/>
    <xf numFmtId="0" fontId="18" fillId="7" borderId="0" applyNumberFormat="0" applyBorder="0" applyAlignment="0" applyProtection="0"/>
    <xf numFmtId="0" fontId="19" fillId="0" borderId="4" applyNumberFormat="0" applyFill="0" applyAlignment="0" applyProtection="0"/>
    <xf numFmtId="0" fontId="20" fillId="0" borderId="5" applyNumberFormat="0" applyFill="0" applyAlignment="0" applyProtection="0"/>
    <xf numFmtId="0" fontId="21" fillId="0" borderId="6" applyNumberFormat="0" applyFill="0" applyAlignment="0" applyProtection="0"/>
    <xf numFmtId="0" fontId="21" fillId="0" borderId="0" applyNumberFormat="0" applyFill="0" applyBorder="0" applyAlignment="0" applyProtection="0"/>
    <xf numFmtId="0" fontId="22" fillId="3" borderId="1" applyNumberFormat="0" applyAlignment="0" applyProtection="0"/>
    <xf numFmtId="0" fontId="23" fillId="0" borderId="7" applyNumberFormat="0" applyFill="0" applyAlignment="0" applyProtection="0"/>
    <xf numFmtId="0" fontId="24" fillId="10" borderId="0" applyNumberFormat="0" applyBorder="0" applyAlignment="0" applyProtection="0"/>
    <xf numFmtId="0" fontId="1" fillId="0" borderId="0"/>
    <xf numFmtId="0" fontId="33" fillId="0" borderId="0"/>
    <xf numFmtId="166" fontId="1" fillId="0" borderId="0" applyNumberFormat="0" applyFill="0" applyBorder="0" applyAlignment="0" applyProtection="0"/>
    <xf numFmtId="0" fontId="29" fillId="0" borderId="0"/>
    <xf numFmtId="0" fontId="12" fillId="4" borderId="8" applyNumberFormat="0" applyFont="0" applyAlignment="0" applyProtection="0"/>
    <xf numFmtId="0" fontId="25" fillId="2" borderId="3" applyNumberFormat="0" applyAlignment="0" applyProtection="0"/>
    <xf numFmtId="9" fontId="3" fillId="0" borderId="0" applyFont="0" applyFill="0" applyBorder="0" applyAlignment="0" applyProtection="0"/>
    <xf numFmtId="0" fontId="1" fillId="0" borderId="0" applyNumberFormat="0" applyFill="0" applyBorder="0" applyAlignment="0" applyProtection="0"/>
    <xf numFmtId="0" fontId="26" fillId="0" borderId="0" applyNumberFormat="0" applyFill="0" applyBorder="0" applyAlignment="0" applyProtection="0"/>
    <xf numFmtId="0" fontId="27" fillId="0" borderId="9" applyNumberFormat="0" applyFill="0" applyAlignment="0" applyProtection="0"/>
    <xf numFmtId="0" fontId="28" fillId="0" borderId="0" applyNumberFormat="0" applyFill="0" applyBorder="0" applyAlignment="0" applyProtection="0"/>
    <xf numFmtId="0" fontId="8" fillId="0" borderId="0"/>
  </cellStyleXfs>
  <cellXfs count="56">
    <xf numFmtId="0" fontId="0" fillId="0" borderId="0" xfId="0"/>
    <xf numFmtId="2" fontId="2" fillId="0" borderId="0" xfId="31" applyNumberFormat="1" applyFont="1"/>
    <xf numFmtId="2" fontId="2" fillId="18" borderId="0" xfId="31" applyNumberFormat="1" applyFont="1" applyFill="1"/>
    <xf numFmtId="2" fontId="4" fillId="0" borderId="0" xfId="31" applyNumberFormat="1" applyFont="1" applyAlignment="1">
      <alignment horizontal="center"/>
    </xf>
    <xf numFmtId="2" fontId="6" fillId="18" borderId="0" xfId="31" applyNumberFormat="1" applyFont="1" applyFill="1" applyAlignment="1">
      <alignment horizontal="center" vertical="center"/>
    </xf>
    <xf numFmtId="2" fontId="0" fillId="0" borderId="0" xfId="31" applyNumberFormat="1" applyFont="1"/>
    <xf numFmtId="2" fontId="2" fillId="0" borderId="0" xfId="31" applyNumberFormat="1" applyFont="1" applyAlignment="1">
      <alignment horizontal="center"/>
    </xf>
    <xf numFmtId="2" fontId="0" fillId="0" borderId="0" xfId="31" applyNumberFormat="1" applyFont="1" applyAlignment="1">
      <alignment horizontal="center"/>
    </xf>
    <xf numFmtId="2" fontId="2" fillId="18" borderId="0" xfId="31" applyNumberFormat="1" applyFont="1" applyFill="1" applyAlignment="1">
      <alignment horizontal="center"/>
    </xf>
    <xf numFmtId="2" fontId="4" fillId="19" borderId="10" xfId="31" applyNumberFormat="1" applyFont="1" applyFill="1" applyBorder="1" applyAlignment="1">
      <alignment horizontal="center"/>
    </xf>
    <xf numFmtId="2" fontId="4" fillId="19" borderId="11" xfId="31" applyNumberFormat="1" applyFont="1" applyFill="1" applyBorder="1" applyAlignment="1">
      <alignment horizontal="center"/>
    </xf>
    <xf numFmtId="2" fontId="2" fillId="0" borderId="0" xfId="31" applyNumberFormat="1" applyFont="1" applyAlignment="1">
      <alignment horizontal="right"/>
    </xf>
    <xf numFmtId="2" fontId="7" fillId="18" borderId="0" xfId="31" applyNumberFormat="1" applyFont="1" applyFill="1" applyAlignment="1">
      <alignment horizontal="center" vertical="center"/>
    </xf>
    <xf numFmtId="2" fontId="5" fillId="0" borderId="0" xfId="31" applyNumberFormat="1" applyFont="1" applyAlignment="1">
      <alignment horizontal="center"/>
    </xf>
    <xf numFmtId="2" fontId="2" fillId="0" borderId="0" xfId="31" applyNumberFormat="1" applyFont="1" applyFill="1"/>
    <xf numFmtId="2" fontId="9" fillId="18" borderId="0" xfId="31" applyNumberFormat="1" applyFont="1" applyFill="1" applyAlignment="1">
      <alignment horizontal="center"/>
    </xf>
    <xf numFmtId="0" fontId="2" fillId="0" borderId="0" xfId="0" applyFont="1" applyAlignment="1">
      <alignment vertical="top"/>
    </xf>
    <xf numFmtId="2" fontId="2" fillId="0" borderId="0" xfId="31" applyNumberFormat="1" applyFont="1" applyAlignment="1">
      <alignment horizontal="center" vertical="center"/>
    </xf>
    <xf numFmtId="2" fontId="2" fillId="0" borderId="0" xfId="31" applyNumberFormat="1" applyFont="1" applyAlignment="1">
      <alignment horizontal="center" wrapText="1"/>
    </xf>
    <xf numFmtId="2" fontId="2" fillId="0" borderId="0" xfId="0" applyNumberFormat="1" applyFont="1" applyAlignment="1">
      <alignment horizontal="center"/>
    </xf>
    <xf numFmtId="2" fontId="0" fillId="0" borderId="0" xfId="31" applyNumberFormat="1" applyFont="1" applyAlignment="1">
      <alignment horizontal="center" vertical="center"/>
    </xf>
    <xf numFmtId="2" fontId="2" fillId="0" borderId="0" xfId="31" applyNumberFormat="1" applyFont="1" applyAlignment="1" applyProtection="1">
      <alignment horizontal="center" vertical="center"/>
      <protection locked="0"/>
    </xf>
    <xf numFmtId="2" fontId="30" fillId="0" borderId="0" xfId="31" applyNumberFormat="1" applyFont="1" applyAlignment="1">
      <alignment horizontal="center" vertical="center" wrapText="1"/>
    </xf>
    <xf numFmtId="2" fontId="30" fillId="0" borderId="0" xfId="31" applyNumberFormat="1" applyFont="1" applyAlignment="1">
      <alignment horizontal="center" vertical="center"/>
    </xf>
    <xf numFmtId="2" fontId="34" fillId="0" borderId="0" xfId="31" applyNumberFormat="1" applyFont="1" applyAlignment="1">
      <alignment horizontal="center" vertical="center"/>
    </xf>
    <xf numFmtId="0" fontId="32" fillId="0" borderId="0" xfId="0" applyFont="1" applyAlignment="1">
      <alignment horizontal="center" vertical="center"/>
    </xf>
    <xf numFmtId="165" fontId="2" fillId="18" borderId="0" xfId="31" applyFont="1" applyFill="1"/>
    <xf numFmtId="165" fontId="2" fillId="18" borderId="0" xfId="31" applyFont="1" applyFill="1" applyAlignment="1">
      <alignment horizontal="center"/>
    </xf>
    <xf numFmtId="165" fontId="30" fillId="18" borderId="0" xfId="31" applyFont="1" applyFill="1" applyAlignment="1">
      <alignment horizontal="center" vertical="center"/>
    </xf>
    <xf numFmtId="165" fontId="3" fillId="18" borderId="0" xfId="31" applyFont="1" applyFill="1"/>
    <xf numFmtId="10" fontId="0" fillId="0" borderId="0" xfId="0" applyNumberFormat="1"/>
    <xf numFmtId="10" fontId="2" fillId="18" borderId="0" xfId="47" applyNumberFormat="1" applyFont="1" applyFill="1" applyAlignment="1">
      <alignment horizontal="center" vertical="center"/>
    </xf>
    <xf numFmtId="2" fontId="4" fillId="18" borderId="0" xfId="31" applyNumberFormat="1" applyFont="1" applyFill="1" applyAlignment="1">
      <alignment horizontal="center" vertical="center"/>
    </xf>
    <xf numFmtId="168" fontId="0" fillId="0" borderId="0" xfId="31" applyNumberFormat="1" applyFont="1"/>
    <xf numFmtId="168" fontId="32" fillId="0" borderId="0" xfId="31" applyNumberFormat="1" applyFont="1" applyAlignment="1">
      <alignment horizontal="center" vertical="center"/>
    </xf>
    <xf numFmtId="0" fontId="4" fillId="0" borderId="0" xfId="0" applyFont="1" applyAlignment="1">
      <alignment horizontal="center" vertical="center"/>
    </xf>
    <xf numFmtId="10" fontId="4" fillId="18" borderId="0" xfId="47" applyNumberFormat="1" applyFont="1" applyFill="1" applyAlignment="1">
      <alignment horizontal="center" vertical="center"/>
    </xf>
    <xf numFmtId="167" fontId="4" fillId="0" borderId="0" xfId="0" applyNumberFormat="1" applyFont="1" applyAlignment="1">
      <alignment horizontal="center" vertical="center"/>
    </xf>
    <xf numFmtId="2" fontId="2" fillId="0" borderId="0" xfId="31" applyNumberFormat="1" applyFont="1" applyFill="1" applyAlignment="1">
      <alignment horizontal="center"/>
    </xf>
    <xf numFmtId="2" fontId="2" fillId="0" borderId="0" xfId="31" applyNumberFormat="1" applyFont="1" applyFill="1" applyAlignment="1">
      <alignment horizontal="center" vertical="center"/>
    </xf>
    <xf numFmtId="165" fontId="2" fillId="0" borderId="0" xfId="31" applyFont="1" applyFill="1"/>
    <xf numFmtId="2" fontId="4" fillId="0" borderId="11" xfId="31" applyNumberFormat="1" applyFont="1" applyFill="1" applyBorder="1" applyAlignment="1">
      <alignment horizontal="center"/>
    </xf>
    <xf numFmtId="2" fontId="6" fillId="0" borderId="0" xfId="31" applyNumberFormat="1" applyFont="1" applyFill="1" applyAlignment="1">
      <alignment horizontal="center" vertical="center"/>
    </xf>
    <xf numFmtId="10" fontId="4" fillId="0" borderId="0" xfId="47" applyNumberFormat="1" applyFont="1" applyFill="1" applyAlignment="1">
      <alignment horizontal="center" vertical="center"/>
    </xf>
    <xf numFmtId="10" fontId="2" fillId="0" borderId="0" xfId="47" applyNumberFormat="1" applyFont="1" applyFill="1" applyAlignment="1">
      <alignment horizontal="center" vertical="center"/>
    </xf>
    <xf numFmtId="168" fontId="0" fillId="0" borderId="0" xfId="31" applyNumberFormat="1" applyFont="1" applyFill="1"/>
    <xf numFmtId="167" fontId="2" fillId="0" borderId="0" xfId="31" applyNumberFormat="1" applyFont="1" applyFill="1"/>
    <xf numFmtId="10" fontId="31" fillId="0" borderId="0" xfId="0" applyNumberFormat="1" applyFont="1" applyAlignment="1">
      <alignment horizontal="center" vertical="center"/>
    </xf>
    <xf numFmtId="2" fontId="0" fillId="0" borderId="0" xfId="0" applyNumberFormat="1"/>
    <xf numFmtId="0" fontId="2" fillId="0" borderId="0" xfId="0" applyFont="1" applyAlignment="1">
      <alignment horizontal="center" vertical="top" wrapText="1"/>
    </xf>
    <xf numFmtId="0" fontId="11" fillId="0" borderId="0" xfId="0" applyFont="1" applyAlignment="1">
      <alignment horizontal="left" vertical="top" wrapText="1"/>
    </xf>
    <xf numFmtId="0" fontId="10" fillId="0" borderId="0" xfId="0" applyFont="1" applyAlignment="1">
      <alignment horizontal="left" vertical="top" wrapText="1"/>
    </xf>
    <xf numFmtId="170" fontId="2" fillId="0" borderId="0" xfId="0" applyNumberFormat="1" applyFont="1"/>
    <xf numFmtId="170" fontId="2" fillId="0" borderId="0" xfId="0" applyNumberFormat="1" applyFont="1" applyAlignment="1">
      <alignment horizontal="center"/>
    </xf>
    <xf numFmtId="170" fontId="30" fillId="0" borderId="0" xfId="0" applyNumberFormat="1" applyFont="1" applyAlignment="1">
      <alignment horizontal="center" vertical="center"/>
    </xf>
    <xf numFmtId="170" fontId="0" fillId="0" borderId="0" xfId="0" applyNumberFormat="1"/>
  </cellXfs>
  <cellStyles count="53">
    <cellStyle name="_x000a_bidires=100_x000d_" xfId="1" xr:uid="{7E59F120-7C13-4D1F-8C98-1BA39AE38341}"/>
    <cellStyle name="_x000a_bidires=100_x000d_ 2" xfId="2" xr:uid="{F7BB36C6-BEE1-4CE0-BE05-9747C19B2CB4}"/>
    <cellStyle name="20% - Accent1 2" xfId="3" xr:uid="{9DAC33ED-ACE7-4B2E-AE44-8BD6122A9BEF}"/>
    <cellStyle name="20% - Accent2 2" xfId="4" xr:uid="{C13F15EF-124A-41D0-9D22-B30018B11187}"/>
    <cellStyle name="20% - Accent3 2" xfId="5" xr:uid="{1182ADB3-E8F0-4B85-B18A-9EAAE9B57DD8}"/>
    <cellStyle name="20% - Accent4 2" xfId="6" xr:uid="{96B153B5-52F0-4605-B1B6-AD672AA7B252}"/>
    <cellStyle name="20% - Accent5 2" xfId="7" xr:uid="{1741F9DC-EDA2-46C7-83EA-E352888E18BE}"/>
    <cellStyle name="20% - Accent6 2" xfId="8" xr:uid="{D2A9BB2C-110C-4194-A9C4-E735222BE513}"/>
    <cellStyle name="40% - Accent1 2" xfId="9" xr:uid="{0F2C5EAE-F332-4B6D-9244-6785D7D940F2}"/>
    <cellStyle name="40% - Accent2 2" xfId="10" xr:uid="{1FBCC081-F48D-41BC-9ACF-CA4FA5EF17FF}"/>
    <cellStyle name="40% - Accent3 2" xfId="11" xr:uid="{013C93DF-C071-4459-BF9C-37AADD809329}"/>
    <cellStyle name="40% - Accent4 2" xfId="12" xr:uid="{3BCA8334-D933-4EF6-91B9-37C477B4C4B1}"/>
    <cellStyle name="40% - Accent5 2" xfId="13" xr:uid="{C6EEA978-5A93-4270-923A-0F5A57ABA5E7}"/>
    <cellStyle name="40% - Accent6 2" xfId="14" xr:uid="{2013874C-66D9-425A-9F4B-964CA99DFD16}"/>
    <cellStyle name="60% - Accent1 2" xfId="15" xr:uid="{25640132-795F-4D8E-9C7D-B64551EB4C56}"/>
    <cellStyle name="60% - Accent2 2" xfId="16" xr:uid="{9061923C-7086-4610-9EE5-2E31B1C3466C}"/>
    <cellStyle name="60% - Accent3 2" xfId="17" xr:uid="{7F3B4E81-2A04-4A71-BD2B-10EA7F3AE0F0}"/>
    <cellStyle name="60% - Accent4 2" xfId="18" xr:uid="{1A0D5AFE-8DF0-45CC-B282-3D0FC5824493}"/>
    <cellStyle name="60% - Accent5 2" xfId="19" xr:uid="{9AAC0472-0B89-4FF0-830A-C723AEA3470C}"/>
    <cellStyle name="60% - Accent6 2" xfId="20" xr:uid="{3605D4B9-656D-415F-801B-E223B304008B}"/>
    <cellStyle name="Accent1 2" xfId="21" xr:uid="{5F792B8F-8CB7-4C05-A22B-56F964E2580D}"/>
    <cellStyle name="Accent2 2" xfId="22" xr:uid="{E900050F-B3C4-4F90-81D8-52D94E7335C0}"/>
    <cellStyle name="Accent3 2" xfId="23" xr:uid="{275DA87F-EFCF-4796-B585-81F4C69AE3D0}"/>
    <cellStyle name="Accent4 2" xfId="24" xr:uid="{C26C4C1D-1CDD-4F5E-80A4-AA6EA0FDBFD2}"/>
    <cellStyle name="Accent5 2" xfId="25" xr:uid="{0BE626E9-C170-456B-9069-3755F354CE71}"/>
    <cellStyle name="Accent6 2" xfId="26" xr:uid="{D0E59F0F-944D-44B7-8919-1736A5A13D61}"/>
    <cellStyle name="Bad 2" xfId="27" xr:uid="{D6007554-76FD-4C21-83EE-2057C90265F7}"/>
    <cellStyle name="Calculation 2" xfId="28" xr:uid="{4F5465CB-7B5D-4072-908E-247D87B7737E}"/>
    <cellStyle name="Check Cell 2" xfId="29" xr:uid="{28775D98-F79C-4A1D-9DB7-473BD266A604}"/>
    <cellStyle name="Currency 2" xfId="30" xr:uid="{2FE47B82-B394-4C68-86A8-5AF25878B04C}"/>
    <cellStyle name="Dziesiętny" xfId="31" builtinId="3"/>
    <cellStyle name="Explanatory Text 2" xfId="32" xr:uid="{4615868A-6FC8-41C8-827E-5BBD8270B517}"/>
    <cellStyle name="Good 2" xfId="33" xr:uid="{8B5B0166-247B-4259-A606-CC582E8063E1}"/>
    <cellStyle name="Heading 1 2" xfId="34" xr:uid="{23F2A56D-C031-49AA-A004-BEA138AA53BD}"/>
    <cellStyle name="Heading 2 2" xfId="35" xr:uid="{1EE6BAE1-D98F-4625-AC73-CB6809A05CDC}"/>
    <cellStyle name="Heading 3 2" xfId="36" xr:uid="{C2D19286-DA66-4855-BC05-1463FE7F9384}"/>
    <cellStyle name="Heading 4 2" xfId="37" xr:uid="{6AF1911C-3264-4463-8FBE-C0ADB95F2B13}"/>
    <cellStyle name="Input 2" xfId="38" xr:uid="{759B0BF7-8641-4B5D-A8B1-F6DB0BE17364}"/>
    <cellStyle name="Linked Cell 2" xfId="39" xr:uid="{9144376B-2FB0-4329-BC30-772CF3B3D274}"/>
    <cellStyle name="Neutral 2" xfId="40" xr:uid="{3F4B3C59-0C26-4B44-9E2F-B2DD625FDB22}"/>
    <cellStyle name="Normal 2" xfId="41" xr:uid="{76E157C3-AF55-470D-BD77-0D8C8985FC3C}"/>
    <cellStyle name="Normal 3" xfId="42" xr:uid="{AE78EAB0-6E4B-4CFA-B784-EFB40C662EFE}"/>
    <cellStyle name="Normal 4" xfId="43" xr:uid="{E632D66B-62F1-4913-BC8C-1BAB746119B7}"/>
    <cellStyle name="Normal 5" xfId="44" xr:uid="{C7452CBF-7A6E-4BE9-BF08-6B976C3ECB9E}"/>
    <cellStyle name="Normalny" xfId="0" builtinId="0"/>
    <cellStyle name="Note 2" xfId="45" xr:uid="{0415ED3D-6484-4216-B530-15908BCB3E86}"/>
    <cellStyle name="Output 2" xfId="46" xr:uid="{931B4872-CFDC-4FB3-9749-B5C9BEBD7421}"/>
    <cellStyle name="Procentowy" xfId="47" builtinId="5"/>
    <cellStyle name="Style 1" xfId="48" xr:uid="{4370DA29-BEB7-41A1-A7F7-86BED9A87777}"/>
    <cellStyle name="Title 2" xfId="49" xr:uid="{E72CB7F2-4A68-48AE-9A85-874F56390CF5}"/>
    <cellStyle name="Total 2" xfId="50" xr:uid="{6C717036-E85D-41EF-9BE5-D5E156075D6A}"/>
    <cellStyle name="Warning Text 2" xfId="51" xr:uid="{F7D7B0DD-7CA0-4EB8-BE05-91C639ECFFA0}"/>
    <cellStyle name="Обычный_RTS_select_issues" xfId="52" xr:uid="{ACA97A72-9279-4B31-8A86-D5A4A13E391D}"/>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DFFBE-51D3-4206-90BD-71202E38227A}">
  <dimension ref="A1:F14"/>
  <sheetViews>
    <sheetView showGridLines="0" workbookViewId="0">
      <selection activeCell="B15" sqref="B15"/>
    </sheetView>
  </sheetViews>
  <sheetFormatPr defaultColWidth="9" defaultRowHeight="13" x14ac:dyDescent="0.3"/>
  <cols>
    <col min="1" max="6" width="13.5" style="16" customWidth="1"/>
    <col min="7" max="16384" width="9" style="16"/>
  </cols>
  <sheetData>
    <row r="1" spans="1:6" ht="25.5" customHeight="1" x14ac:dyDescent="0.3">
      <c r="A1" s="50" t="s">
        <v>9</v>
      </c>
      <c r="B1" s="51"/>
      <c r="C1" s="51"/>
      <c r="D1" s="51"/>
      <c r="E1" s="51"/>
      <c r="F1" s="51"/>
    </row>
    <row r="2" spans="1:6" ht="25.5" customHeight="1" x14ac:dyDescent="0.3">
      <c r="A2" s="51"/>
      <c r="B2" s="51"/>
      <c r="C2" s="51"/>
      <c r="D2" s="51"/>
      <c r="E2" s="51"/>
      <c r="F2" s="51"/>
    </row>
    <row r="3" spans="1:6" ht="25.5" customHeight="1" x14ac:dyDescent="0.3">
      <c r="A3" s="51"/>
      <c r="B3" s="51"/>
      <c r="C3" s="51"/>
      <c r="D3" s="51"/>
      <c r="E3" s="51"/>
      <c r="F3" s="51"/>
    </row>
    <row r="4" spans="1:6" ht="25.5" customHeight="1" x14ac:dyDescent="0.3">
      <c r="A4" s="51"/>
      <c r="B4" s="51"/>
      <c r="C4" s="51"/>
      <c r="D4" s="51"/>
      <c r="E4" s="51"/>
      <c r="F4" s="51"/>
    </row>
    <row r="5" spans="1:6" ht="25.5" customHeight="1" x14ac:dyDescent="0.3">
      <c r="A5" s="51"/>
      <c r="B5" s="51"/>
      <c r="C5" s="51"/>
      <c r="D5" s="51"/>
      <c r="E5" s="51"/>
      <c r="F5" s="51"/>
    </row>
    <row r="6" spans="1:6" ht="34.25" customHeight="1" x14ac:dyDescent="0.3">
      <c r="A6" s="51"/>
      <c r="B6" s="51"/>
      <c r="C6" s="51"/>
      <c r="D6" s="51"/>
      <c r="E6" s="51"/>
      <c r="F6" s="51"/>
    </row>
    <row r="9" spans="1:6" x14ac:dyDescent="0.3">
      <c r="A9" s="49"/>
      <c r="B9" s="49"/>
      <c r="C9" s="49"/>
      <c r="D9" s="49"/>
      <c r="E9" s="49"/>
      <c r="F9" s="49"/>
    </row>
    <row r="10" spans="1:6" x14ac:dyDescent="0.3">
      <c r="A10" s="49"/>
      <c r="B10" s="49"/>
      <c r="C10" s="49"/>
      <c r="D10" s="49"/>
      <c r="E10" s="49"/>
      <c r="F10" s="49"/>
    </row>
    <row r="11" spans="1:6" x14ac:dyDescent="0.3">
      <c r="A11" s="49"/>
      <c r="B11" s="49"/>
      <c r="C11" s="49"/>
      <c r="D11" s="49"/>
      <c r="E11" s="49"/>
      <c r="F11" s="49"/>
    </row>
    <row r="12" spans="1:6" x14ac:dyDescent="0.3">
      <c r="A12" s="49"/>
      <c r="B12" s="49"/>
      <c r="C12" s="49"/>
      <c r="D12" s="49"/>
      <c r="E12" s="49"/>
      <c r="F12" s="49"/>
    </row>
    <row r="13" spans="1:6" x14ac:dyDescent="0.3">
      <c r="A13" s="49"/>
      <c r="B13" s="49"/>
      <c r="C13" s="49"/>
      <c r="D13" s="49"/>
      <c r="E13" s="49"/>
      <c r="F13" s="49"/>
    </row>
    <row r="14" spans="1:6" x14ac:dyDescent="0.3">
      <c r="A14" s="49"/>
      <c r="B14" s="49"/>
      <c r="C14" s="49"/>
      <c r="D14" s="49"/>
      <c r="E14" s="49"/>
      <c r="F14" s="49"/>
    </row>
  </sheetData>
  <mergeCells count="2">
    <mergeCell ref="A9:F14"/>
    <mergeCell ref="A1:F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F3495-BB15-4311-8848-0A573ED42765}">
  <dimension ref="A1:S2493"/>
  <sheetViews>
    <sheetView showGridLines="0" tabSelected="1" zoomScale="102" zoomScaleNormal="100" workbookViewId="0">
      <pane xSplit="1" ySplit="1" topLeftCell="B2" activePane="bottomRight" state="frozen"/>
      <selection pane="topRight" activeCell="B1" sqref="B1"/>
      <selection pane="bottomLeft" activeCell="A9" sqref="A9"/>
      <selection pane="bottomRight" activeCell="A3" sqref="A3"/>
    </sheetView>
  </sheetViews>
  <sheetFormatPr defaultColWidth="10.25" defaultRowHeight="13.5" x14ac:dyDescent="0.35"/>
  <cols>
    <col min="1" max="1" width="10.25" style="55"/>
    <col min="2" max="2" width="10.33203125" style="7" bestFit="1" customWidth="1"/>
    <col min="3" max="3" width="10.33203125" style="5" bestFit="1" customWidth="1"/>
    <col min="4" max="5" width="10.33203125" style="7" bestFit="1" customWidth="1"/>
    <col min="6" max="6" width="10.33203125" style="5" bestFit="1" customWidth="1"/>
    <col min="7" max="7" width="10.33203125" style="20" bestFit="1" customWidth="1"/>
    <col min="8" max="9" width="10.33203125" style="5" bestFit="1" customWidth="1"/>
    <col min="10" max="10" width="13.25" style="29" customWidth="1"/>
    <col min="11" max="11" width="10.33203125" style="5" bestFit="1" customWidth="1"/>
    <col min="12" max="12" width="10.75" style="29" bestFit="1" customWidth="1"/>
    <col min="13" max="13" width="10.33203125" style="13" bestFit="1" customWidth="1"/>
    <col min="14" max="14" width="12.9140625" style="12" customWidth="1"/>
    <col min="15" max="15" width="15.25" style="35" customWidth="1"/>
    <col min="16" max="16" width="10.25" style="31"/>
    <col min="17" max="17" width="12.75" style="33" bestFit="1" customWidth="1"/>
  </cols>
  <sheetData>
    <row r="1" spans="1:18" thickBot="1" x14ac:dyDescent="0.35">
      <c r="A1" s="53" t="s">
        <v>0</v>
      </c>
      <c r="B1" s="6" t="s">
        <v>1</v>
      </c>
      <c r="C1" s="6" t="s">
        <v>2</v>
      </c>
      <c r="D1" s="6" t="s">
        <v>3</v>
      </c>
      <c r="E1" s="6" t="s">
        <v>4</v>
      </c>
      <c r="F1" s="6" t="s">
        <v>6</v>
      </c>
      <c r="G1" s="17" t="s">
        <v>7</v>
      </c>
      <c r="H1" s="6" t="s">
        <v>12</v>
      </c>
      <c r="I1" s="6" t="s">
        <v>11</v>
      </c>
      <c r="J1" s="27" t="s">
        <v>13</v>
      </c>
      <c r="K1" s="6" t="s">
        <v>14</v>
      </c>
      <c r="L1" s="27" t="s">
        <v>15</v>
      </c>
      <c r="M1" s="9" t="s">
        <v>8</v>
      </c>
      <c r="N1" s="15" t="s">
        <v>10</v>
      </c>
      <c r="O1" s="32" t="s">
        <v>17</v>
      </c>
      <c r="P1" s="32" t="s">
        <v>16</v>
      </c>
    </row>
    <row r="2" spans="1:18" ht="13" x14ac:dyDescent="0.3">
      <c r="A2" s="52" t="s">
        <v>18</v>
      </c>
      <c r="B2" s="6">
        <v>4.4400000000000004</v>
      </c>
      <c r="C2" s="1">
        <v>0.26</v>
      </c>
      <c r="D2" s="6">
        <v>0.4</v>
      </c>
      <c r="E2" s="6">
        <v>12.46406116</v>
      </c>
      <c r="F2" s="1">
        <f>1871+1/24</f>
        <v>1871.0416666666667</v>
      </c>
      <c r="G2" s="17">
        <v>5.32</v>
      </c>
      <c r="H2" s="1">
        <f>B2*$E$1867/E2</f>
        <v>119.37971828758261</v>
      </c>
      <c r="I2" s="1">
        <f>C2*$E$1867/E2</f>
        <v>6.9907042240476294</v>
      </c>
      <c r="J2" s="26">
        <f>H2</f>
        <v>119.37971828758261</v>
      </c>
      <c r="K2" s="1">
        <f>D2*$E$1867/E2</f>
        <v>10.754929575457894</v>
      </c>
      <c r="L2" s="26">
        <f>K2*(J2/H2)</f>
        <v>10.754929575457894</v>
      </c>
      <c r="M2" s="10" t="s">
        <v>5</v>
      </c>
      <c r="N2" s="4" t="s">
        <v>5</v>
      </c>
      <c r="R2" s="30"/>
    </row>
    <row r="3" spans="1:18" ht="13" x14ac:dyDescent="0.3">
      <c r="A3" s="52" t="s">
        <v>19</v>
      </c>
      <c r="B3" s="6">
        <v>4.5</v>
      </c>
      <c r="C3" s="1">
        <v>0.26</v>
      </c>
      <c r="D3" s="6">
        <v>0.4</v>
      </c>
      <c r="E3" s="6">
        <v>12.844641319999999</v>
      </c>
      <c r="F3" s="1">
        <f>F2+1/12</f>
        <v>1871.125</v>
      </c>
      <c r="G3" s="17">
        <f>G2*11/12+G14*1/12</f>
        <v>5.3233333333333333</v>
      </c>
      <c r="H3" s="1">
        <f t="shared" ref="H3:H66" si="0">B3*$E$1867/E3</f>
        <v>117.40799820169677</v>
      </c>
      <c r="I3" s="1">
        <f t="shared" ref="I3:I66" si="1">C3*$E$1867/E3</f>
        <v>6.7835732294313695</v>
      </c>
      <c r="J3" s="26">
        <f>J2*((H3+(I3/12))/H2)</f>
        <v>117.97329597081605</v>
      </c>
      <c r="K3" s="1">
        <f t="shared" ref="K3:K66" si="2">D3*$E$1867/E3</f>
        <v>10.436266506817493</v>
      </c>
      <c r="L3" s="26">
        <f t="shared" ref="L3:L66" si="3">K3*(J3/H3)</f>
        <v>10.486515197405874</v>
      </c>
      <c r="M3" s="10" t="s">
        <v>5</v>
      </c>
      <c r="N3" s="4" t="s">
        <v>5</v>
      </c>
      <c r="R3" s="30"/>
    </row>
    <row r="4" spans="1:18" ht="13" x14ac:dyDescent="0.3">
      <c r="A4" s="52" t="s">
        <v>20</v>
      </c>
      <c r="B4" s="6">
        <v>4.6100000000000003</v>
      </c>
      <c r="C4" s="1">
        <v>0.26</v>
      </c>
      <c r="D4" s="6">
        <v>0.4</v>
      </c>
      <c r="E4" s="6">
        <v>13.0349719</v>
      </c>
      <c r="F4" s="1">
        <f t="shared" ref="F4:F67" si="4">F3+1/12</f>
        <v>1871.2083333333333</v>
      </c>
      <c r="G4" s="17">
        <f>G2*10/12+G14*2/12</f>
        <v>5.3266666666666671</v>
      </c>
      <c r="H4" s="1">
        <f t="shared" si="0"/>
        <v>118.52172865060031</v>
      </c>
      <c r="I4" s="1">
        <f t="shared" si="1"/>
        <v>6.6845226570837486</v>
      </c>
      <c r="J4" s="26">
        <f t="shared" ref="J4:J67" si="5">J3*((H4+(I4/12))/H3)</f>
        <v>119.6521144419016</v>
      </c>
      <c r="K4" s="1">
        <f t="shared" si="2"/>
        <v>10.283881010898076</v>
      </c>
      <c r="L4" s="26">
        <f t="shared" si="3"/>
        <v>10.381962207540271</v>
      </c>
      <c r="M4" s="10" t="s">
        <v>5</v>
      </c>
      <c r="N4" s="4" t="s">
        <v>5</v>
      </c>
      <c r="R4" s="30"/>
    </row>
    <row r="5" spans="1:18" ht="13" x14ac:dyDescent="0.3">
      <c r="A5" s="52" t="s">
        <v>21</v>
      </c>
      <c r="B5" s="6">
        <v>4.74</v>
      </c>
      <c r="C5" s="1">
        <v>0.26</v>
      </c>
      <c r="D5" s="6">
        <v>0.4</v>
      </c>
      <c r="E5" s="6">
        <v>12.559226450000001</v>
      </c>
      <c r="F5" s="1">
        <f t="shared" si="4"/>
        <v>1871.2916666666665</v>
      </c>
      <c r="G5" s="17">
        <f>G2*9/12+G14*3/12</f>
        <v>5.33</v>
      </c>
      <c r="H5" s="1">
        <f t="shared" si="0"/>
        <v>126.48021686080834</v>
      </c>
      <c r="I5" s="1">
        <f t="shared" si="1"/>
        <v>6.9377334143059421</v>
      </c>
      <c r="J5" s="26">
        <f t="shared" si="5"/>
        <v>128.27016414282585</v>
      </c>
      <c r="K5" s="1">
        <f t="shared" si="2"/>
        <v>10.673436022009144</v>
      </c>
      <c r="L5" s="26">
        <f t="shared" si="3"/>
        <v>10.824486425554925</v>
      </c>
      <c r="M5" s="10" t="s">
        <v>5</v>
      </c>
      <c r="N5" s="4" t="s">
        <v>5</v>
      </c>
      <c r="R5" s="30"/>
    </row>
    <row r="6" spans="1:18" ht="13" x14ac:dyDescent="0.3">
      <c r="A6" s="52" t="s">
        <v>22</v>
      </c>
      <c r="B6" s="6">
        <v>4.8600000000000003</v>
      </c>
      <c r="C6" s="1">
        <v>0.26</v>
      </c>
      <c r="D6" s="6">
        <v>0.4</v>
      </c>
      <c r="E6" s="6">
        <v>12.273811569999999</v>
      </c>
      <c r="F6" s="1">
        <f t="shared" si="4"/>
        <v>1871.3749999999998</v>
      </c>
      <c r="G6" s="17">
        <f>G2*8/12+G14*4/12</f>
        <v>5.3333333333333339</v>
      </c>
      <c r="H6" s="1">
        <f t="shared" si="0"/>
        <v>132.69787512307394</v>
      </c>
      <c r="I6" s="1">
        <f t="shared" si="1"/>
        <v>7.0990632781891403</v>
      </c>
      <c r="J6" s="26">
        <f t="shared" si="5"/>
        <v>135.17577543307854</v>
      </c>
      <c r="K6" s="1">
        <f t="shared" si="2"/>
        <v>10.921635812598678</v>
      </c>
      <c r="L6" s="26">
        <f t="shared" si="3"/>
        <v>11.125578224944736</v>
      </c>
      <c r="M6" s="10" t="s">
        <v>5</v>
      </c>
      <c r="N6" s="4" t="s">
        <v>5</v>
      </c>
      <c r="R6" s="30"/>
    </row>
    <row r="7" spans="1:18" ht="13" x14ac:dyDescent="0.3">
      <c r="A7" s="52" t="s">
        <v>23</v>
      </c>
      <c r="B7" s="6">
        <v>4.82</v>
      </c>
      <c r="C7" s="1">
        <v>0.26</v>
      </c>
      <c r="D7" s="6">
        <v>0.4</v>
      </c>
      <c r="E7" s="6">
        <v>12.08348099</v>
      </c>
      <c r="F7" s="1">
        <f t="shared" si="4"/>
        <v>1871.458333333333</v>
      </c>
      <c r="G7" s="17">
        <f>G2*7/12+G14*5/12</f>
        <v>5.3366666666666669</v>
      </c>
      <c r="H7" s="1">
        <f t="shared" si="0"/>
        <v>133.67867308574299</v>
      </c>
      <c r="I7" s="1">
        <f t="shared" si="1"/>
        <v>7.2108827805587499</v>
      </c>
      <c r="J7" s="26">
        <f t="shared" si="5"/>
        <v>136.78701586100746</v>
      </c>
      <c r="K7" s="1">
        <f t="shared" si="2"/>
        <v>11.093665816244233</v>
      </c>
      <c r="L7" s="26">
        <f t="shared" si="3"/>
        <v>11.351619573527591</v>
      </c>
      <c r="M7" s="10" t="s">
        <v>5</v>
      </c>
      <c r="N7" s="4" t="s">
        <v>5</v>
      </c>
      <c r="R7" s="30"/>
    </row>
    <row r="8" spans="1:18" ht="13" x14ac:dyDescent="0.3">
      <c r="A8" s="52" t="s">
        <v>24</v>
      </c>
      <c r="B8" s="6">
        <v>4.7300000000000004</v>
      </c>
      <c r="C8" s="1">
        <v>0.26</v>
      </c>
      <c r="D8" s="6">
        <v>0.4</v>
      </c>
      <c r="E8" s="6">
        <v>12.08348099</v>
      </c>
      <c r="F8" s="1">
        <f t="shared" si="4"/>
        <v>1871.5416666666663</v>
      </c>
      <c r="G8" s="17">
        <f>G2*6/12+G14*6/12</f>
        <v>5.34</v>
      </c>
      <c r="H8" s="1">
        <f t="shared" si="0"/>
        <v>131.18259827708803</v>
      </c>
      <c r="I8" s="1">
        <f t="shared" si="1"/>
        <v>7.2108827805587499</v>
      </c>
      <c r="J8" s="26">
        <f t="shared" si="5"/>
        <v>134.84778085052983</v>
      </c>
      <c r="K8" s="1">
        <f t="shared" si="2"/>
        <v>11.093665816244233</v>
      </c>
      <c r="L8" s="26">
        <f t="shared" si="3"/>
        <v>11.403617830911614</v>
      </c>
      <c r="M8" s="10" t="s">
        <v>5</v>
      </c>
      <c r="N8" s="4" t="s">
        <v>5</v>
      </c>
      <c r="R8" s="30"/>
    </row>
    <row r="9" spans="1:18" ht="13" x14ac:dyDescent="0.3">
      <c r="A9" s="52" t="s">
        <v>25</v>
      </c>
      <c r="B9" s="6">
        <v>4.79</v>
      </c>
      <c r="C9" s="1">
        <v>0.26</v>
      </c>
      <c r="D9" s="6">
        <v>0.4</v>
      </c>
      <c r="E9" s="6">
        <v>11.893231399999999</v>
      </c>
      <c r="F9" s="1">
        <f t="shared" si="4"/>
        <v>1871.6249999999995</v>
      </c>
      <c r="G9" s="17">
        <f>G2*5/12+G14*7/12</f>
        <v>5.3433333333333337</v>
      </c>
      <c r="H9" s="1">
        <f t="shared" si="0"/>
        <v>134.97172412705265</v>
      </c>
      <c r="I9" s="1">
        <f t="shared" si="1"/>
        <v>7.3262313722408532</v>
      </c>
      <c r="J9" s="26">
        <f t="shared" si="5"/>
        <v>139.37035008025322</v>
      </c>
      <c r="K9" s="1">
        <f t="shared" si="2"/>
        <v>11.271125188062852</v>
      </c>
      <c r="L9" s="26">
        <f t="shared" si="3"/>
        <v>11.638442595428243</v>
      </c>
      <c r="M9" s="10" t="s">
        <v>5</v>
      </c>
      <c r="N9" s="4" t="s">
        <v>5</v>
      </c>
      <c r="R9" s="30"/>
    </row>
    <row r="10" spans="1:18" ht="13" x14ac:dyDescent="0.3">
      <c r="A10" s="52" t="s">
        <v>26</v>
      </c>
      <c r="B10" s="6">
        <v>4.84</v>
      </c>
      <c r="C10" s="1">
        <v>0.26</v>
      </c>
      <c r="D10" s="6">
        <v>0.4</v>
      </c>
      <c r="E10" s="6">
        <v>12.178646280000001</v>
      </c>
      <c r="F10" s="1">
        <f t="shared" si="4"/>
        <v>1871.7083333333328</v>
      </c>
      <c r="G10" s="17">
        <f>G2*4/12+G14*8/12</f>
        <v>5.3466666666666676</v>
      </c>
      <c r="H10" s="1">
        <f t="shared" si="0"/>
        <v>133.1844420724895</v>
      </c>
      <c r="I10" s="1">
        <f t="shared" si="1"/>
        <v>7.1545361443899322</v>
      </c>
      <c r="J10" s="26">
        <f t="shared" si="5"/>
        <v>138.14046328148262</v>
      </c>
      <c r="K10" s="1">
        <f t="shared" si="2"/>
        <v>11.00697868367682</v>
      </c>
      <c r="L10" s="26">
        <f t="shared" si="3"/>
        <v>11.416567213345672</v>
      </c>
      <c r="M10" s="10" t="s">
        <v>5</v>
      </c>
      <c r="N10" s="4" t="s">
        <v>5</v>
      </c>
      <c r="R10" s="30"/>
    </row>
    <row r="11" spans="1:18" ht="13" x14ac:dyDescent="0.3">
      <c r="A11" s="52" t="s">
        <v>27</v>
      </c>
      <c r="B11" s="6">
        <v>4.59</v>
      </c>
      <c r="C11" s="1">
        <v>0.26</v>
      </c>
      <c r="D11" s="6">
        <v>0.4</v>
      </c>
      <c r="E11" s="6">
        <v>12.368895869999999</v>
      </c>
      <c r="F11" s="1">
        <f t="shared" si="4"/>
        <v>1871.7916666666661</v>
      </c>
      <c r="G11" s="17">
        <f>G2*3/12+G14*9/12</f>
        <v>5.3500000000000005</v>
      </c>
      <c r="H11" s="1">
        <f t="shared" si="0"/>
        <v>124.36234516541371</v>
      </c>
      <c r="I11" s="1">
        <f t="shared" si="1"/>
        <v>7.0444901400887936</v>
      </c>
      <c r="J11" s="26">
        <f t="shared" si="5"/>
        <v>129.59896667826871</v>
      </c>
      <c r="K11" s="1">
        <f t="shared" si="2"/>
        <v>10.837677138598146</v>
      </c>
      <c r="L11" s="26">
        <f t="shared" si="3"/>
        <v>11.294027597234747</v>
      </c>
      <c r="M11" s="10" t="s">
        <v>5</v>
      </c>
      <c r="N11" s="4" t="s">
        <v>5</v>
      </c>
      <c r="R11" s="30"/>
    </row>
    <row r="12" spans="1:18" ht="13" x14ac:dyDescent="0.3">
      <c r="A12" s="52" t="s">
        <v>28</v>
      </c>
      <c r="B12" s="6">
        <v>4.6399999999999997</v>
      </c>
      <c r="C12" s="1">
        <v>0.26</v>
      </c>
      <c r="D12" s="6">
        <v>0.4</v>
      </c>
      <c r="E12" s="6">
        <v>12.368895869999999</v>
      </c>
      <c r="F12" s="1">
        <f t="shared" si="4"/>
        <v>1871.8749999999993</v>
      </c>
      <c r="G12" s="17">
        <f>G2*2/12+G14*10/12</f>
        <v>5.3533333333333335</v>
      </c>
      <c r="H12" s="1">
        <f t="shared" si="0"/>
        <v>125.71705480773846</v>
      </c>
      <c r="I12" s="1">
        <f t="shared" si="1"/>
        <v>7.0444901400887936</v>
      </c>
      <c r="J12" s="26">
        <f t="shared" si="5"/>
        <v>131.62247995610659</v>
      </c>
      <c r="K12" s="1">
        <f t="shared" si="2"/>
        <v>10.837677138598146</v>
      </c>
      <c r="L12" s="26">
        <f t="shared" si="3"/>
        <v>11.346765513457466</v>
      </c>
      <c r="M12" s="10" t="s">
        <v>5</v>
      </c>
      <c r="N12" s="4" t="s">
        <v>5</v>
      </c>
      <c r="R12" s="30"/>
    </row>
    <row r="13" spans="1:18" ht="13" x14ac:dyDescent="0.3">
      <c r="A13" s="52" t="s">
        <v>29</v>
      </c>
      <c r="B13" s="6">
        <v>4.74</v>
      </c>
      <c r="C13" s="1">
        <v>0.26</v>
      </c>
      <c r="D13" s="6">
        <v>0.4</v>
      </c>
      <c r="E13" s="6">
        <v>12.654391739999999</v>
      </c>
      <c r="F13" s="1">
        <f t="shared" si="4"/>
        <v>1871.9583333333326</v>
      </c>
      <c r="G13" s="17">
        <f>G2*1/12+G14*11/12</f>
        <v>5.3566666666666665</v>
      </c>
      <c r="H13" s="1">
        <f t="shared" si="0"/>
        <v>125.52904301032807</v>
      </c>
      <c r="I13" s="1">
        <f t="shared" si="1"/>
        <v>6.8855593212416233</v>
      </c>
      <c r="J13" s="26">
        <f t="shared" si="5"/>
        <v>132.02638660070403</v>
      </c>
      <c r="K13" s="1">
        <f t="shared" si="2"/>
        <v>10.593168186525576</v>
      </c>
      <c r="L13" s="26">
        <f t="shared" si="3"/>
        <v>11.141467223688103</v>
      </c>
      <c r="M13" s="10" t="s">
        <v>5</v>
      </c>
      <c r="N13" s="4" t="s">
        <v>5</v>
      </c>
      <c r="R13" s="30"/>
    </row>
    <row r="14" spans="1:18" ht="13" x14ac:dyDescent="0.3">
      <c r="A14" s="52" t="s">
        <v>30</v>
      </c>
      <c r="B14" s="6">
        <v>4.8600000000000003</v>
      </c>
      <c r="C14" s="1">
        <v>0.26329999999999998</v>
      </c>
      <c r="D14" s="6">
        <v>0.40250000000000002</v>
      </c>
      <c r="E14" s="6">
        <v>12.654391739999999</v>
      </c>
      <c r="F14" s="1">
        <f t="shared" si="4"/>
        <v>1872.0416666666658</v>
      </c>
      <c r="G14" s="17">
        <v>5.36</v>
      </c>
      <c r="H14" s="1">
        <f t="shared" si="0"/>
        <v>128.70699346628572</v>
      </c>
      <c r="I14" s="1">
        <f t="shared" si="1"/>
        <v>6.972952958780458</v>
      </c>
      <c r="J14" s="26">
        <f t="shared" si="5"/>
        <v>135.97998266780982</v>
      </c>
      <c r="K14" s="1">
        <f t="shared" si="2"/>
        <v>10.65937548769136</v>
      </c>
      <c r="L14" s="26">
        <f t="shared" si="3"/>
        <v>11.261716671562441</v>
      </c>
      <c r="M14" s="10" t="s">
        <v>5</v>
      </c>
      <c r="N14" s="4" t="s">
        <v>5</v>
      </c>
      <c r="R14" s="30"/>
    </row>
    <row r="15" spans="1:18" ht="13" x14ac:dyDescent="0.3">
      <c r="A15" s="52" t="s">
        <v>31</v>
      </c>
      <c r="B15" s="6">
        <v>4.88</v>
      </c>
      <c r="C15" s="1">
        <v>0.26669999999999999</v>
      </c>
      <c r="D15" s="6">
        <v>0.40500000000000003</v>
      </c>
      <c r="E15" s="6">
        <v>12.654391739999999</v>
      </c>
      <c r="F15" s="1">
        <f t="shared" si="4"/>
        <v>1872.1249999999991</v>
      </c>
      <c r="G15" s="17">
        <f>G14*11/12+G26*1/12</f>
        <v>5.378333333333333</v>
      </c>
      <c r="H15" s="1">
        <f t="shared" si="0"/>
        <v>129.23665187561201</v>
      </c>
      <c r="I15" s="1">
        <f t="shared" si="1"/>
        <v>7.0629948883659264</v>
      </c>
      <c r="J15" s="26">
        <f t="shared" si="5"/>
        <v>137.16141369006257</v>
      </c>
      <c r="K15" s="1">
        <f t="shared" si="2"/>
        <v>10.725582788857144</v>
      </c>
      <c r="L15" s="26">
        <f t="shared" si="3"/>
        <v>11.383273062392487</v>
      </c>
      <c r="M15" s="10" t="s">
        <v>5</v>
      </c>
      <c r="N15" s="4" t="s">
        <v>5</v>
      </c>
      <c r="R15" s="30"/>
    </row>
    <row r="16" spans="1:18" ht="13" x14ac:dyDescent="0.3">
      <c r="A16" s="52" t="s">
        <v>32</v>
      </c>
      <c r="B16" s="6">
        <v>5.04</v>
      </c>
      <c r="C16" s="1">
        <v>0.27</v>
      </c>
      <c r="D16" s="6">
        <v>0.40749999999999997</v>
      </c>
      <c r="E16" s="6">
        <v>12.844641319999999</v>
      </c>
      <c r="F16" s="1">
        <f t="shared" si="4"/>
        <v>1872.2083333333323</v>
      </c>
      <c r="G16" s="17">
        <f>G14*10/12+G26*2/12</f>
        <v>5.3966666666666665</v>
      </c>
      <c r="H16" s="1">
        <f t="shared" si="0"/>
        <v>131.49695798590039</v>
      </c>
      <c r="I16" s="1">
        <f t="shared" si="1"/>
        <v>7.0444798921018066</v>
      </c>
      <c r="J16" s="26">
        <f t="shared" si="5"/>
        <v>140.18335840041192</v>
      </c>
      <c r="K16" s="1">
        <f t="shared" si="2"/>
        <v>10.631946503820318</v>
      </c>
      <c r="L16" s="26">
        <f t="shared" si="3"/>
        <v>11.334269553207905</v>
      </c>
      <c r="M16" s="10" t="s">
        <v>5</v>
      </c>
      <c r="N16" s="4" t="s">
        <v>5</v>
      </c>
      <c r="R16" s="30"/>
    </row>
    <row r="17" spans="1:18" ht="13" x14ac:dyDescent="0.3">
      <c r="A17" s="52" t="s">
        <v>33</v>
      </c>
      <c r="B17" s="6">
        <v>5.18</v>
      </c>
      <c r="C17" s="1">
        <v>0.27329999999999999</v>
      </c>
      <c r="D17" s="6">
        <v>0.41</v>
      </c>
      <c r="E17" s="6">
        <v>13.130137189999999</v>
      </c>
      <c r="F17" s="1">
        <f t="shared" si="4"/>
        <v>1872.2916666666656</v>
      </c>
      <c r="G17" s="17">
        <f>G14*9/12+G26*3/12</f>
        <v>5.4150000000000009</v>
      </c>
      <c r="H17" s="1">
        <f t="shared" si="0"/>
        <v>132.21101728640809</v>
      </c>
      <c r="I17" s="1">
        <f t="shared" si="1"/>
        <v>6.9755349467906047</v>
      </c>
      <c r="J17" s="26">
        <f t="shared" si="5"/>
        <v>141.56428051384768</v>
      </c>
      <c r="K17" s="1">
        <f t="shared" si="2"/>
        <v>10.464578588306434</v>
      </c>
      <c r="L17" s="26">
        <f t="shared" si="3"/>
        <v>11.204894789706092</v>
      </c>
      <c r="M17" s="10" t="s">
        <v>5</v>
      </c>
      <c r="N17" s="4" t="s">
        <v>5</v>
      </c>
      <c r="R17" s="30"/>
    </row>
    <row r="18" spans="1:18" ht="13" x14ac:dyDescent="0.3">
      <c r="A18" s="52" t="s">
        <v>34</v>
      </c>
      <c r="B18" s="6">
        <v>5.18</v>
      </c>
      <c r="C18" s="1">
        <v>0.2767</v>
      </c>
      <c r="D18" s="6">
        <v>0.41249999999999998</v>
      </c>
      <c r="E18" s="6">
        <v>13.130137189999999</v>
      </c>
      <c r="F18" s="1">
        <f t="shared" si="4"/>
        <v>1872.3749999999989</v>
      </c>
      <c r="G18" s="17">
        <f>G14*8/12+G26*4/12</f>
        <v>5.4333333333333336</v>
      </c>
      <c r="H18" s="1">
        <f t="shared" si="0"/>
        <v>132.21101728640809</v>
      </c>
      <c r="I18" s="1">
        <f t="shared" si="1"/>
        <v>7.0623143789863176</v>
      </c>
      <c r="J18" s="26">
        <f t="shared" si="5"/>
        <v>142.19444197488664</v>
      </c>
      <c r="K18" s="1">
        <f t="shared" si="2"/>
        <v>10.528386994332692</v>
      </c>
      <c r="L18" s="26">
        <f t="shared" si="3"/>
        <v>11.323399095490492</v>
      </c>
      <c r="M18" s="10" t="s">
        <v>5</v>
      </c>
      <c r="N18" s="4" t="s">
        <v>5</v>
      </c>
      <c r="R18" s="30"/>
    </row>
    <row r="19" spans="1:18" ht="13" x14ac:dyDescent="0.3">
      <c r="A19" s="52" t="s">
        <v>35</v>
      </c>
      <c r="B19" s="6">
        <v>5.13</v>
      </c>
      <c r="C19" s="1">
        <v>0.28000000000000003</v>
      </c>
      <c r="D19" s="6">
        <v>0.41499999999999998</v>
      </c>
      <c r="E19" s="6">
        <v>13.0349719</v>
      </c>
      <c r="F19" s="1">
        <f t="shared" si="4"/>
        <v>1872.4583333333321</v>
      </c>
      <c r="G19" s="17">
        <f>G14*7/12+G26*5/12</f>
        <v>5.4516666666666662</v>
      </c>
      <c r="H19" s="1">
        <f t="shared" si="0"/>
        <v>131.89077396476782</v>
      </c>
      <c r="I19" s="1">
        <f t="shared" si="1"/>
        <v>7.1987167076286527</v>
      </c>
      <c r="J19" s="26">
        <f t="shared" si="5"/>
        <v>142.49520842509668</v>
      </c>
      <c r="K19" s="1">
        <f t="shared" si="2"/>
        <v>10.669526548806752</v>
      </c>
      <c r="L19" s="26">
        <f t="shared" si="3"/>
        <v>11.527390155246611</v>
      </c>
      <c r="M19" s="10" t="s">
        <v>5</v>
      </c>
      <c r="N19" s="4" t="s">
        <v>5</v>
      </c>
      <c r="R19" s="30"/>
    </row>
    <row r="20" spans="1:18" ht="13" x14ac:dyDescent="0.3">
      <c r="A20" s="52" t="s">
        <v>36</v>
      </c>
      <c r="B20" s="6">
        <v>5.0999999999999996</v>
      </c>
      <c r="C20" s="1">
        <v>0.2833</v>
      </c>
      <c r="D20" s="6">
        <v>0.41749999999999998</v>
      </c>
      <c r="E20" s="6">
        <v>12.844641319999999</v>
      </c>
      <c r="F20" s="1">
        <f t="shared" si="4"/>
        <v>1872.5416666666654</v>
      </c>
      <c r="G20" s="17">
        <f>G14*6/12+G26*6/12</f>
        <v>5.4700000000000006</v>
      </c>
      <c r="H20" s="1">
        <f t="shared" si="0"/>
        <v>133.06239796192301</v>
      </c>
      <c r="I20" s="1">
        <f t="shared" si="1"/>
        <v>7.3914857534534875</v>
      </c>
      <c r="J20" s="26">
        <f t="shared" si="5"/>
        <v>144.42651673371256</v>
      </c>
      <c r="K20" s="1">
        <f t="shared" si="2"/>
        <v>10.892853166490756</v>
      </c>
      <c r="L20" s="26">
        <f t="shared" si="3"/>
        <v>11.823151124769607</v>
      </c>
      <c r="M20" s="10" t="s">
        <v>5</v>
      </c>
      <c r="N20" s="4" t="s">
        <v>5</v>
      </c>
      <c r="R20" s="30"/>
    </row>
    <row r="21" spans="1:18" ht="13" x14ac:dyDescent="0.3">
      <c r="A21" s="52" t="s">
        <v>37</v>
      </c>
      <c r="B21" s="6">
        <v>5.04</v>
      </c>
      <c r="C21" s="1">
        <v>0.28670000000000001</v>
      </c>
      <c r="D21" s="6">
        <v>0.42</v>
      </c>
      <c r="E21" s="6">
        <v>12.93980661</v>
      </c>
      <c r="F21" s="1">
        <f t="shared" si="4"/>
        <v>1872.6249999999986</v>
      </c>
      <c r="G21" s="17">
        <f>G14*5/12+G26*7/12</f>
        <v>5.4883333333333333</v>
      </c>
      <c r="H21" s="1">
        <f t="shared" si="0"/>
        <v>130.52986886950083</v>
      </c>
      <c r="I21" s="1">
        <f t="shared" si="1"/>
        <v>7.4251812311281524</v>
      </c>
      <c r="J21" s="26">
        <f t="shared" si="5"/>
        <v>142.34930881370806</v>
      </c>
      <c r="K21" s="1">
        <f t="shared" si="2"/>
        <v>10.877489072458401</v>
      </c>
      <c r="L21" s="26">
        <f t="shared" si="3"/>
        <v>11.862442401142337</v>
      </c>
      <c r="M21" s="10" t="s">
        <v>5</v>
      </c>
      <c r="N21" s="4" t="s">
        <v>5</v>
      </c>
      <c r="R21" s="30"/>
    </row>
    <row r="22" spans="1:18" ht="13" x14ac:dyDescent="0.3">
      <c r="A22" s="52" t="s">
        <v>38</v>
      </c>
      <c r="B22" s="6">
        <v>4.95</v>
      </c>
      <c r="C22" s="1">
        <v>0.28999999999999998</v>
      </c>
      <c r="D22" s="6">
        <v>0.42249999999999999</v>
      </c>
      <c r="E22" s="6">
        <v>13.0349719</v>
      </c>
      <c r="F22" s="1">
        <f t="shared" si="4"/>
        <v>1872.7083333333319</v>
      </c>
      <c r="G22" s="17">
        <f>G14*4/12+G26*8/12</f>
        <v>5.5066666666666668</v>
      </c>
      <c r="H22" s="1">
        <f t="shared" si="0"/>
        <v>127.26302750986368</v>
      </c>
      <c r="I22" s="1">
        <f t="shared" si="1"/>
        <v>7.4558137329011034</v>
      </c>
      <c r="J22" s="26">
        <f t="shared" si="5"/>
        <v>139.46423391208</v>
      </c>
      <c r="K22" s="1">
        <f t="shared" si="2"/>
        <v>10.86234931776109</v>
      </c>
      <c r="L22" s="26">
        <f t="shared" si="3"/>
        <v>11.903765419768444</v>
      </c>
      <c r="M22" s="10" t="s">
        <v>5</v>
      </c>
      <c r="N22" s="4" t="s">
        <v>5</v>
      </c>
      <c r="R22" s="30"/>
    </row>
    <row r="23" spans="1:18" ht="13" x14ac:dyDescent="0.3">
      <c r="A23" s="52" t="s">
        <v>39</v>
      </c>
      <c r="B23" s="6">
        <v>4.97</v>
      </c>
      <c r="C23" s="1">
        <v>0.29330000000000001</v>
      </c>
      <c r="D23" s="6">
        <v>0.42499999999999999</v>
      </c>
      <c r="E23" s="6">
        <v>12.74947603</v>
      </c>
      <c r="F23" s="1">
        <f t="shared" si="4"/>
        <v>1872.7916666666652</v>
      </c>
      <c r="G23" s="17">
        <f>G14*3/12+G26*9/12</f>
        <v>5.5249999999999995</v>
      </c>
      <c r="H23" s="1">
        <f t="shared" si="0"/>
        <v>130.63850534569772</v>
      </c>
      <c r="I23" s="1">
        <f t="shared" si="1"/>
        <v>7.7095117943446967</v>
      </c>
      <c r="J23" s="26">
        <f t="shared" si="5"/>
        <v>143.86738648340506</v>
      </c>
      <c r="K23" s="1">
        <f t="shared" si="2"/>
        <v>11.171300758937932</v>
      </c>
      <c r="L23" s="26">
        <f t="shared" si="3"/>
        <v>12.302543109747916</v>
      </c>
      <c r="M23" s="10" t="s">
        <v>5</v>
      </c>
      <c r="N23" s="4" t="s">
        <v>5</v>
      </c>
      <c r="R23" s="30"/>
    </row>
    <row r="24" spans="1:18" ht="13" x14ac:dyDescent="0.3">
      <c r="A24" s="52" t="s">
        <v>40</v>
      </c>
      <c r="B24" s="6">
        <v>4.95</v>
      </c>
      <c r="C24" s="1">
        <v>0.29670000000000002</v>
      </c>
      <c r="D24" s="6">
        <v>0.42749999999999999</v>
      </c>
      <c r="E24" s="6">
        <v>13.130137189999999</v>
      </c>
      <c r="F24" s="1">
        <f t="shared" si="4"/>
        <v>1872.8749999999984</v>
      </c>
      <c r="G24" s="17">
        <f>G14*2/12+G26*10/12</f>
        <v>5.543333333333333</v>
      </c>
      <c r="H24" s="1">
        <f t="shared" si="0"/>
        <v>126.34064393199232</v>
      </c>
      <c r="I24" s="1">
        <f t="shared" si="1"/>
        <v>7.5727816271963881</v>
      </c>
      <c r="J24" s="26">
        <f t="shared" si="5"/>
        <v>139.82927845467202</v>
      </c>
      <c r="K24" s="1">
        <f t="shared" si="2"/>
        <v>10.911237430490246</v>
      </c>
      <c r="L24" s="26">
        <f t="shared" si="3"/>
        <v>12.076164957448947</v>
      </c>
      <c r="M24" s="10" t="s">
        <v>5</v>
      </c>
      <c r="N24" s="4" t="s">
        <v>5</v>
      </c>
      <c r="R24" s="30"/>
    </row>
    <row r="25" spans="1:18" ht="13" x14ac:dyDescent="0.3">
      <c r="A25" s="52" t="s">
        <v>41</v>
      </c>
      <c r="B25" s="6">
        <v>5.07</v>
      </c>
      <c r="C25" s="1">
        <v>0.3</v>
      </c>
      <c r="D25" s="6">
        <v>0.43</v>
      </c>
      <c r="E25" s="6">
        <v>12.93980661</v>
      </c>
      <c r="F25" s="1">
        <f t="shared" si="4"/>
        <v>1872.9583333333317</v>
      </c>
      <c r="G25" s="17">
        <f>G14*1/12+G26*11/12</f>
        <v>5.5616666666666665</v>
      </c>
      <c r="H25" s="1">
        <f t="shared" si="0"/>
        <v>131.30683237467642</v>
      </c>
      <c r="I25" s="1">
        <f t="shared" si="1"/>
        <v>7.7696350517560004</v>
      </c>
      <c r="J25" s="26">
        <f t="shared" si="5"/>
        <v>146.04227316043679</v>
      </c>
      <c r="K25" s="1">
        <f t="shared" si="2"/>
        <v>11.136476907516936</v>
      </c>
      <c r="L25" s="26">
        <f t="shared" si="3"/>
        <v>12.386228295658348</v>
      </c>
      <c r="M25" s="10" t="s">
        <v>5</v>
      </c>
      <c r="N25" s="4" t="s">
        <v>5</v>
      </c>
      <c r="R25" s="30"/>
    </row>
    <row r="26" spans="1:18" ht="13" x14ac:dyDescent="0.3">
      <c r="A26" s="52" t="s">
        <v>42</v>
      </c>
      <c r="B26" s="6">
        <v>5.1100000000000003</v>
      </c>
      <c r="C26" s="1">
        <v>0.30249999999999999</v>
      </c>
      <c r="D26" s="6">
        <v>0.4325</v>
      </c>
      <c r="E26" s="6">
        <v>12.93980661</v>
      </c>
      <c r="F26" s="1">
        <f t="shared" si="4"/>
        <v>1873.0416666666649</v>
      </c>
      <c r="G26" s="17">
        <v>5.58</v>
      </c>
      <c r="H26" s="1">
        <f t="shared" si="0"/>
        <v>132.34278371491055</v>
      </c>
      <c r="I26" s="1">
        <f t="shared" si="1"/>
        <v>7.8343820105206348</v>
      </c>
      <c r="J26" s="26">
        <f t="shared" si="5"/>
        <v>147.92061107542762</v>
      </c>
      <c r="K26" s="1">
        <f t="shared" si="2"/>
        <v>11.20122386628157</v>
      </c>
      <c r="L26" s="26">
        <f t="shared" si="3"/>
        <v>12.519699469691281</v>
      </c>
      <c r="M26" s="10" t="s">
        <v>5</v>
      </c>
      <c r="N26" s="4" t="s">
        <v>5</v>
      </c>
      <c r="R26" s="30"/>
    </row>
    <row r="27" spans="1:18" ht="13" x14ac:dyDescent="0.3">
      <c r="A27" s="52" t="s">
        <v>43</v>
      </c>
      <c r="B27" s="6">
        <v>5.15</v>
      </c>
      <c r="C27" s="1">
        <v>0.30499999999999999</v>
      </c>
      <c r="D27" s="6">
        <v>0.435</v>
      </c>
      <c r="E27" s="6">
        <v>13.225221489999999</v>
      </c>
      <c r="F27" s="1">
        <f t="shared" si="4"/>
        <v>1873.1249999999982</v>
      </c>
      <c r="G27" s="17">
        <f>G26*11/12+G38*1/12</f>
        <v>5.5708333333333337</v>
      </c>
      <c r="H27" s="1">
        <f t="shared" si="0"/>
        <v>130.5002747065524</v>
      </c>
      <c r="I27" s="1">
        <f t="shared" si="1"/>
        <v>7.7286570457278598</v>
      </c>
      <c r="J27" s="26">
        <f t="shared" si="5"/>
        <v>146.5810889594315</v>
      </c>
      <c r="K27" s="1">
        <f t="shared" si="2"/>
        <v>11.02283873734957</v>
      </c>
      <c r="L27" s="26">
        <f t="shared" si="3"/>
        <v>12.381121106282077</v>
      </c>
      <c r="M27" s="10" t="s">
        <v>5</v>
      </c>
      <c r="N27" s="4" t="s">
        <v>5</v>
      </c>
      <c r="R27" s="30"/>
    </row>
    <row r="28" spans="1:18" ht="13" x14ac:dyDescent="0.3">
      <c r="A28" s="52" t="s">
        <v>44</v>
      </c>
      <c r="B28" s="6">
        <v>5.1100000000000003</v>
      </c>
      <c r="C28" s="1">
        <v>0.3075</v>
      </c>
      <c r="D28" s="6">
        <v>0.4375</v>
      </c>
      <c r="E28" s="6">
        <v>13.225221489999999</v>
      </c>
      <c r="F28" s="1">
        <f t="shared" si="4"/>
        <v>1873.2083333333314</v>
      </c>
      <c r="G28" s="17">
        <f>G26*10/12+G38*2/12</f>
        <v>5.5616666666666656</v>
      </c>
      <c r="H28" s="1">
        <f t="shared" si="0"/>
        <v>129.48668033989955</v>
      </c>
      <c r="I28" s="1">
        <f t="shared" si="1"/>
        <v>7.7920066936436614</v>
      </c>
      <c r="J28" s="26">
        <f t="shared" si="5"/>
        <v>146.17194271597674</v>
      </c>
      <c r="K28" s="1">
        <f t="shared" si="2"/>
        <v>11.086188385265373</v>
      </c>
      <c r="L28" s="26">
        <f t="shared" si="3"/>
        <v>12.514721122943216</v>
      </c>
      <c r="M28" s="10" t="s">
        <v>5</v>
      </c>
      <c r="N28" s="4" t="s">
        <v>5</v>
      </c>
      <c r="R28" s="30"/>
    </row>
    <row r="29" spans="1:18" ht="13" x14ac:dyDescent="0.3">
      <c r="A29" s="52" t="s">
        <v>45</v>
      </c>
      <c r="B29" s="6">
        <v>5.04</v>
      </c>
      <c r="C29" s="1">
        <v>0.31</v>
      </c>
      <c r="D29" s="6">
        <v>0.44</v>
      </c>
      <c r="E29" s="6">
        <v>13.225221489999999</v>
      </c>
      <c r="F29" s="1">
        <f t="shared" si="4"/>
        <v>1873.2916666666647</v>
      </c>
      <c r="G29" s="17">
        <f>G26*9/12+G38*3/12</f>
        <v>5.5524999999999993</v>
      </c>
      <c r="H29" s="1">
        <f t="shared" si="0"/>
        <v>127.7128901982571</v>
      </c>
      <c r="I29" s="1">
        <f t="shared" si="1"/>
        <v>7.8553563415594638</v>
      </c>
      <c r="J29" s="26">
        <f t="shared" si="5"/>
        <v>144.90855182166061</v>
      </c>
      <c r="K29" s="1">
        <f t="shared" si="2"/>
        <v>11.149538033181175</v>
      </c>
      <c r="L29" s="26">
        <f t="shared" si="3"/>
        <v>12.65074658760529</v>
      </c>
      <c r="M29" s="10" t="s">
        <v>5</v>
      </c>
      <c r="N29" s="4" t="s">
        <v>5</v>
      </c>
      <c r="R29" s="30"/>
    </row>
    <row r="30" spans="1:18" ht="13" x14ac:dyDescent="0.3">
      <c r="A30" s="52" t="s">
        <v>46</v>
      </c>
      <c r="B30" s="6">
        <v>5.05</v>
      </c>
      <c r="C30" s="1">
        <v>0.3125</v>
      </c>
      <c r="D30" s="6">
        <v>0.4425</v>
      </c>
      <c r="E30" s="6">
        <v>12.93980661</v>
      </c>
      <c r="F30" s="1">
        <f t="shared" si="4"/>
        <v>1873.374999999998</v>
      </c>
      <c r="G30" s="17">
        <f>G26*8/12+G38*4/12</f>
        <v>5.543333333333333</v>
      </c>
      <c r="H30" s="1">
        <f t="shared" si="0"/>
        <v>130.78885670455935</v>
      </c>
      <c r="I30" s="1">
        <f t="shared" si="1"/>
        <v>8.0933698455791685</v>
      </c>
      <c r="J30" s="26">
        <f t="shared" si="5"/>
        <v>149.16393324538794</v>
      </c>
      <c r="K30" s="1">
        <f t="shared" si="2"/>
        <v>11.460211701340102</v>
      </c>
      <c r="L30" s="26">
        <f t="shared" si="3"/>
        <v>13.070305041798843</v>
      </c>
      <c r="M30" s="10" t="s">
        <v>5</v>
      </c>
      <c r="N30" s="4" t="s">
        <v>5</v>
      </c>
      <c r="R30" s="30"/>
    </row>
    <row r="31" spans="1:18" ht="13" x14ac:dyDescent="0.3">
      <c r="A31" s="52" t="s">
        <v>47</v>
      </c>
      <c r="B31" s="6">
        <v>4.9800000000000004</v>
      </c>
      <c r="C31" s="1">
        <v>0.315</v>
      </c>
      <c r="D31" s="6">
        <v>0.44500000000000001</v>
      </c>
      <c r="E31" s="6">
        <v>12.559226450000001</v>
      </c>
      <c r="F31" s="1">
        <f t="shared" si="4"/>
        <v>1873.4583333333312</v>
      </c>
      <c r="G31" s="17">
        <f>G26*7/12+G38*5/12</f>
        <v>5.5341666666666667</v>
      </c>
      <c r="H31" s="1">
        <f t="shared" si="0"/>
        <v>132.88427847401383</v>
      </c>
      <c r="I31" s="1">
        <f t="shared" si="1"/>
        <v>8.4053308673321983</v>
      </c>
      <c r="J31" s="26">
        <f t="shared" si="5"/>
        <v>152.35260222795972</v>
      </c>
      <c r="K31" s="1">
        <f t="shared" si="2"/>
        <v>11.874197574485171</v>
      </c>
      <c r="L31" s="26">
        <f t="shared" si="3"/>
        <v>13.613836946072706</v>
      </c>
      <c r="M31" s="10" t="s">
        <v>5</v>
      </c>
      <c r="N31" s="4" t="s">
        <v>5</v>
      </c>
      <c r="R31" s="30"/>
    </row>
    <row r="32" spans="1:18" ht="13" x14ac:dyDescent="0.3">
      <c r="A32" s="52" t="s">
        <v>48</v>
      </c>
      <c r="B32" s="6">
        <v>4.97</v>
      </c>
      <c r="C32" s="1">
        <v>0.3175</v>
      </c>
      <c r="D32" s="6">
        <v>0.44750000000000001</v>
      </c>
      <c r="E32" s="6">
        <v>12.559226450000001</v>
      </c>
      <c r="F32" s="1">
        <f t="shared" si="4"/>
        <v>1873.5416666666645</v>
      </c>
      <c r="G32" s="17">
        <f>G26*6/12+G38*6/12</f>
        <v>5.5250000000000004</v>
      </c>
      <c r="H32" s="1">
        <f t="shared" si="0"/>
        <v>132.61744257346359</v>
      </c>
      <c r="I32" s="1">
        <f t="shared" si="1"/>
        <v>8.4720398424697549</v>
      </c>
      <c r="J32" s="26">
        <f t="shared" si="5"/>
        <v>152.85611024235098</v>
      </c>
      <c r="K32" s="1">
        <f t="shared" si="2"/>
        <v>11.940906549622728</v>
      </c>
      <c r="L32" s="26">
        <f t="shared" si="3"/>
        <v>13.763201073129189</v>
      </c>
      <c r="M32" s="10" t="s">
        <v>5</v>
      </c>
      <c r="N32" s="4" t="s">
        <v>5</v>
      </c>
      <c r="R32" s="30"/>
    </row>
    <row r="33" spans="1:18" ht="13" x14ac:dyDescent="0.3">
      <c r="A33" s="52" t="s">
        <v>49</v>
      </c>
      <c r="B33" s="6">
        <v>4.97</v>
      </c>
      <c r="C33" s="1">
        <v>0.32</v>
      </c>
      <c r="D33" s="6">
        <v>0.45</v>
      </c>
      <c r="E33" s="6">
        <v>12.559226450000001</v>
      </c>
      <c r="F33" s="1">
        <f t="shared" si="4"/>
        <v>1873.6249999999977</v>
      </c>
      <c r="G33" s="17">
        <f>G26*5/12+G38*7/12</f>
        <v>5.5158333333333331</v>
      </c>
      <c r="H33" s="1">
        <f t="shared" si="0"/>
        <v>132.61744257346359</v>
      </c>
      <c r="I33" s="1">
        <f t="shared" si="1"/>
        <v>8.5387488176073134</v>
      </c>
      <c r="J33" s="26">
        <f t="shared" si="5"/>
        <v>153.67626375136425</v>
      </c>
      <c r="K33" s="1">
        <f t="shared" si="2"/>
        <v>12.007615524760284</v>
      </c>
      <c r="L33" s="26">
        <f t="shared" si="3"/>
        <v>13.914349836642639</v>
      </c>
      <c r="M33" s="10" t="s">
        <v>5</v>
      </c>
      <c r="N33" s="4" t="s">
        <v>5</v>
      </c>
      <c r="R33" s="30"/>
    </row>
    <row r="34" spans="1:18" ht="13" x14ac:dyDescent="0.3">
      <c r="A34" s="52" t="s">
        <v>50</v>
      </c>
      <c r="B34" s="6">
        <v>4.59</v>
      </c>
      <c r="C34" s="1">
        <v>0.32250000000000001</v>
      </c>
      <c r="D34" s="6">
        <v>0.45250000000000001</v>
      </c>
      <c r="E34" s="6">
        <v>12.559226450000001</v>
      </c>
      <c r="F34" s="1">
        <f t="shared" si="4"/>
        <v>1873.708333333331</v>
      </c>
      <c r="G34" s="17">
        <f>G26*4/12+G38*8/12</f>
        <v>5.5066666666666668</v>
      </c>
      <c r="H34" s="1">
        <f t="shared" si="0"/>
        <v>122.4776783525549</v>
      </c>
      <c r="I34" s="1">
        <f t="shared" si="1"/>
        <v>8.6054577927448701</v>
      </c>
      <c r="J34" s="26">
        <f t="shared" si="5"/>
        <v>142.75736422677662</v>
      </c>
      <c r="K34" s="1">
        <f t="shared" si="2"/>
        <v>12.074324499897841</v>
      </c>
      <c r="L34" s="26">
        <f t="shared" si="3"/>
        <v>14.073574577912073</v>
      </c>
      <c r="M34" s="10" t="s">
        <v>5</v>
      </c>
      <c r="N34" s="4" t="s">
        <v>5</v>
      </c>
      <c r="R34" s="30"/>
    </row>
    <row r="35" spans="1:18" ht="13" x14ac:dyDescent="0.3">
      <c r="A35" s="52" t="s">
        <v>51</v>
      </c>
      <c r="B35" s="6">
        <v>4.1900000000000004</v>
      </c>
      <c r="C35" s="1">
        <v>0.32500000000000001</v>
      </c>
      <c r="D35" s="6">
        <v>0.45500000000000002</v>
      </c>
      <c r="E35" s="6">
        <v>12.273811569999999</v>
      </c>
      <c r="F35" s="1">
        <f t="shared" si="4"/>
        <v>1873.7916666666642</v>
      </c>
      <c r="G35" s="17">
        <f>G26*3/12+G38*9/12</f>
        <v>5.4975000000000005</v>
      </c>
      <c r="H35" s="1">
        <f t="shared" si="0"/>
        <v>114.40413513697116</v>
      </c>
      <c r="I35" s="1">
        <f t="shared" si="1"/>
        <v>8.8738290977364258</v>
      </c>
      <c r="J35" s="26">
        <f t="shared" si="5"/>
        <v>134.20894360193472</v>
      </c>
      <c r="K35" s="1">
        <f t="shared" si="2"/>
        <v>12.423360736830997</v>
      </c>
      <c r="L35" s="26">
        <f t="shared" si="3"/>
        <v>14.574002228849711</v>
      </c>
      <c r="M35" s="10" t="s">
        <v>5</v>
      </c>
      <c r="N35" s="4" t="s">
        <v>5</v>
      </c>
      <c r="R35" s="30"/>
    </row>
    <row r="36" spans="1:18" ht="13" x14ac:dyDescent="0.3">
      <c r="A36" s="52" t="s">
        <v>52</v>
      </c>
      <c r="B36" s="6">
        <v>4.04</v>
      </c>
      <c r="C36" s="1">
        <v>0.32750000000000001</v>
      </c>
      <c r="D36" s="6">
        <v>0.45750000000000002</v>
      </c>
      <c r="E36" s="6">
        <v>11.893231399999999</v>
      </c>
      <c r="F36" s="1">
        <f t="shared" si="4"/>
        <v>1873.8749999999975</v>
      </c>
      <c r="G36" s="17">
        <f>G26*2/12+G38*10/12</f>
        <v>5.4883333333333324</v>
      </c>
      <c r="H36" s="1">
        <f t="shared" si="0"/>
        <v>113.83836439943479</v>
      </c>
      <c r="I36" s="1">
        <f t="shared" si="1"/>
        <v>9.2282337477264598</v>
      </c>
      <c r="J36" s="26">
        <f t="shared" si="5"/>
        <v>134.44737728131648</v>
      </c>
      <c r="K36" s="1">
        <f t="shared" si="2"/>
        <v>12.891349433846885</v>
      </c>
      <c r="L36" s="26">
        <f t="shared" si="3"/>
        <v>15.225167105495615</v>
      </c>
      <c r="M36" s="10" t="s">
        <v>5</v>
      </c>
      <c r="N36" s="4" t="s">
        <v>5</v>
      </c>
      <c r="R36" s="30"/>
    </row>
    <row r="37" spans="1:18" ht="13" x14ac:dyDescent="0.3">
      <c r="A37" s="52" t="s">
        <v>53</v>
      </c>
      <c r="B37" s="6">
        <v>4.42</v>
      </c>
      <c r="C37" s="1">
        <v>0.33</v>
      </c>
      <c r="D37" s="6">
        <v>0.46</v>
      </c>
      <c r="E37" s="6">
        <v>12.178646280000001</v>
      </c>
      <c r="F37" s="1">
        <f t="shared" si="4"/>
        <v>1873.9583333333308</v>
      </c>
      <c r="G37" s="17">
        <f>G26*1/12+G38*11/12</f>
        <v>5.4791666666666661</v>
      </c>
      <c r="H37" s="1">
        <f t="shared" si="0"/>
        <v>121.62711445462884</v>
      </c>
      <c r="I37" s="1">
        <f t="shared" si="1"/>
        <v>9.0807574140333767</v>
      </c>
      <c r="J37" s="26">
        <f t="shared" si="5"/>
        <v>144.53990942651046</v>
      </c>
      <c r="K37" s="1">
        <f t="shared" si="2"/>
        <v>12.658025486228341</v>
      </c>
      <c r="L37" s="26">
        <f t="shared" si="3"/>
        <v>15.042615008188873</v>
      </c>
      <c r="M37" s="10" t="s">
        <v>5</v>
      </c>
      <c r="N37" s="4" t="s">
        <v>5</v>
      </c>
      <c r="R37" s="30"/>
    </row>
    <row r="38" spans="1:18" ht="13" x14ac:dyDescent="0.3">
      <c r="A38" s="52" t="s">
        <v>54</v>
      </c>
      <c r="B38" s="6">
        <v>4.66</v>
      </c>
      <c r="C38" s="1">
        <v>0.33</v>
      </c>
      <c r="D38" s="6">
        <v>0.46</v>
      </c>
      <c r="E38" s="6">
        <v>12.368895869999999</v>
      </c>
      <c r="F38" s="1">
        <f t="shared" si="4"/>
        <v>1874.041666666664</v>
      </c>
      <c r="G38" s="17">
        <v>5.47</v>
      </c>
      <c r="H38" s="1">
        <f t="shared" si="0"/>
        <v>126.25893866466839</v>
      </c>
      <c r="I38" s="1">
        <f t="shared" si="1"/>
        <v>8.9410836393434696</v>
      </c>
      <c r="J38" s="26">
        <f t="shared" si="5"/>
        <v>150.92975711987998</v>
      </c>
      <c r="K38" s="1">
        <f t="shared" si="2"/>
        <v>12.463328709387866</v>
      </c>
      <c r="L38" s="26">
        <f t="shared" si="3"/>
        <v>14.898645552606176</v>
      </c>
      <c r="M38" s="10" t="s">
        <v>5</v>
      </c>
      <c r="N38" s="4" t="s">
        <v>5</v>
      </c>
      <c r="R38" s="30"/>
    </row>
    <row r="39" spans="1:18" ht="13" x14ac:dyDescent="0.3">
      <c r="A39" s="52" t="s">
        <v>55</v>
      </c>
      <c r="B39" s="6">
        <v>4.8</v>
      </c>
      <c r="C39" s="1">
        <v>0.33</v>
      </c>
      <c r="D39" s="6">
        <v>0.46</v>
      </c>
      <c r="E39" s="6">
        <v>12.368895869999999</v>
      </c>
      <c r="F39" s="1">
        <f t="shared" si="4"/>
        <v>1874.1249999999973</v>
      </c>
      <c r="G39" s="17">
        <f>G38*11/12+G50*1/12</f>
        <v>5.4366666666666665</v>
      </c>
      <c r="H39" s="1">
        <f t="shared" si="0"/>
        <v>130.05212566317772</v>
      </c>
      <c r="I39" s="1">
        <f t="shared" si="1"/>
        <v>8.9410836393434696</v>
      </c>
      <c r="J39" s="26">
        <f t="shared" si="5"/>
        <v>156.35480740262241</v>
      </c>
      <c r="K39" s="1">
        <f t="shared" si="2"/>
        <v>12.463328709387866</v>
      </c>
      <c r="L39" s="26">
        <f t="shared" si="3"/>
        <v>14.98400237608465</v>
      </c>
      <c r="M39" s="10" t="s">
        <v>5</v>
      </c>
      <c r="N39" s="4" t="s">
        <v>5</v>
      </c>
      <c r="R39" s="30"/>
    </row>
    <row r="40" spans="1:18" ht="13" x14ac:dyDescent="0.3">
      <c r="A40" s="52" t="s">
        <v>56</v>
      </c>
      <c r="B40" s="6">
        <v>4.7300000000000004</v>
      </c>
      <c r="C40" s="1">
        <v>0.33</v>
      </c>
      <c r="D40" s="6">
        <v>0.46</v>
      </c>
      <c r="E40" s="6">
        <v>12.368895869999999</v>
      </c>
      <c r="F40" s="1">
        <f t="shared" si="4"/>
        <v>1874.2083333333305</v>
      </c>
      <c r="G40" s="17">
        <f>G38*10/12+G50*2/12</f>
        <v>5.4033333333333324</v>
      </c>
      <c r="H40" s="1">
        <f t="shared" si="0"/>
        <v>128.15553216392306</v>
      </c>
      <c r="I40" s="1">
        <f t="shared" si="1"/>
        <v>8.9410836393434696</v>
      </c>
      <c r="J40" s="26">
        <f t="shared" si="5"/>
        <v>154.97041587874506</v>
      </c>
      <c r="K40" s="1">
        <f t="shared" si="2"/>
        <v>12.463328709387866</v>
      </c>
      <c r="L40" s="26">
        <f t="shared" si="3"/>
        <v>15.071118668968865</v>
      </c>
      <c r="M40" s="10" t="s">
        <v>5</v>
      </c>
      <c r="N40" s="4" t="s">
        <v>5</v>
      </c>
      <c r="R40" s="30"/>
    </row>
    <row r="41" spans="1:18" ht="13" x14ac:dyDescent="0.3">
      <c r="A41" s="52" t="s">
        <v>57</v>
      </c>
      <c r="B41" s="6">
        <v>4.5999999999999996</v>
      </c>
      <c r="C41" s="1">
        <v>0.33</v>
      </c>
      <c r="D41" s="6">
        <v>0.46</v>
      </c>
      <c r="E41" s="6">
        <v>12.178646280000001</v>
      </c>
      <c r="F41" s="1">
        <f t="shared" si="4"/>
        <v>1874.2916666666638</v>
      </c>
      <c r="G41" s="17">
        <f>G38*9/12+G50*3/12</f>
        <v>5.37</v>
      </c>
      <c r="H41" s="1">
        <f t="shared" si="0"/>
        <v>126.58025486228341</v>
      </c>
      <c r="I41" s="1">
        <f t="shared" si="1"/>
        <v>9.0807574140333767</v>
      </c>
      <c r="J41" s="26">
        <f t="shared" si="5"/>
        <v>153.98059790518337</v>
      </c>
      <c r="K41" s="1">
        <f t="shared" si="2"/>
        <v>12.658025486228341</v>
      </c>
      <c r="L41" s="26">
        <f t="shared" si="3"/>
        <v>15.398059790518337</v>
      </c>
      <c r="M41" s="10" t="s">
        <v>5</v>
      </c>
      <c r="N41" s="4" t="s">
        <v>5</v>
      </c>
      <c r="R41" s="30"/>
    </row>
    <row r="42" spans="1:18" ht="13" x14ac:dyDescent="0.3">
      <c r="A42" s="52" t="s">
        <v>58</v>
      </c>
      <c r="B42" s="6">
        <v>4.4800000000000004</v>
      </c>
      <c r="C42" s="1">
        <v>0.33</v>
      </c>
      <c r="D42" s="6">
        <v>0.46</v>
      </c>
      <c r="E42" s="6">
        <v>12.08348099</v>
      </c>
      <c r="F42" s="1">
        <f t="shared" si="4"/>
        <v>1874.374999999997</v>
      </c>
      <c r="G42" s="17">
        <f>G38*8/12+G50*4/12</f>
        <v>5.3366666666666669</v>
      </c>
      <c r="H42" s="1">
        <f t="shared" si="0"/>
        <v>124.2490571419354</v>
      </c>
      <c r="I42" s="1">
        <f t="shared" si="1"/>
        <v>9.1522742984014904</v>
      </c>
      <c r="J42" s="26">
        <f t="shared" si="5"/>
        <v>152.07256074708042</v>
      </c>
      <c r="K42" s="1">
        <f t="shared" si="2"/>
        <v>12.757715688680864</v>
      </c>
      <c r="L42" s="26">
        <f t="shared" si="3"/>
        <v>15.614593290994861</v>
      </c>
      <c r="M42" s="10" t="s">
        <v>5</v>
      </c>
      <c r="N42" s="4" t="s">
        <v>5</v>
      </c>
      <c r="R42" s="30"/>
    </row>
    <row r="43" spans="1:18" ht="13" x14ac:dyDescent="0.3">
      <c r="A43" s="52" t="s">
        <v>59</v>
      </c>
      <c r="B43" s="6">
        <v>4.46</v>
      </c>
      <c r="C43" s="1">
        <v>0.33</v>
      </c>
      <c r="D43" s="6">
        <v>0.46</v>
      </c>
      <c r="E43" s="6">
        <v>11.79806612</v>
      </c>
      <c r="F43" s="1">
        <f t="shared" si="4"/>
        <v>1874.4583333333303</v>
      </c>
      <c r="G43" s="17">
        <f>G38*7/12+G50*5/12</f>
        <v>5.3033333333333337</v>
      </c>
      <c r="H43" s="1">
        <f t="shared" si="0"/>
        <v>126.68674677676752</v>
      </c>
      <c r="I43" s="1">
        <f t="shared" si="1"/>
        <v>9.3736830574738299</v>
      </c>
      <c r="J43" s="26">
        <f t="shared" si="5"/>
        <v>156.01219389346983</v>
      </c>
      <c r="K43" s="1">
        <f t="shared" si="2"/>
        <v>13.066346080115034</v>
      </c>
      <c r="L43" s="26">
        <f t="shared" si="3"/>
        <v>16.090943764797334</v>
      </c>
      <c r="M43" s="10" t="s">
        <v>5</v>
      </c>
      <c r="N43" s="4" t="s">
        <v>5</v>
      </c>
      <c r="R43" s="30"/>
    </row>
    <row r="44" spans="1:18" ht="13" x14ac:dyDescent="0.3">
      <c r="A44" s="52" t="s">
        <v>60</v>
      </c>
      <c r="B44" s="6">
        <v>4.46</v>
      </c>
      <c r="C44" s="1">
        <v>0.33</v>
      </c>
      <c r="D44" s="6">
        <v>0.46</v>
      </c>
      <c r="E44" s="6">
        <v>11.893231399999999</v>
      </c>
      <c r="F44" s="1">
        <f t="shared" si="4"/>
        <v>1874.5416666666636</v>
      </c>
      <c r="G44" s="17">
        <f>G38*6/12+G50*6/12</f>
        <v>5.27</v>
      </c>
      <c r="H44" s="1">
        <f t="shared" si="0"/>
        <v>125.67304584690079</v>
      </c>
      <c r="I44" s="1">
        <f t="shared" si="1"/>
        <v>9.2986782801518526</v>
      </c>
      <c r="J44" s="26">
        <f t="shared" si="5"/>
        <v>155.7181028349973</v>
      </c>
      <c r="K44" s="1">
        <f t="shared" si="2"/>
        <v>12.961793966272278</v>
      </c>
      <c r="L44" s="26">
        <f t="shared" si="3"/>
        <v>16.060611503161155</v>
      </c>
      <c r="M44" s="10" t="s">
        <v>5</v>
      </c>
      <c r="N44" s="4" t="s">
        <v>5</v>
      </c>
      <c r="R44" s="30"/>
    </row>
    <row r="45" spans="1:18" ht="13" x14ac:dyDescent="0.3">
      <c r="A45" s="52" t="s">
        <v>61</v>
      </c>
      <c r="B45" s="6">
        <v>4.47</v>
      </c>
      <c r="C45" s="1">
        <v>0.33</v>
      </c>
      <c r="D45" s="6">
        <v>0.46</v>
      </c>
      <c r="E45" s="6">
        <v>11.79806612</v>
      </c>
      <c r="F45" s="1">
        <f t="shared" si="4"/>
        <v>1874.6249999999968</v>
      </c>
      <c r="G45" s="17">
        <f>G38*5/12+G50*7/12</f>
        <v>5.2366666666666664</v>
      </c>
      <c r="H45" s="1">
        <f t="shared" si="0"/>
        <v>126.97079777850914</v>
      </c>
      <c r="I45" s="1">
        <f t="shared" si="1"/>
        <v>9.3736830574738299</v>
      </c>
      <c r="J45" s="26">
        <f t="shared" si="5"/>
        <v>158.2940024249439</v>
      </c>
      <c r="K45" s="1">
        <f t="shared" si="2"/>
        <v>13.066346080115034</v>
      </c>
      <c r="L45" s="26">
        <f t="shared" si="3"/>
        <v>16.289763113081474</v>
      </c>
      <c r="M45" s="10" t="s">
        <v>5</v>
      </c>
      <c r="N45" s="4" t="s">
        <v>5</v>
      </c>
      <c r="R45" s="30"/>
    </row>
    <row r="46" spans="1:18" ht="13" x14ac:dyDescent="0.3">
      <c r="A46" s="52" t="s">
        <v>62</v>
      </c>
      <c r="B46" s="6">
        <v>4.54</v>
      </c>
      <c r="C46" s="1">
        <v>0.33</v>
      </c>
      <c r="D46" s="6">
        <v>0.46</v>
      </c>
      <c r="E46" s="6">
        <v>11.79806612</v>
      </c>
      <c r="F46" s="1">
        <f t="shared" si="4"/>
        <v>1874.7083333333301</v>
      </c>
      <c r="G46" s="17">
        <f>G38*4/12+G50*8/12</f>
        <v>5.2033333333333331</v>
      </c>
      <c r="H46" s="1">
        <f t="shared" si="0"/>
        <v>128.95915479070055</v>
      </c>
      <c r="I46" s="1">
        <f t="shared" si="1"/>
        <v>9.3736830574738299</v>
      </c>
      <c r="J46" s="26">
        <f t="shared" si="5"/>
        <v>161.746723954347</v>
      </c>
      <c r="K46" s="1">
        <f t="shared" si="2"/>
        <v>13.066346080115034</v>
      </c>
      <c r="L46" s="26">
        <f t="shared" si="3"/>
        <v>16.388434585682738</v>
      </c>
      <c r="M46" s="10" t="s">
        <v>5</v>
      </c>
      <c r="N46" s="4" t="s">
        <v>5</v>
      </c>
      <c r="R46" s="30"/>
    </row>
    <row r="47" spans="1:18" ht="13" x14ac:dyDescent="0.3">
      <c r="A47" s="52" t="s">
        <v>63</v>
      </c>
      <c r="B47" s="6">
        <v>4.53</v>
      </c>
      <c r="C47" s="1">
        <v>0.33</v>
      </c>
      <c r="D47" s="6">
        <v>0.46</v>
      </c>
      <c r="E47" s="6">
        <v>11.60773554</v>
      </c>
      <c r="F47" s="1">
        <f t="shared" si="4"/>
        <v>1874.7916666666633</v>
      </c>
      <c r="G47" s="17">
        <f>G38*3/12+G50*9/12</f>
        <v>5.17</v>
      </c>
      <c r="H47" s="1">
        <f t="shared" si="0"/>
        <v>130.78497328515118</v>
      </c>
      <c r="I47" s="1">
        <f t="shared" si="1"/>
        <v>9.5273821598454518</v>
      </c>
      <c r="J47" s="26">
        <f t="shared" si="5"/>
        <v>165.03256071187212</v>
      </c>
      <c r="K47" s="1">
        <f t="shared" si="2"/>
        <v>13.28059331372396</v>
      </c>
      <c r="L47" s="26">
        <f t="shared" si="3"/>
        <v>16.758273273170236</v>
      </c>
      <c r="M47" s="10" t="s">
        <v>5</v>
      </c>
      <c r="N47" s="4" t="s">
        <v>5</v>
      </c>
      <c r="R47" s="30"/>
    </row>
    <row r="48" spans="1:18" ht="13" x14ac:dyDescent="0.3">
      <c r="A48" s="52" t="s">
        <v>64</v>
      </c>
      <c r="B48" s="6">
        <v>4.57</v>
      </c>
      <c r="C48" s="1">
        <v>0.33</v>
      </c>
      <c r="D48" s="6">
        <v>0.46</v>
      </c>
      <c r="E48" s="6">
        <v>11.51265124</v>
      </c>
      <c r="F48" s="1">
        <f t="shared" si="4"/>
        <v>1874.8749999999966</v>
      </c>
      <c r="G48" s="17">
        <f>G38*2/12+G50*10/12</f>
        <v>5.1366666666666667</v>
      </c>
      <c r="H48" s="1">
        <f t="shared" si="0"/>
        <v>133.02951340858996</v>
      </c>
      <c r="I48" s="1">
        <f t="shared" si="1"/>
        <v>9.6060698960250974</v>
      </c>
      <c r="J48" s="26">
        <f t="shared" si="5"/>
        <v>168.87498784763966</v>
      </c>
      <c r="K48" s="1">
        <f t="shared" si="2"/>
        <v>13.39027924900468</v>
      </c>
      <c r="L48" s="26">
        <f t="shared" si="3"/>
        <v>16.998357638930905</v>
      </c>
      <c r="M48" s="10" t="s">
        <v>5</v>
      </c>
      <c r="N48" s="4" t="s">
        <v>5</v>
      </c>
      <c r="R48" s="30"/>
    </row>
    <row r="49" spans="1:18" ht="13" x14ac:dyDescent="0.3">
      <c r="A49" s="52" t="s">
        <v>65</v>
      </c>
      <c r="B49" s="6">
        <v>4.54</v>
      </c>
      <c r="C49" s="1">
        <v>0.33</v>
      </c>
      <c r="D49" s="6">
        <v>0.46</v>
      </c>
      <c r="E49" s="6">
        <v>11.51265124</v>
      </c>
      <c r="F49" s="1">
        <f t="shared" si="4"/>
        <v>1874.9583333333298</v>
      </c>
      <c r="G49" s="17">
        <f>G38*1/12+G50*11/12</f>
        <v>5.1033333333333335</v>
      </c>
      <c r="H49" s="1">
        <f t="shared" si="0"/>
        <v>132.15623432713315</v>
      </c>
      <c r="I49" s="1">
        <f t="shared" si="1"/>
        <v>9.6060698960250974</v>
      </c>
      <c r="J49" s="26">
        <f t="shared" si="5"/>
        <v>168.78260546916724</v>
      </c>
      <c r="K49" s="1">
        <f t="shared" si="2"/>
        <v>13.39027924900468</v>
      </c>
      <c r="L49" s="26">
        <f t="shared" si="3"/>
        <v>17.101321258990513</v>
      </c>
      <c r="M49" s="10" t="s">
        <v>5</v>
      </c>
      <c r="N49" s="4" t="s">
        <v>5</v>
      </c>
      <c r="R49" s="30"/>
    </row>
    <row r="50" spans="1:18" ht="13" x14ac:dyDescent="0.3">
      <c r="A50" s="52" t="s">
        <v>66</v>
      </c>
      <c r="B50" s="6">
        <v>4.54</v>
      </c>
      <c r="C50" s="1">
        <v>0.32750000000000001</v>
      </c>
      <c r="D50" s="6">
        <v>0.45169999999999999</v>
      </c>
      <c r="E50" s="6">
        <v>11.51265124</v>
      </c>
      <c r="F50" s="1">
        <f t="shared" si="4"/>
        <v>1875.0416666666631</v>
      </c>
      <c r="G50" s="17">
        <v>5.07</v>
      </c>
      <c r="H50" s="1">
        <f t="shared" si="0"/>
        <v>132.15623432713315</v>
      </c>
      <c r="I50" s="1">
        <f t="shared" si="1"/>
        <v>9.5332966392370277</v>
      </c>
      <c r="J50" s="26">
        <f t="shared" si="5"/>
        <v>169.79722190255845</v>
      </c>
      <c r="K50" s="1">
        <f t="shared" si="2"/>
        <v>13.148672036468289</v>
      </c>
      <c r="L50" s="26">
        <f t="shared" si="3"/>
        <v>16.893701571230316</v>
      </c>
      <c r="M50" s="10" t="s">
        <v>5</v>
      </c>
      <c r="N50" s="4" t="s">
        <v>5</v>
      </c>
      <c r="R50" s="30"/>
    </row>
    <row r="51" spans="1:18" ht="13" x14ac:dyDescent="0.3">
      <c r="A51" s="52" t="s">
        <v>67</v>
      </c>
      <c r="B51" s="6">
        <v>4.53</v>
      </c>
      <c r="C51" s="1">
        <v>0.32500000000000001</v>
      </c>
      <c r="D51" s="6">
        <v>0.44330000000000003</v>
      </c>
      <c r="E51" s="6">
        <v>11.51265124</v>
      </c>
      <c r="F51" s="1">
        <f t="shared" si="4"/>
        <v>1875.1249999999964</v>
      </c>
      <c r="G51" s="17">
        <f>G50*11/12+G62*1/12</f>
        <v>5.03</v>
      </c>
      <c r="H51" s="1">
        <f t="shared" si="0"/>
        <v>131.86514129998088</v>
      </c>
      <c r="I51" s="1">
        <f t="shared" si="1"/>
        <v>9.4605233824489581</v>
      </c>
      <c r="J51" s="26">
        <f t="shared" si="5"/>
        <v>170.43614316705964</v>
      </c>
      <c r="K51" s="1">
        <f t="shared" si="2"/>
        <v>12.90415389366038</v>
      </c>
      <c r="L51" s="26">
        <f t="shared" si="3"/>
        <v>16.678662751867005</v>
      </c>
      <c r="M51" s="10" t="s">
        <v>5</v>
      </c>
      <c r="N51" s="4" t="s">
        <v>5</v>
      </c>
      <c r="R51" s="30"/>
    </row>
    <row r="52" spans="1:18" ht="13" x14ac:dyDescent="0.3">
      <c r="A52" s="52" t="s">
        <v>68</v>
      </c>
      <c r="B52" s="6">
        <v>4.59</v>
      </c>
      <c r="C52" s="1">
        <v>0.32250000000000001</v>
      </c>
      <c r="D52" s="6">
        <v>0.435</v>
      </c>
      <c r="E52" s="6">
        <v>11.51265124</v>
      </c>
      <c r="F52" s="1">
        <f t="shared" si="4"/>
        <v>1875.2083333333296</v>
      </c>
      <c r="G52" s="17">
        <f>G50*10/12+G62*2/12</f>
        <v>4.99</v>
      </c>
      <c r="H52" s="1">
        <f t="shared" si="0"/>
        <v>133.61169946289453</v>
      </c>
      <c r="I52" s="1">
        <f t="shared" si="1"/>
        <v>9.3877501256608902</v>
      </c>
      <c r="J52" s="26">
        <f t="shared" si="5"/>
        <v>173.70471710472813</v>
      </c>
      <c r="K52" s="1">
        <f t="shared" si="2"/>
        <v>12.66254668112399</v>
      </c>
      <c r="L52" s="26">
        <f t="shared" si="3"/>
        <v>16.46221175175528</v>
      </c>
      <c r="M52" s="10" t="s">
        <v>5</v>
      </c>
      <c r="N52" s="4" t="s">
        <v>5</v>
      </c>
      <c r="R52" s="30"/>
    </row>
    <row r="53" spans="1:18" ht="13" x14ac:dyDescent="0.3">
      <c r="A53" s="52" t="s">
        <v>69</v>
      </c>
      <c r="B53" s="6">
        <v>4.6500000000000004</v>
      </c>
      <c r="C53" s="1">
        <v>0.32</v>
      </c>
      <c r="D53" s="6">
        <v>0.42670000000000002</v>
      </c>
      <c r="E53" s="6">
        <v>11.60773554</v>
      </c>
      <c r="F53" s="1">
        <f t="shared" si="4"/>
        <v>1875.2916666666629</v>
      </c>
      <c r="G53" s="17">
        <f>G50*9/12+G62*3/12</f>
        <v>4.95</v>
      </c>
      <c r="H53" s="1">
        <f t="shared" si="0"/>
        <v>134.24947588873135</v>
      </c>
      <c r="I53" s="1">
        <f t="shared" si="1"/>
        <v>9.2386736095471047</v>
      </c>
      <c r="J53" s="26">
        <f t="shared" si="5"/>
        <v>175.53478293546326</v>
      </c>
      <c r="K53" s="1">
        <f t="shared" si="2"/>
        <v>12.319193841230467</v>
      </c>
      <c r="L53" s="26">
        <f t="shared" si="3"/>
        <v>16.107675672809069</v>
      </c>
      <c r="M53" s="10" t="s">
        <v>5</v>
      </c>
      <c r="N53" s="4" t="s">
        <v>5</v>
      </c>
      <c r="R53" s="30"/>
    </row>
    <row r="54" spans="1:18" ht="13" x14ac:dyDescent="0.3">
      <c r="A54" s="52" t="s">
        <v>70</v>
      </c>
      <c r="B54" s="6">
        <v>4.47</v>
      </c>
      <c r="C54" s="1">
        <v>0.3175</v>
      </c>
      <c r="D54" s="6">
        <v>0.41830000000000001</v>
      </c>
      <c r="E54" s="6">
        <v>11.322320660000001</v>
      </c>
      <c r="F54" s="1">
        <f t="shared" si="4"/>
        <v>1875.3749999999961</v>
      </c>
      <c r="G54" s="17">
        <f>G50*8/12+G62*4/12</f>
        <v>4.91</v>
      </c>
      <c r="H54" s="1">
        <f t="shared" si="0"/>
        <v>132.30590375277359</v>
      </c>
      <c r="I54" s="1">
        <f t="shared" si="1"/>
        <v>9.3975669891511426</v>
      </c>
      <c r="J54" s="26">
        <f t="shared" si="5"/>
        <v>174.0174745448015</v>
      </c>
      <c r="K54" s="1">
        <f t="shared" si="2"/>
        <v>12.381109516730469</v>
      </c>
      <c r="L54" s="26">
        <f t="shared" si="3"/>
        <v>16.284454049684669</v>
      </c>
      <c r="M54" s="10" t="s">
        <v>5</v>
      </c>
      <c r="N54" s="4" t="s">
        <v>5</v>
      </c>
      <c r="R54" s="30"/>
    </row>
    <row r="55" spans="1:18" ht="13" x14ac:dyDescent="0.3">
      <c r="A55" s="52" t="s">
        <v>71</v>
      </c>
      <c r="B55" s="6">
        <v>4.38</v>
      </c>
      <c r="C55" s="1">
        <v>0.315</v>
      </c>
      <c r="D55" s="6">
        <v>0.41</v>
      </c>
      <c r="E55" s="6">
        <v>11.13207107</v>
      </c>
      <c r="F55" s="1">
        <f t="shared" si="4"/>
        <v>1875.4583333333294</v>
      </c>
      <c r="G55" s="17">
        <f>G50*7/12+G62*5/12</f>
        <v>4.87</v>
      </c>
      <c r="H55" s="1">
        <f t="shared" si="0"/>
        <v>131.8576377899463</v>
      </c>
      <c r="I55" s="1">
        <f t="shared" si="1"/>
        <v>9.4829123068112064</v>
      </c>
      <c r="J55" s="26">
        <f t="shared" si="5"/>
        <v>174.46726495563377</v>
      </c>
      <c r="K55" s="1">
        <f t="shared" si="2"/>
        <v>12.342838240611412</v>
      </c>
      <c r="L55" s="26">
        <f t="shared" si="3"/>
        <v>16.331410646531928</v>
      </c>
      <c r="M55" s="10" t="s">
        <v>5</v>
      </c>
      <c r="N55" s="4" t="s">
        <v>5</v>
      </c>
      <c r="R55" s="30"/>
    </row>
    <row r="56" spans="1:18" ht="13" x14ac:dyDescent="0.3">
      <c r="A56" s="52" t="s">
        <v>72</v>
      </c>
      <c r="B56" s="6">
        <v>4.3899999999999997</v>
      </c>
      <c r="C56" s="1">
        <v>0.3125</v>
      </c>
      <c r="D56" s="6">
        <v>0.4017</v>
      </c>
      <c r="E56" s="6">
        <v>11.13207107</v>
      </c>
      <c r="F56" s="1">
        <f t="shared" si="4"/>
        <v>1875.5416666666626</v>
      </c>
      <c r="G56" s="17">
        <f>G50*6/12+G62*6/12</f>
        <v>4.83</v>
      </c>
      <c r="H56" s="1">
        <f t="shared" si="0"/>
        <v>132.15868262508315</v>
      </c>
      <c r="I56" s="1">
        <f t="shared" si="1"/>
        <v>9.4076510980269905</v>
      </c>
      <c r="J56" s="26">
        <f t="shared" si="5"/>
        <v>175.90290217202096</v>
      </c>
      <c r="K56" s="1">
        <f t="shared" si="2"/>
        <v>12.092971027447813</v>
      </c>
      <c r="L56" s="26">
        <f t="shared" si="3"/>
        <v>16.095716583713173</v>
      </c>
      <c r="M56" s="10" t="s">
        <v>5</v>
      </c>
      <c r="N56" s="4" t="s">
        <v>5</v>
      </c>
      <c r="R56" s="30"/>
    </row>
    <row r="57" spans="1:18" ht="13" x14ac:dyDescent="0.3">
      <c r="A57" s="52" t="s">
        <v>73</v>
      </c>
      <c r="B57" s="6">
        <v>4.41</v>
      </c>
      <c r="C57" s="1">
        <v>0.31</v>
      </c>
      <c r="D57" s="6">
        <v>0.39329999999999998</v>
      </c>
      <c r="E57" s="6">
        <v>11.22715537</v>
      </c>
      <c r="F57" s="1">
        <f t="shared" si="4"/>
        <v>1875.6249999999959</v>
      </c>
      <c r="G57" s="17">
        <f>G50*5/12+G62*7/12</f>
        <v>4.79</v>
      </c>
      <c r="H57" s="1">
        <f t="shared" si="0"/>
        <v>131.63640332698094</v>
      </c>
      <c r="I57" s="1">
        <f t="shared" si="1"/>
        <v>9.2533526148217895</v>
      </c>
      <c r="J57" s="26">
        <f t="shared" si="5"/>
        <v>176.23409888063458</v>
      </c>
      <c r="K57" s="1">
        <f t="shared" si="2"/>
        <v>11.739818010998096</v>
      </c>
      <c r="L57" s="26">
        <f t="shared" si="3"/>
        <v>15.717204328742309</v>
      </c>
      <c r="M57" s="10" t="s">
        <v>5</v>
      </c>
      <c r="N57" s="4" t="s">
        <v>5</v>
      </c>
      <c r="R57" s="30"/>
    </row>
    <row r="58" spans="1:18" ht="13" x14ac:dyDescent="0.3">
      <c r="A58" s="52" t="s">
        <v>74</v>
      </c>
      <c r="B58" s="6">
        <v>4.37</v>
      </c>
      <c r="C58" s="1">
        <v>0.3075</v>
      </c>
      <c r="D58" s="6">
        <v>0.38500000000000001</v>
      </c>
      <c r="E58" s="6">
        <v>11.13207107</v>
      </c>
      <c r="F58" s="1">
        <f t="shared" si="4"/>
        <v>1875.7083333333292</v>
      </c>
      <c r="G58" s="17">
        <f>G50*4/12+G62*8/12</f>
        <v>4.75</v>
      </c>
      <c r="H58" s="1">
        <f t="shared" si="0"/>
        <v>131.55659295480945</v>
      </c>
      <c r="I58" s="1">
        <f t="shared" si="1"/>
        <v>9.2571286804585586</v>
      </c>
      <c r="J58" s="26">
        <f t="shared" si="5"/>
        <v>177.16003197234548</v>
      </c>
      <c r="K58" s="1">
        <f t="shared" si="2"/>
        <v>11.590226152769253</v>
      </c>
      <c r="L58" s="26">
        <f t="shared" si="3"/>
        <v>15.607920436922884</v>
      </c>
      <c r="M58" s="10" t="s">
        <v>5</v>
      </c>
      <c r="N58" s="4" t="s">
        <v>5</v>
      </c>
      <c r="R58" s="30"/>
    </row>
    <row r="59" spans="1:18" ht="13" x14ac:dyDescent="0.3">
      <c r="A59" s="52" t="s">
        <v>75</v>
      </c>
      <c r="B59" s="6">
        <v>4.3</v>
      </c>
      <c r="C59" s="1">
        <v>0.30499999999999999</v>
      </c>
      <c r="D59" s="6">
        <v>0.37669999999999998</v>
      </c>
      <c r="E59" s="6">
        <v>11.13207107</v>
      </c>
      <c r="F59" s="1">
        <f t="shared" si="4"/>
        <v>1875.7916666666624</v>
      </c>
      <c r="G59" s="17">
        <f>G50*3/12+G62*9/12</f>
        <v>4.7100000000000009</v>
      </c>
      <c r="H59" s="1">
        <f t="shared" si="0"/>
        <v>129.44927910885139</v>
      </c>
      <c r="I59" s="1">
        <f t="shared" si="1"/>
        <v>9.1818674716743427</v>
      </c>
      <c r="J59" s="26">
        <f t="shared" si="5"/>
        <v>175.35262127239878</v>
      </c>
      <c r="K59" s="1">
        <f t="shared" si="2"/>
        <v>11.340358939605656</v>
      </c>
      <c r="L59" s="26">
        <f t="shared" si="3"/>
        <v>15.361705217049449</v>
      </c>
      <c r="M59" s="10" t="s">
        <v>5</v>
      </c>
      <c r="N59" s="4" t="s">
        <v>5</v>
      </c>
      <c r="R59" s="30"/>
    </row>
    <row r="60" spans="1:18" ht="13" x14ac:dyDescent="0.3">
      <c r="A60" s="52" t="s">
        <v>76</v>
      </c>
      <c r="B60" s="6">
        <v>4.37</v>
      </c>
      <c r="C60" s="1">
        <v>0.30249999999999999</v>
      </c>
      <c r="D60" s="6">
        <v>0.36830000000000002</v>
      </c>
      <c r="E60" s="6">
        <v>11.03690579</v>
      </c>
      <c r="F60" s="1">
        <f t="shared" si="4"/>
        <v>1875.8749999999957</v>
      </c>
      <c r="G60" s="17">
        <f>G50*2/12+G62*10/12</f>
        <v>4.67</v>
      </c>
      <c r="H60" s="1">
        <f t="shared" si="0"/>
        <v>132.69093443081749</v>
      </c>
      <c r="I60" s="1">
        <f t="shared" si="1"/>
        <v>9.1851276122018977</v>
      </c>
      <c r="J60" s="26">
        <f t="shared" si="5"/>
        <v>180.78063482668276</v>
      </c>
      <c r="K60" s="1">
        <f t="shared" si="2"/>
        <v>11.183082643219699</v>
      </c>
      <c r="L60" s="26">
        <f t="shared" si="3"/>
        <v>15.236042976354064</v>
      </c>
      <c r="M60" s="10" t="s">
        <v>5</v>
      </c>
      <c r="N60" s="4" t="s">
        <v>5</v>
      </c>
      <c r="R60" s="30"/>
    </row>
    <row r="61" spans="1:18" ht="13" x14ac:dyDescent="0.3">
      <c r="A61" s="52" t="s">
        <v>77</v>
      </c>
      <c r="B61" s="6">
        <v>4.37</v>
      </c>
      <c r="C61" s="1">
        <v>0.3</v>
      </c>
      <c r="D61" s="6">
        <v>0.36</v>
      </c>
      <c r="E61" s="6">
        <v>10.9417405</v>
      </c>
      <c r="F61" s="1">
        <f t="shared" si="4"/>
        <v>1875.9583333333289</v>
      </c>
      <c r="G61" s="17">
        <f>G50*1/12+G62*11/12</f>
        <v>4.63</v>
      </c>
      <c r="H61" s="1">
        <f t="shared" si="0"/>
        <v>133.84500779377834</v>
      </c>
      <c r="I61" s="1">
        <f t="shared" si="1"/>
        <v>9.1884444709687632</v>
      </c>
      <c r="J61" s="26">
        <f t="shared" si="5"/>
        <v>183.39617535871406</v>
      </c>
      <c r="K61" s="1">
        <f t="shared" si="2"/>
        <v>11.026133365162517</v>
      </c>
      <c r="L61" s="26">
        <f t="shared" si="3"/>
        <v>15.108151745797954</v>
      </c>
      <c r="M61" s="10" t="s">
        <v>5</v>
      </c>
      <c r="N61" s="4" t="s">
        <v>5</v>
      </c>
      <c r="R61" s="30"/>
    </row>
    <row r="62" spans="1:18" ht="13" x14ac:dyDescent="0.3">
      <c r="A62" s="52" t="s">
        <v>78</v>
      </c>
      <c r="B62" s="6">
        <v>4.46</v>
      </c>
      <c r="C62" s="1">
        <v>0.3</v>
      </c>
      <c r="D62" s="6">
        <v>0.3533</v>
      </c>
      <c r="E62" s="6">
        <v>10.846575209999999</v>
      </c>
      <c r="F62" s="1">
        <f t="shared" si="4"/>
        <v>1876.0416666666622</v>
      </c>
      <c r="G62" s="17">
        <v>4.59</v>
      </c>
      <c r="H62" s="1">
        <f t="shared" si="0"/>
        <v>137.80005080516102</v>
      </c>
      <c r="I62" s="1">
        <f t="shared" si="1"/>
        <v>9.269061713351638</v>
      </c>
      <c r="J62" s="26">
        <f t="shared" si="5"/>
        <v>189.87380931439117</v>
      </c>
      <c r="K62" s="1">
        <f t="shared" si="2"/>
        <v>10.915865011090446</v>
      </c>
      <c r="L62" s="26">
        <f t="shared" si="3"/>
        <v>15.04090063470278</v>
      </c>
      <c r="M62" s="10" t="s">
        <v>5</v>
      </c>
      <c r="N62" s="4" t="s">
        <v>5</v>
      </c>
      <c r="R62" s="30"/>
    </row>
    <row r="63" spans="1:18" ht="13" x14ac:dyDescent="0.3">
      <c r="A63" s="52" t="s">
        <v>79</v>
      </c>
      <c r="B63" s="6">
        <v>4.5199999999999996</v>
      </c>
      <c r="C63" s="1">
        <v>0.3</v>
      </c>
      <c r="D63" s="6">
        <v>0.34670000000000001</v>
      </c>
      <c r="E63" s="6">
        <v>10.846575209999999</v>
      </c>
      <c r="F63" s="1">
        <f t="shared" si="4"/>
        <v>1876.1249999999955</v>
      </c>
      <c r="G63" s="17">
        <f>G62*11/12+G74*1/12</f>
        <v>4.5783333333333331</v>
      </c>
      <c r="H63" s="1">
        <f t="shared" si="0"/>
        <v>139.65386314783132</v>
      </c>
      <c r="I63" s="1">
        <f t="shared" si="1"/>
        <v>9.269061713351638</v>
      </c>
      <c r="J63" s="26">
        <f t="shared" si="5"/>
        <v>193.49248056814076</v>
      </c>
      <c r="K63" s="1">
        <f t="shared" si="2"/>
        <v>10.711945653396711</v>
      </c>
      <c r="L63" s="26">
        <f t="shared" si="3"/>
        <v>14.841558188711154</v>
      </c>
      <c r="M63" s="10" t="s">
        <v>5</v>
      </c>
      <c r="N63" s="4" t="s">
        <v>5</v>
      </c>
      <c r="R63" s="30"/>
    </row>
    <row r="64" spans="1:18" ht="13" x14ac:dyDescent="0.3">
      <c r="A64" s="52" t="s">
        <v>80</v>
      </c>
      <c r="B64" s="6">
        <v>4.51</v>
      </c>
      <c r="C64" s="1">
        <v>0.3</v>
      </c>
      <c r="D64" s="6">
        <v>0.34</v>
      </c>
      <c r="E64" s="6">
        <v>10.846575209999999</v>
      </c>
      <c r="F64" s="1">
        <f t="shared" si="4"/>
        <v>1876.2083333333287</v>
      </c>
      <c r="G64" s="17">
        <f>G62*10/12+G74*2/12</f>
        <v>4.5666666666666664</v>
      </c>
      <c r="H64" s="1">
        <f t="shared" si="0"/>
        <v>139.34489442405294</v>
      </c>
      <c r="I64" s="1">
        <f t="shared" si="1"/>
        <v>9.269061713351638</v>
      </c>
      <c r="J64" s="26">
        <f t="shared" si="5"/>
        <v>194.13460163197311</v>
      </c>
      <c r="K64" s="1">
        <f t="shared" si="2"/>
        <v>10.50493660846519</v>
      </c>
      <c r="L64" s="26">
        <f t="shared" si="3"/>
        <v>14.635424513275137</v>
      </c>
      <c r="M64" s="10" t="s">
        <v>5</v>
      </c>
      <c r="N64" s="4" t="s">
        <v>5</v>
      </c>
      <c r="R64" s="30"/>
    </row>
    <row r="65" spans="1:18" ht="13" x14ac:dyDescent="0.3">
      <c r="A65" s="52" t="s">
        <v>81</v>
      </c>
      <c r="B65" s="6">
        <v>4.34</v>
      </c>
      <c r="C65" s="1">
        <v>0.3</v>
      </c>
      <c r="D65" s="6">
        <v>0.33329999999999999</v>
      </c>
      <c r="E65" s="6">
        <v>10.751490909999999</v>
      </c>
      <c r="F65" s="1">
        <f t="shared" si="4"/>
        <v>1876.291666666662</v>
      </c>
      <c r="G65" s="17">
        <f>G62*9/12+G74*3/12</f>
        <v>4.5550000000000006</v>
      </c>
      <c r="H65" s="1">
        <f t="shared" si="0"/>
        <v>135.27831601915014</v>
      </c>
      <c r="I65" s="1">
        <f t="shared" si="1"/>
        <v>9.3510356695265067</v>
      </c>
      <c r="J65" s="26">
        <f t="shared" si="5"/>
        <v>189.5547164779486</v>
      </c>
      <c r="K65" s="1">
        <f t="shared" si="2"/>
        <v>10.389000628843949</v>
      </c>
      <c r="L65" s="26">
        <f t="shared" si="3"/>
        <v>14.557278111083011</v>
      </c>
      <c r="M65" s="10" t="s">
        <v>5</v>
      </c>
      <c r="N65" s="4" t="s">
        <v>5</v>
      </c>
      <c r="R65" s="30"/>
    </row>
    <row r="66" spans="1:18" ht="13" x14ac:dyDescent="0.3">
      <c r="A66" s="52" t="s">
        <v>82</v>
      </c>
      <c r="B66" s="6">
        <v>4.18</v>
      </c>
      <c r="C66" s="1">
        <v>0.3</v>
      </c>
      <c r="D66" s="6">
        <v>0.32669999999999999</v>
      </c>
      <c r="E66" s="6">
        <v>10.370910739999999</v>
      </c>
      <c r="F66" s="1">
        <f t="shared" si="4"/>
        <v>1876.3749999999952</v>
      </c>
      <c r="G66" s="17">
        <f>G62*8/12+G74*4/12</f>
        <v>4.543333333333333</v>
      </c>
      <c r="H66" s="1">
        <f t="shared" si="0"/>
        <v>135.0723750419628</v>
      </c>
      <c r="I66" s="1">
        <f t="shared" si="1"/>
        <v>9.6941895963131195</v>
      </c>
      <c r="J66" s="26">
        <f t="shared" si="5"/>
        <v>190.39812237760236</v>
      </c>
      <c r="K66" s="1">
        <f t="shared" si="2"/>
        <v>10.556972470384988</v>
      </c>
      <c r="L66" s="26">
        <f t="shared" si="3"/>
        <v>14.881116406881029</v>
      </c>
      <c r="M66" s="10" t="s">
        <v>5</v>
      </c>
      <c r="N66" s="4" t="s">
        <v>5</v>
      </c>
      <c r="R66" s="30"/>
    </row>
    <row r="67" spans="1:18" ht="13" x14ac:dyDescent="0.3">
      <c r="A67" s="52" t="s">
        <v>83</v>
      </c>
      <c r="B67" s="6">
        <v>4.1500000000000004</v>
      </c>
      <c r="C67" s="1">
        <v>0.3</v>
      </c>
      <c r="D67" s="6">
        <v>0.32</v>
      </c>
      <c r="E67" s="6">
        <v>10.08541488</v>
      </c>
      <c r="F67" s="1">
        <f t="shared" si="4"/>
        <v>1876.4583333333285</v>
      </c>
      <c r="G67" s="17">
        <f>G62*7/12+G74*5/12</f>
        <v>4.5316666666666663</v>
      </c>
      <c r="H67" s="1">
        <f>B67*$E$1867/E67</f>
        <v>137.89911511305127</v>
      </c>
      <c r="I67" s="1">
        <f>C67*$E$1867/E67</f>
        <v>9.9686107310639454</v>
      </c>
      <c r="J67" s="26">
        <f t="shared" si="5"/>
        <v>195.55367743165453</v>
      </c>
      <c r="K67" s="1">
        <f>D67*$E$1867/E67</f>
        <v>10.633184779801542</v>
      </c>
      <c r="L67" s="26">
        <f t="shared" ref="L67:L130" si="6">K67*(J67/H67)</f>
        <v>15.078837777862518</v>
      </c>
      <c r="M67" s="10" t="s">
        <v>5</v>
      </c>
      <c r="N67" s="4" t="s">
        <v>5</v>
      </c>
      <c r="R67" s="30"/>
    </row>
    <row r="68" spans="1:18" ht="13" x14ac:dyDescent="0.3">
      <c r="A68" s="52" t="s">
        <v>84</v>
      </c>
      <c r="B68" s="6">
        <v>4.0999999999999996</v>
      </c>
      <c r="C68" s="1">
        <v>0.3</v>
      </c>
      <c r="D68" s="6">
        <v>0.31330000000000002</v>
      </c>
      <c r="E68" s="6">
        <v>10.08541488</v>
      </c>
      <c r="F68" s="1">
        <f t="shared" ref="F68:F131" si="7">F67+1/12</f>
        <v>1876.5416666666617</v>
      </c>
      <c r="G68" s="17">
        <f>G62*6/12+G74*6/12</f>
        <v>4.5199999999999996</v>
      </c>
      <c r="H68" s="1">
        <f>B68*$E$1867/E68</f>
        <v>136.23767999120724</v>
      </c>
      <c r="I68" s="1">
        <f>C68*$E$1867/E68</f>
        <v>9.9686107310639454</v>
      </c>
      <c r="J68" s="26">
        <f t="shared" ref="J68:J131" si="8">J67*((H68+(I68/12))/H67)</f>
        <v>194.37564323025896</v>
      </c>
      <c r="K68" s="1">
        <f>D68*$E$1867/E68</f>
        <v>10.410552473474448</v>
      </c>
      <c r="L68" s="26">
        <f t="shared" si="6"/>
        <v>14.853143664400035</v>
      </c>
      <c r="M68" s="10" t="s">
        <v>5</v>
      </c>
      <c r="N68" s="4" t="s">
        <v>5</v>
      </c>
      <c r="R68" s="30"/>
    </row>
    <row r="69" spans="1:18" ht="13" x14ac:dyDescent="0.3">
      <c r="A69" s="52" t="s">
        <v>85</v>
      </c>
      <c r="B69" s="6">
        <v>3.93</v>
      </c>
      <c r="C69" s="1">
        <v>0.3</v>
      </c>
      <c r="D69" s="6">
        <v>0.30669999999999997</v>
      </c>
      <c r="E69" s="6">
        <v>10.180580170000001</v>
      </c>
      <c r="F69" s="1">
        <f t="shared" si="7"/>
        <v>1876.624999999995</v>
      </c>
      <c r="G69" s="17">
        <f>G62*5/12+G74*7/12</f>
        <v>4.5083333333333337</v>
      </c>
      <c r="H69" s="1">
        <f>B69*$E$1867/E69</f>
        <v>129.36809204460101</v>
      </c>
      <c r="I69" s="1">
        <f>C69*$E$1867/E69</f>
        <v>9.8754268736336641</v>
      </c>
      <c r="J69" s="26">
        <f t="shared" si="8"/>
        <v>185.74867083150983</v>
      </c>
      <c r="K69" s="1">
        <f>D69*$E$1867/E69</f>
        <v>10.095978073811484</v>
      </c>
      <c r="L69" s="26">
        <f t="shared" si="6"/>
        <v>14.495958611710957</v>
      </c>
      <c r="M69" s="10" t="s">
        <v>5</v>
      </c>
      <c r="N69" s="4" t="s">
        <v>5</v>
      </c>
      <c r="R69" s="30"/>
    </row>
    <row r="70" spans="1:18" ht="13" x14ac:dyDescent="0.3">
      <c r="A70" s="52" t="s">
        <v>86</v>
      </c>
      <c r="B70" s="6">
        <v>3.69</v>
      </c>
      <c r="C70" s="1">
        <v>0.3</v>
      </c>
      <c r="D70" s="6">
        <v>0.3</v>
      </c>
      <c r="E70" s="6">
        <v>10.275745450000001</v>
      </c>
      <c r="F70" s="1">
        <f t="shared" si="7"/>
        <v>1876.7083333333283</v>
      </c>
      <c r="G70" s="17">
        <f>G62*4/12+G74*8/12</f>
        <v>4.496666666666667</v>
      </c>
      <c r="H70" s="1">
        <f>B70*$E$1867/E70</f>
        <v>120.34281877817439</v>
      </c>
      <c r="I70" s="1">
        <f>C70*$E$1867/E70</f>
        <v>9.7839690063556404</v>
      </c>
      <c r="J70" s="26">
        <f t="shared" si="8"/>
        <v>173.96071071066942</v>
      </c>
      <c r="K70" s="1">
        <f>D70*$E$1867/E70</f>
        <v>9.7839690063556404</v>
      </c>
      <c r="L70" s="26">
        <f t="shared" si="6"/>
        <v>14.143147212249543</v>
      </c>
      <c r="M70" s="10" t="s">
        <v>5</v>
      </c>
      <c r="N70" s="4" t="s">
        <v>5</v>
      </c>
      <c r="R70" s="30"/>
    </row>
    <row r="71" spans="1:18" ht="13" x14ac:dyDescent="0.3">
      <c r="A71" s="52" t="s">
        <v>87</v>
      </c>
      <c r="B71" s="6">
        <v>3.67</v>
      </c>
      <c r="C71" s="1">
        <v>0.3</v>
      </c>
      <c r="D71" s="6">
        <v>0.29330000000000001</v>
      </c>
      <c r="E71" s="6">
        <v>10.465995039999999</v>
      </c>
      <c r="F71" s="1">
        <f t="shared" si="7"/>
        <v>1876.7916666666615</v>
      </c>
      <c r="G71" s="17">
        <f>G62*3/12+G74*9/12</f>
        <v>4.4850000000000003</v>
      </c>
      <c r="H71" s="1">
        <f>B71*$E$1867/E71</f>
        <v>117.51483378306665</v>
      </c>
      <c r="I71" s="1">
        <f>C71*$E$1867/E71</f>
        <v>9.6061172029754758</v>
      </c>
      <c r="J71" s="26">
        <f t="shared" si="8"/>
        <v>171.02990823133845</v>
      </c>
      <c r="K71" s="1">
        <f>D71*$E$1867/E71</f>
        <v>9.3915805854423571</v>
      </c>
      <c r="L71" s="26">
        <f t="shared" si="6"/>
        <v>13.668412012057649</v>
      </c>
      <c r="M71" s="10" t="s">
        <v>5</v>
      </c>
      <c r="N71" s="4" t="s">
        <v>5</v>
      </c>
      <c r="R71" s="30"/>
    </row>
    <row r="72" spans="1:18" ht="13" x14ac:dyDescent="0.3">
      <c r="A72" s="52" t="s">
        <v>88</v>
      </c>
      <c r="B72" s="6">
        <v>3.6</v>
      </c>
      <c r="C72" s="1">
        <v>0.3</v>
      </c>
      <c r="D72" s="6">
        <v>0.28670000000000001</v>
      </c>
      <c r="E72" s="6">
        <v>10.56116033</v>
      </c>
      <c r="F72" s="1">
        <f t="shared" si="7"/>
        <v>1876.8749999999948</v>
      </c>
      <c r="G72" s="17">
        <f>G62*2/12+G74*10/12</f>
        <v>4.4733333333333336</v>
      </c>
      <c r="H72" s="1">
        <f>B72*$E$1867/E72</f>
        <v>114.23469224048795</v>
      </c>
      <c r="I72" s="1">
        <f>C72*$E$1867/E72</f>
        <v>9.5195576867073264</v>
      </c>
      <c r="J72" s="26">
        <f t="shared" si="8"/>
        <v>167.41057890761965</v>
      </c>
      <c r="K72" s="1">
        <f>D72*$E$1867/E72</f>
        <v>9.097523962596636</v>
      </c>
      <c r="L72" s="26">
        <f t="shared" si="6"/>
        <v>13.332392492448486</v>
      </c>
      <c r="M72" s="10" t="s">
        <v>5</v>
      </c>
      <c r="N72" s="4" t="s">
        <v>5</v>
      </c>
      <c r="R72" s="30"/>
    </row>
    <row r="73" spans="1:18" ht="13" x14ac:dyDescent="0.3">
      <c r="A73" s="52" t="s">
        <v>89</v>
      </c>
      <c r="B73" s="6">
        <v>3.58</v>
      </c>
      <c r="C73" s="1">
        <v>0.3</v>
      </c>
      <c r="D73" s="6">
        <v>0.28000000000000003</v>
      </c>
      <c r="E73" s="6">
        <v>10.751490909999999</v>
      </c>
      <c r="F73" s="1">
        <f t="shared" si="7"/>
        <v>1876.958333333328</v>
      </c>
      <c r="G73" s="17">
        <f>G62*1/12+G74*11/12</f>
        <v>4.4616666666666669</v>
      </c>
      <c r="H73" s="1">
        <f>B73*$E$1867/E73</f>
        <v>111.58902565634966</v>
      </c>
      <c r="I73" s="1">
        <f>C73*$E$1867/E73</f>
        <v>9.3510356695265067</v>
      </c>
      <c r="J73" s="26">
        <f t="shared" si="8"/>
        <v>164.67535568353773</v>
      </c>
      <c r="K73" s="1">
        <f>D73*$E$1867/E73</f>
        <v>8.7276332915580728</v>
      </c>
      <c r="L73" s="26">
        <f t="shared" si="6"/>
        <v>12.879636757371664</v>
      </c>
      <c r="M73" s="10" t="s">
        <v>5</v>
      </c>
      <c r="N73" s="4" t="s">
        <v>5</v>
      </c>
      <c r="R73" s="30"/>
    </row>
    <row r="74" spans="1:18" ht="13" x14ac:dyDescent="0.3">
      <c r="A74" s="52" t="s">
        <v>90</v>
      </c>
      <c r="B74" s="6">
        <v>3.55</v>
      </c>
      <c r="C74" s="1">
        <v>0.2908</v>
      </c>
      <c r="D74" s="6">
        <v>0.28170000000000001</v>
      </c>
      <c r="E74" s="6">
        <v>10.9417405</v>
      </c>
      <c r="F74" s="1">
        <f t="shared" si="7"/>
        <v>1877.0416666666613</v>
      </c>
      <c r="G74" s="17">
        <v>4.45</v>
      </c>
      <c r="H74" s="1">
        <f>B74*$E$1867/E74</f>
        <v>108.72992623979704</v>
      </c>
      <c r="I74" s="1">
        <f>C74*$E$1867/E74</f>
        <v>8.9066655071923879</v>
      </c>
      <c r="J74" s="26">
        <f t="shared" si="8"/>
        <v>161.55141478723783</v>
      </c>
      <c r="K74" s="1">
        <f>D74*$E$1867/E74</f>
        <v>8.62794935823967</v>
      </c>
      <c r="L74" s="26">
        <f t="shared" si="6"/>
        <v>12.819446069173212</v>
      </c>
      <c r="M74" s="10" t="s">
        <v>5</v>
      </c>
      <c r="N74" s="4" t="s">
        <v>5</v>
      </c>
      <c r="R74" s="30"/>
    </row>
    <row r="75" spans="1:18" ht="13" x14ac:dyDescent="0.3">
      <c r="A75" s="52" t="s">
        <v>91</v>
      </c>
      <c r="B75" s="6">
        <v>3.34</v>
      </c>
      <c r="C75" s="1">
        <v>0.28170000000000001</v>
      </c>
      <c r="D75" s="6">
        <v>0.2833</v>
      </c>
      <c r="E75" s="6">
        <v>10.65632562</v>
      </c>
      <c r="F75" s="1">
        <f t="shared" si="7"/>
        <v>1877.1249999999945</v>
      </c>
      <c r="G75" s="17">
        <f>G74*11/12+G86*1/12</f>
        <v>4.440833333333333</v>
      </c>
      <c r="H75" s="1">
        <f>B75*$E$1867/E75</f>
        <v>105.0379253519845</v>
      </c>
      <c r="I75" s="1">
        <f>C75*$E$1867/E75</f>
        <v>8.8590369975012084</v>
      </c>
      <c r="J75" s="26">
        <f t="shared" si="8"/>
        <v>157.16272297740844</v>
      </c>
      <c r="K75" s="1">
        <f>D75*$E$1867/E75</f>
        <v>8.9093545665320981</v>
      </c>
      <c r="L75" s="26">
        <f t="shared" si="6"/>
        <v>13.330598628592757</v>
      </c>
      <c r="M75" s="10" t="s">
        <v>5</v>
      </c>
      <c r="N75" s="4" t="s">
        <v>5</v>
      </c>
      <c r="R75" s="30"/>
    </row>
    <row r="76" spans="1:18" ht="13" x14ac:dyDescent="0.3">
      <c r="A76" s="52" t="s">
        <v>92</v>
      </c>
      <c r="B76" s="6">
        <v>3.17</v>
      </c>
      <c r="C76" s="1">
        <v>0.27250000000000002</v>
      </c>
      <c r="D76" s="6">
        <v>0.28499999999999998</v>
      </c>
      <c r="E76" s="6">
        <v>10.180580170000001</v>
      </c>
      <c r="F76" s="1">
        <f t="shared" si="7"/>
        <v>1877.2083333333278</v>
      </c>
      <c r="G76" s="17">
        <f>G74*10/12+G86*2/12</f>
        <v>4.4316666666666666</v>
      </c>
      <c r="H76" s="1">
        <f>B76*$E$1867/E76</f>
        <v>104.35034396472908</v>
      </c>
      <c r="I76" s="1">
        <f>C76*$E$1867/E76</f>
        <v>8.9701794102172467</v>
      </c>
      <c r="J76" s="26">
        <f t="shared" si="8"/>
        <v>157.2523984162647</v>
      </c>
      <c r="K76" s="1">
        <f>D76*$E$1867/E76</f>
        <v>9.3816555299519813</v>
      </c>
      <c r="L76" s="26">
        <f t="shared" si="6"/>
        <v>14.137833927014331</v>
      </c>
      <c r="M76" s="10" t="s">
        <v>5</v>
      </c>
      <c r="N76" s="4" t="s">
        <v>5</v>
      </c>
      <c r="R76" s="30"/>
    </row>
    <row r="77" spans="1:18" ht="13" x14ac:dyDescent="0.3">
      <c r="A77" s="52" t="s">
        <v>93</v>
      </c>
      <c r="B77" s="6">
        <v>2.94</v>
      </c>
      <c r="C77" s="1">
        <v>0.26329999999999998</v>
      </c>
      <c r="D77" s="6">
        <v>0.28670000000000001</v>
      </c>
      <c r="E77" s="6">
        <v>10.465995039999999</v>
      </c>
      <c r="F77" s="1">
        <f t="shared" si="7"/>
        <v>1877.2916666666611</v>
      </c>
      <c r="G77" s="17">
        <f>G74*9/12+G86*3/12</f>
        <v>4.4225000000000003</v>
      </c>
      <c r="H77" s="1">
        <f>B77*$E$1867/E77</f>
        <v>94.139948589159673</v>
      </c>
      <c r="I77" s="1">
        <f>C77*$E$1867/E77</f>
        <v>8.4309688651448091</v>
      </c>
      <c r="J77" s="26">
        <f t="shared" si="8"/>
        <v>142.92444703125938</v>
      </c>
      <c r="K77" s="1">
        <f>D77*$E$1867/E77</f>
        <v>9.1802460069768959</v>
      </c>
      <c r="L77" s="26">
        <f t="shared" si="6"/>
        <v>13.937564273422469</v>
      </c>
      <c r="M77" s="10" t="s">
        <v>5</v>
      </c>
      <c r="N77" s="4" t="s">
        <v>5</v>
      </c>
      <c r="R77" s="30"/>
    </row>
    <row r="78" spans="1:18" ht="13" x14ac:dyDescent="0.3">
      <c r="A78" s="52" t="s">
        <v>94</v>
      </c>
      <c r="B78" s="6">
        <v>2.94</v>
      </c>
      <c r="C78" s="1">
        <v>0.25419999999999998</v>
      </c>
      <c r="D78" s="6">
        <v>0.2883</v>
      </c>
      <c r="E78" s="6">
        <v>10.65632562</v>
      </c>
      <c r="F78" s="1">
        <f t="shared" si="7"/>
        <v>1877.3749999999943</v>
      </c>
      <c r="G78" s="17">
        <f>G74*8/12+G86*4/12</f>
        <v>4.4133333333333331</v>
      </c>
      <c r="H78" s="1">
        <f>B78*$E$1867/E78</f>
        <v>92.45853309426181</v>
      </c>
      <c r="I78" s="1">
        <f>C78*$E$1867/E78</f>
        <v>7.9942037797827714</v>
      </c>
      <c r="J78" s="26">
        <f t="shared" si="8"/>
        <v>141.38310934777931</v>
      </c>
      <c r="K78" s="1">
        <f>D78*$E$1867/E78</f>
        <v>9.0665969697536326</v>
      </c>
      <c r="L78" s="26">
        <f t="shared" si="6"/>
        <v>13.864200824817949</v>
      </c>
      <c r="M78" s="10" t="s">
        <v>5</v>
      </c>
      <c r="N78" s="4" t="s">
        <v>5</v>
      </c>
      <c r="R78" s="30"/>
    </row>
    <row r="79" spans="1:18" ht="13" x14ac:dyDescent="0.3">
      <c r="A79" s="52" t="s">
        <v>95</v>
      </c>
      <c r="B79" s="6">
        <v>2.73</v>
      </c>
      <c r="C79" s="1">
        <v>0.245</v>
      </c>
      <c r="D79" s="6">
        <v>0.28999999999999998</v>
      </c>
      <c r="E79" s="6">
        <v>10.08541488</v>
      </c>
      <c r="F79" s="1">
        <f t="shared" si="7"/>
        <v>1877.4583333333276</v>
      </c>
      <c r="G79" s="17">
        <f>G74*7/12+G86*5/12</f>
        <v>4.4041666666666668</v>
      </c>
      <c r="H79" s="1">
        <f>B79*$E$1867/E79</f>
        <v>90.714357652681898</v>
      </c>
      <c r="I79" s="1">
        <f>C79*$E$1867/E79</f>
        <v>8.1410320970355556</v>
      </c>
      <c r="J79" s="26">
        <f t="shared" si="8"/>
        <v>139.75340675349949</v>
      </c>
      <c r="K79" s="1">
        <f>D79*$E$1867/E79</f>
        <v>9.6363237066951459</v>
      </c>
      <c r="L79" s="26">
        <f t="shared" si="6"/>
        <v>14.845599984803973</v>
      </c>
      <c r="M79" s="10" t="s">
        <v>5</v>
      </c>
      <c r="N79" s="4" t="s">
        <v>5</v>
      </c>
      <c r="R79" s="30"/>
    </row>
    <row r="80" spans="1:18" ht="13" x14ac:dyDescent="0.3">
      <c r="A80" s="52" t="s">
        <v>96</v>
      </c>
      <c r="B80" s="6">
        <v>2.85</v>
      </c>
      <c r="C80" s="1">
        <v>0.23580000000000001</v>
      </c>
      <c r="D80" s="6">
        <v>0.29170000000000001</v>
      </c>
      <c r="E80" s="6">
        <v>10.180580170000001</v>
      </c>
      <c r="F80" s="1">
        <f t="shared" si="7"/>
        <v>1877.5416666666608</v>
      </c>
      <c r="G80" s="17">
        <f>G74*6/12+G86*6/12</f>
        <v>4.3949999999999996</v>
      </c>
      <c r="H80" s="1">
        <f>B80*$E$1867/E80</f>
        <v>93.81655529951982</v>
      </c>
      <c r="I80" s="1">
        <f>C80*$E$1867/E80</f>
        <v>7.7620855226760606</v>
      </c>
      <c r="J80" s="26">
        <f t="shared" si="8"/>
        <v>145.52912805129526</v>
      </c>
      <c r="K80" s="1">
        <f>D80*$E$1867/E80</f>
        <v>9.6022067301298009</v>
      </c>
      <c r="L80" s="26">
        <f t="shared" si="6"/>
        <v>14.89503391317994</v>
      </c>
      <c r="M80" s="10" t="s">
        <v>5</v>
      </c>
      <c r="N80" s="4" t="s">
        <v>5</v>
      </c>
      <c r="R80" s="30"/>
    </row>
    <row r="81" spans="1:18" ht="13" x14ac:dyDescent="0.3">
      <c r="A81" s="52" t="s">
        <v>97</v>
      </c>
      <c r="B81" s="6">
        <v>3.05</v>
      </c>
      <c r="C81" s="1">
        <v>0.22670000000000001</v>
      </c>
      <c r="D81" s="6">
        <v>0.29330000000000001</v>
      </c>
      <c r="E81" s="6">
        <v>9.8000000000000007</v>
      </c>
      <c r="F81" s="1">
        <f t="shared" si="7"/>
        <v>1877.6249999999941</v>
      </c>
      <c r="G81" s="17">
        <f>G74*5/12+G86*7/12</f>
        <v>4.3858333333333333</v>
      </c>
      <c r="H81" s="1">
        <f>B81*$E$1867/E81</f>
        <v>104.29918494897959</v>
      </c>
      <c r="I81" s="1">
        <f>C81*$E$1867/E81</f>
        <v>7.7523361403061228</v>
      </c>
      <c r="J81" s="26">
        <f t="shared" si="8"/>
        <v>162.79200708835046</v>
      </c>
      <c r="K81" s="1">
        <f>D81*$E$1867/E81</f>
        <v>10.029819982142858</v>
      </c>
      <c r="L81" s="26">
        <f t="shared" si="6"/>
        <v>15.654719894758426</v>
      </c>
      <c r="M81" s="10" t="s">
        <v>5</v>
      </c>
      <c r="N81" s="4" t="s">
        <v>5</v>
      </c>
      <c r="R81" s="30"/>
    </row>
    <row r="82" spans="1:18" ht="13" x14ac:dyDescent="0.3">
      <c r="A82" s="52" t="s">
        <v>98</v>
      </c>
      <c r="B82" s="6">
        <v>3.24</v>
      </c>
      <c r="C82" s="1">
        <v>0.2175</v>
      </c>
      <c r="D82" s="6">
        <v>0.29499999999999998</v>
      </c>
      <c r="E82" s="6">
        <v>9.7048347110000002</v>
      </c>
      <c r="F82" s="1">
        <f t="shared" si="7"/>
        <v>1877.7083333333273</v>
      </c>
      <c r="G82" s="17">
        <f>G74*4/12+G86*8/12</f>
        <v>4.3766666666666669</v>
      </c>
      <c r="H82" s="1">
        <f>B82*$E$1867/E82</f>
        <v>111.88297815822533</v>
      </c>
      <c r="I82" s="1">
        <f>C82*$E$1867/E82</f>
        <v>7.5106628856216071</v>
      </c>
      <c r="J82" s="26">
        <f t="shared" si="8"/>
        <v>175.60582318550161</v>
      </c>
      <c r="K82" s="1">
        <f>D82*$E$1867/E82</f>
        <v>10.186876097739651</v>
      </c>
      <c r="L82" s="26">
        <f t="shared" si="6"/>
        <v>15.988801802383632</v>
      </c>
      <c r="M82" s="10" t="s">
        <v>5</v>
      </c>
      <c r="N82" s="4" t="s">
        <v>5</v>
      </c>
      <c r="R82" s="30"/>
    </row>
    <row r="83" spans="1:18" ht="13" x14ac:dyDescent="0.3">
      <c r="A83" s="52" t="s">
        <v>99</v>
      </c>
      <c r="B83" s="6">
        <v>3.31</v>
      </c>
      <c r="C83" s="1">
        <v>0.20830000000000001</v>
      </c>
      <c r="D83" s="6">
        <v>0.29670000000000002</v>
      </c>
      <c r="E83" s="6">
        <v>9.7048347110000002</v>
      </c>
      <c r="F83" s="1">
        <f t="shared" si="7"/>
        <v>1877.7916666666606</v>
      </c>
      <c r="G83" s="17">
        <f>G74*3/12+G86*9/12</f>
        <v>4.3675000000000006</v>
      </c>
      <c r="H83" s="1">
        <f>B83*$E$1867/E83</f>
        <v>114.30020299497711</v>
      </c>
      <c r="I83" s="1">
        <f>C83*$E$1867/E83</f>
        <v>7.192970478505659</v>
      </c>
      <c r="J83" s="26">
        <f t="shared" si="8"/>
        <v>180.34058615991935</v>
      </c>
      <c r="K83" s="1">
        <f>D83*$E$1867/E83</f>
        <v>10.245580129489337</v>
      </c>
      <c r="L83" s="26">
        <f t="shared" si="6"/>
        <v>16.165272481464672</v>
      </c>
      <c r="M83" s="10" t="s">
        <v>5</v>
      </c>
      <c r="N83" s="4" t="s">
        <v>5</v>
      </c>
      <c r="R83" s="30"/>
    </row>
    <row r="84" spans="1:18" ht="13" x14ac:dyDescent="0.3">
      <c r="A84" s="52" t="s">
        <v>100</v>
      </c>
      <c r="B84" s="6">
        <v>3.26</v>
      </c>
      <c r="C84" s="1">
        <v>0.19919999999999999</v>
      </c>
      <c r="D84" s="6">
        <v>0.29830000000000001</v>
      </c>
      <c r="E84" s="6">
        <v>9.5145851239999999</v>
      </c>
      <c r="F84" s="1">
        <f t="shared" si="7"/>
        <v>1877.8749999999939</v>
      </c>
      <c r="G84" s="17">
        <f>G74*2/12+G86*10/12</f>
        <v>4.3583333333333334</v>
      </c>
      <c r="H84" s="1">
        <f>B84*$E$1867/E84</f>
        <v>114.82458780511719</v>
      </c>
      <c r="I84" s="1">
        <f>C84*$E$1867/E84</f>
        <v>7.0162754266194325</v>
      </c>
      <c r="J84" s="26">
        <f t="shared" si="8"/>
        <v>182.0904617278056</v>
      </c>
      <c r="K84" s="1">
        <f>D84*$E$1867/E84</f>
        <v>10.506802006830203</v>
      </c>
      <c r="L84" s="26">
        <f t="shared" si="6"/>
        <v>16.661835807792766</v>
      </c>
      <c r="M84" s="10" t="s">
        <v>5</v>
      </c>
      <c r="N84" s="4" t="s">
        <v>5</v>
      </c>
      <c r="R84" s="30"/>
    </row>
    <row r="85" spans="1:18" ht="13" x14ac:dyDescent="0.3">
      <c r="A85" s="52" t="s">
        <v>101</v>
      </c>
      <c r="B85" s="6">
        <v>3.25</v>
      </c>
      <c r="C85" s="1">
        <v>0.19</v>
      </c>
      <c r="D85" s="6">
        <v>0.3</v>
      </c>
      <c r="E85" s="6">
        <v>9.5145851239999999</v>
      </c>
      <c r="F85" s="1">
        <f t="shared" si="7"/>
        <v>1877.9583333333271</v>
      </c>
      <c r="G85" s="17">
        <f>G74*1/12+G86*11/12</f>
        <v>4.3491666666666662</v>
      </c>
      <c r="H85" s="1">
        <f>B85*$E$1867/E85</f>
        <v>114.47236514313832</v>
      </c>
      <c r="I85" s="1">
        <f>C85*$E$1867/E85</f>
        <v>6.6922305775988553</v>
      </c>
      <c r="J85" s="26">
        <f t="shared" si="8"/>
        <v>182.41628821862736</v>
      </c>
      <c r="K85" s="1">
        <f>D85*$E$1867/E85</f>
        <v>10.566679859366614</v>
      </c>
      <c r="L85" s="26">
        <f t="shared" si="6"/>
        <v>16.838426604796371</v>
      </c>
      <c r="M85" s="10" t="s">
        <v>5</v>
      </c>
      <c r="N85" s="4" t="s">
        <v>5</v>
      </c>
      <c r="R85" s="30"/>
    </row>
    <row r="86" spans="1:18" ht="13" x14ac:dyDescent="0.3">
      <c r="A86" s="52" t="s">
        <v>102</v>
      </c>
      <c r="B86" s="6">
        <v>3.25</v>
      </c>
      <c r="C86" s="1">
        <v>0.18920000000000001</v>
      </c>
      <c r="D86" s="6">
        <v>0.30080000000000001</v>
      </c>
      <c r="E86" s="6">
        <v>9.229089256</v>
      </c>
      <c r="F86" s="1">
        <f t="shared" si="7"/>
        <v>1878.0416666666604</v>
      </c>
      <c r="G86" s="17">
        <v>4.34</v>
      </c>
      <c r="H86" s="1">
        <f>B86*$E$1867/E86</f>
        <v>118.01349323736565</v>
      </c>
      <c r="I86" s="1">
        <f>C86*$E$1867/E86</f>
        <v>6.8702008986183332</v>
      </c>
      <c r="J86" s="26">
        <f t="shared" si="8"/>
        <v>188.97154564738929</v>
      </c>
      <c r="K86" s="1">
        <f>D86*$E$1867/E86</f>
        <v>10.922602697169104</v>
      </c>
      <c r="L86" s="26">
        <f t="shared" si="6"/>
        <v>17.490043363302984</v>
      </c>
      <c r="M86" s="10" t="s">
        <v>5</v>
      </c>
      <c r="N86" s="4" t="s">
        <v>5</v>
      </c>
      <c r="R86" s="30"/>
    </row>
    <row r="87" spans="1:18" ht="13" x14ac:dyDescent="0.3">
      <c r="A87" s="52" t="s">
        <v>103</v>
      </c>
      <c r="B87" s="6">
        <v>3.18</v>
      </c>
      <c r="C87" s="1">
        <v>0.1883</v>
      </c>
      <c r="D87" s="6">
        <v>0.30170000000000002</v>
      </c>
      <c r="E87" s="6">
        <v>9.1340049590000003</v>
      </c>
      <c r="F87" s="1">
        <f t="shared" si="7"/>
        <v>1878.1249999999936</v>
      </c>
      <c r="G87" s="17">
        <f>G86*11/12+G98*1/12</f>
        <v>4.33</v>
      </c>
      <c r="H87" s="1">
        <f>B87*$E$1867/E87</f>
        <v>116.67371539468419</v>
      </c>
      <c r="I87" s="1">
        <f>C87*$E$1867/E87</f>
        <v>6.9086983046600725</v>
      </c>
      <c r="J87" s="26">
        <f t="shared" si="8"/>
        <v>187.74809001215127</v>
      </c>
      <c r="K87" s="1">
        <f>D87*$E$1867/E87</f>
        <v>11.069327023451642</v>
      </c>
      <c r="L87" s="26">
        <f t="shared" si="6"/>
        <v>17.812452439203156</v>
      </c>
      <c r="M87" s="10" t="s">
        <v>5</v>
      </c>
      <c r="N87" s="4" t="s">
        <v>5</v>
      </c>
      <c r="R87" s="30"/>
    </row>
    <row r="88" spans="1:18" ht="13" x14ac:dyDescent="0.3">
      <c r="A88" s="52" t="s">
        <v>104</v>
      </c>
      <c r="B88" s="6">
        <v>3.24</v>
      </c>
      <c r="C88" s="1">
        <v>0.1875</v>
      </c>
      <c r="D88" s="6">
        <v>0.30249999999999999</v>
      </c>
      <c r="E88" s="6">
        <v>8.9436743799999991</v>
      </c>
      <c r="F88" s="1">
        <f t="shared" si="7"/>
        <v>1878.2083333333269</v>
      </c>
      <c r="G88" s="17">
        <f>G86*10/12+G98*2/12</f>
        <v>4.32</v>
      </c>
      <c r="H88" s="1">
        <f>B88*$E$1867/E88</f>
        <v>121.40489063735347</v>
      </c>
      <c r="I88" s="1">
        <f>C88*$E$1867/E88</f>
        <v>7.025745985957955</v>
      </c>
      <c r="J88" s="26">
        <f t="shared" si="8"/>
        <v>196.30350152389087</v>
      </c>
      <c r="K88" s="1">
        <f>D88*$E$1867/E88</f>
        <v>11.334870190678835</v>
      </c>
      <c r="L88" s="26">
        <f t="shared" si="6"/>
        <v>18.327718892276849</v>
      </c>
      <c r="M88" s="10" t="s">
        <v>5</v>
      </c>
      <c r="N88" s="4" t="s">
        <v>5</v>
      </c>
      <c r="R88" s="30"/>
    </row>
    <row r="89" spans="1:18" ht="13" x14ac:dyDescent="0.3">
      <c r="A89" s="52" t="s">
        <v>105</v>
      </c>
      <c r="B89" s="6">
        <v>3.33</v>
      </c>
      <c r="C89" s="1">
        <v>0.1867</v>
      </c>
      <c r="D89" s="6">
        <v>0.30330000000000001</v>
      </c>
      <c r="E89" s="6">
        <v>8.8485090910000004</v>
      </c>
      <c r="F89" s="1">
        <f t="shared" si="7"/>
        <v>1878.2916666666601</v>
      </c>
      <c r="G89" s="17">
        <f>G86*9/12+G98*3/12</f>
        <v>4.3100000000000005</v>
      </c>
      <c r="H89" s="1">
        <f>B89*$E$1867/E89</f>
        <v>126.11922200939738</v>
      </c>
      <c r="I89" s="1">
        <f>C89*$E$1867/E89</f>
        <v>7.0710086333797273</v>
      </c>
      <c r="J89" s="26">
        <f t="shared" si="8"/>
        <v>204.87903525827073</v>
      </c>
      <c r="K89" s="1">
        <f>D89*$E$1867/E89</f>
        <v>11.48707508572079</v>
      </c>
      <c r="L89" s="26">
        <f t="shared" si="6"/>
        <v>18.66060402217223</v>
      </c>
      <c r="M89" s="10" t="s">
        <v>5</v>
      </c>
      <c r="N89" s="4" t="s">
        <v>5</v>
      </c>
      <c r="R89" s="30"/>
    </row>
    <row r="90" spans="1:18" ht="13" x14ac:dyDescent="0.3">
      <c r="A90" s="52" t="s">
        <v>106</v>
      </c>
      <c r="B90" s="6">
        <v>3.34</v>
      </c>
      <c r="C90" s="1">
        <v>0.18579999999999999</v>
      </c>
      <c r="D90" s="6">
        <v>0.30420000000000003</v>
      </c>
      <c r="E90" s="6">
        <v>8.5630942149999996</v>
      </c>
      <c r="F90" s="1">
        <f t="shared" si="7"/>
        <v>1878.3749999999934</v>
      </c>
      <c r="G90" s="17">
        <f>G86*8/12+G98*4/12</f>
        <v>4.3</v>
      </c>
      <c r="H90" s="1">
        <f>B90*$E$1867/E90</f>
        <v>130.71423797244768</v>
      </c>
      <c r="I90" s="1">
        <f>C90*$E$1867/E90</f>
        <v>7.271468687209814</v>
      </c>
      <c r="J90" s="26">
        <f t="shared" si="8"/>
        <v>213.32794609563348</v>
      </c>
      <c r="K90" s="1">
        <f>D90*$E$1867/E90</f>
        <v>11.905171015334906</v>
      </c>
      <c r="L90" s="26">
        <f t="shared" si="6"/>
        <v>19.429449461763983</v>
      </c>
      <c r="M90" s="10" t="s">
        <v>5</v>
      </c>
      <c r="N90" s="4" t="s">
        <v>5</v>
      </c>
      <c r="R90" s="30"/>
    </row>
    <row r="91" spans="1:18" ht="13" x14ac:dyDescent="0.3">
      <c r="A91" s="52" t="s">
        <v>107</v>
      </c>
      <c r="B91" s="6">
        <v>3.41</v>
      </c>
      <c r="C91" s="1">
        <v>0.185</v>
      </c>
      <c r="D91" s="6">
        <v>0.30499999999999999</v>
      </c>
      <c r="E91" s="6">
        <v>8.3728446279999993</v>
      </c>
      <c r="F91" s="1">
        <f t="shared" si="7"/>
        <v>1878.4583333333267</v>
      </c>
      <c r="G91" s="17">
        <f>G86*7/12+G98*5/12</f>
        <v>4.29</v>
      </c>
      <c r="H91" s="1">
        <f>B91*$E$1867/E91</f>
        <v>136.48612308872765</v>
      </c>
      <c r="I91" s="1">
        <f>C91*$E$1867/E91</f>
        <v>7.4046723669837577</v>
      </c>
      <c r="J91" s="26">
        <f t="shared" si="8"/>
        <v>223.75481094009845</v>
      </c>
      <c r="K91" s="1">
        <f>D91*$E$1867/E91</f>
        <v>12.207703091513764</v>
      </c>
      <c r="L91" s="26">
        <f t="shared" si="6"/>
        <v>20.013260216049861</v>
      </c>
      <c r="M91" s="10" t="s">
        <v>5</v>
      </c>
      <c r="N91" s="4" t="s">
        <v>5</v>
      </c>
      <c r="R91" s="30"/>
    </row>
    <row r="92" spans="1:18" ht="13" x14ac:dyDescent="0.3">
      <c r="A92" s="52" t="s">
        <v>108</v>
      </c>
      <c r="B92" s="6">
        <v>3.48</v>
      </c>
      <c r="C92" s="1">
        <v>0.1842</v>
      </c>
      <c r="D92" s="6">
        <v>0.30580000000000002</v>
      </c>
      <c r="E92" s="6">
        <v>8.4679289260000008</v>
      </c>
      <c r="F92" s="1">
        <f t="shared" si="7"/>
        <v>1878.5416666666599</v>
      </c>
      <c r="G92" s="17">
        <f>G86*6/12+G98*6/12</f>
        <v>4.2799999999999994</v>
      </c>
      <c r="H92" s="1">
        <f>B92*$E$1867/E92</f>
        <v>137.72386142958516</v>
      </c>
      <c r="I92" s="1">
        <f>C92*$E$1867/E92</f>
        <v>7.2898664584280422</v>
      </c>
      <c r="J92" s="26">
        <f t="shared" si="8"/>
        <v>226.77986914167224</v>
      </c>
      <c r="K92" s="1">
        <f>D92*$E$1867/E92</f>
        <v>12.102286444013547</v>
      </c>
      <c r="L92" s="26">
        <f t="shared" si="6"/>
        <v>19.92795516767913</v>
      </c>
      <c r="M92" s="10" t="s">
        <v>5</v>
      </c>
      <c r="N92" s="4" t="s">
        <v>5</v>
      </c>
      <c r="R92" s="30"/>
    </row>
    <row r="93" spans="1:18" ht="13" x14ac:dyDescent="0.3">
      <c r="A93" s="52" t="s">
        <v>109</v>
      </c>
      <c r="B93" s="6">
        <v>3.45</v>
      </c>
      <c r="C93" s="1">
        <v>0.18329999999999999</v>
      </c>
      <c r="D93" s="6">
        <v>0.30669999999999997</v>
      </c>
      <c r="E93" s="6">
        <v>8.5630942149999996</v>
      </c>
      <c r="F93" s="1">
        <f t="shared" si="7"/>
        <v>1878.6249999999932</v>
      </c>
      <c r="G93" s="17">
        <f>G86*5/12+G98*7/12</f>
        <v>4.2699999999999996</v>
      </c>
      <c r="H93" s="1">
        <f>B93*$E$1867/E93</f>
        <v>135.01919790567203</v>
      </c>
      <c r="I93" s="1">
        <f>C93*$E$1867/E93</f>
        <v>7.1736286887274421</v>
      </c>
      <c r="J93" s="26">
        <f t="shared" si="8"/>
        <v>223.31065409698772</v>
      </c>
      <c r="K93" s="1">
        <f>D93*$E$1867/E93</f>
        <v>12.003011013817275</v>
      </c>
      <c r="L93" s="26">
        <f t="shared" si="6"/>
        <v>19.851993510593076</v>
      </c>
      <c r="M93" s="10" t="s">
        <v>5</v>
      </c>
      <c r="N93" s="4" t="s">
        <v>5</v>
      </c>
      <c r="R93" s="30"/>
    </row>
    <row r="94" spans="1:18" ht="13" x14ac:dyDescent="0.3">
      <c r="A94" s="52" t="s">
        <v>110</v>
      </c>
      <c r="B94" s="6">
        <v>3.52</v>
      </c>
      <c r="C94" s="1">
        <v>0.1825</v>
      </c>
      <c r="D94" s="6">
        <v>0.3075</v>
      </c>
      <c r="E94" s="6">
        <v>8.5630942149999996</v>
      </c>
      <c r="F94" s="1">
        <f t="shared" si="7"/>
        <v>1878.7083333333264</v>
      </c>
      <c r="G94" s="17">
        <f>G86*4/12+G98*8/12</f>
        <v>4.26</v>
      </c>
      <c r="H94" s="1">
        <f>B94*$E$1867/E94</f>
        <v>137.75871786317839</v>
      </c>
      <c r="I94" s="1">
        <f>C94*$E$1867/E94</f>
        <v>7.1423198892130841</v>
      </c>
      <c r="J94" s="26">
        <f t="shared" si="8"/>
        <v>228.82599573501111</v>
      </c>
      <c r="K94" s="1">
        <f>D94*$E$1867/E94</f>
        <v>12.034319813331635</v>
      </c>
      <c r="L94" s="26">
        <f t="shared" si="6"/>
        <v>19.989770934237477</v>
      </c>
      <c r="M94" s="10" t="s">
        <v>5</v>
      </c>
      <c r="N94" s="4" t="s">
        <v>5</v>
      </c>
      <c r="R94" s="30"/>
    </row>
    <row r="95" spans="1:18" ht="13" x14ac:dyDescent="0.3">
      <c r="A95" s="52" t="s">
        <v>111</v>
      </c>
      <c r="B95" s="6">
        <v>3.48</v>
      </c>
      <c r="C95" s="1">
        <v>0.1817</v>
      </c>
      <c r="D95" s="6">
        <v>0.30830000000000002</v>
      </c>
      <c r="E95" s="6">
        <v>8.4679289260000008</v>
      </c>
      <c r="F95" s="1">
        <f t="shared" si="7"/>
        <v>1878.7916666666597</v>
      </c>
      <c r="G95" s="17">
        <f>G86*3/12+G98*9/12</f>
        <v>4.25</v>
      </c>
      <c r="H95" s="1">
        <f>B95*$E$1867/E95</f>
        <v>137.72386142958516</v>
      </c>
      <c r="I95" s="1">
        <f>C95*$E$1867/E95</f>
        <v>7.1909269028033398</v>
      </c>
      <c r="J95" s="26">
        <f t="shared" si="8"/>
        <v>229.76347924200402</v>
      </c>
      <c r="K95" s="1">
        <f>D95*$E$1867/E95</f>
        <v>12.201225999638249</v>
      </c>
      <c r="L95" s="26">
        <f t="shared" si="6"/>
        <v>20.355195589169497</v>
      </c>
      <c r="M95" s="10" t="s">
        <v>5</v>
      </c>
      <c r="N95" s="4" t="s">
        <v>5</v>
      </c>
      <c r="R95" s="30"/>
    </row>
    <row r="96" spans="1:18" ht="13" x14ac:dyDescent="0.3">
      <c r="A96" s="52" t="s">
        <v>112</v>
      </c>
      <c r="B96" s="6">
        <v>3.47</v>
      </c>
      <c r="C96" s="1">
        <v>0.18079999999999999</v>
      </c>
      <c r="D96" s="6">
        <v>0.30919999999999997</v>
      </c>
      <c r="E96" s="6">
        <v>8.3728446279999993</v>
      </c>
      <c r="F96" s="1">
        <f t="shared" si="7"/>
        <v>1878.874999999993</v>
      </c>
      <c r="G96" s="17">
        <f>G86*2/12+G98*10/12</f>
        <v>4.2399999999999993</v>
      </c>
      <c r="H96" s="1">
        <f>B96*$E$1867/E96</f>
        <v>138.88763845099268</v>
      </c>
      <c r="I96" s="1">
        <f>C96*$E$1867/E96</f>
        <v>7.2365662916252074</v>
      </c>
      <c r="J96" s="26">
        <f t="shared" si="8"/>
        <v>232.71105618350694</v>
      </c>
      <c r="K96" s="1">
        <f>D96*$E$1867/E96</f>
        <v>12.375809166872312</v>
      </c>
      <c r="L96" s="26">
        <f t="shared" si="6"/>
        <v>20.736097571164358</v>
      </c>
      <c r="M96" s="10" t="s">
        <v>5</v>
      </c>
      <c r="N96" s="4" t="s">
        <v>5</v>
      </c>
      <c r="R96" s="30"/>
    </row>
    <row r="97" spans="1:18" ht="13" x14ac:dyDescent="0.3">
      <c r="A97" s="52" t="s">
        <v>113</v>
      </c>
      <c r="B97" s="6">
        <v>3.45</v>
      </c>
      <c r="C97" s="1">
        <v>0.18</v>
      </c>
      <c r="D97" s="6">
        <v>0.31</v>
      </c>
      <c r="E97" s="6">
        <v>8.18251405</v>
      </c>
      <c r="F97" s="1">
        <f t="shared" si="7"/>
        <v>1878.9583333333262</v>
      </c>
      <c r="G97" s="17">
        <f>G86*1/12+G98*11/12</f>
        <v>4.2299999999999995</v>
      </c>
      <c r="H97" s="1">
        <f>B97*$E$1867/E97</f>
        <v>141.29912951386868</v>
      </c>
      <c r="I97" s="1">
        <f>C97*$E$1867/E97</f>
        <v>7.3721284963757565</v>
      </c>
      <c r="J97" s="26">
        <f t="shared" si="8"/>
        <v>237.78094786572052</v>
      </c>
      <c r="K97" s="1">
        <f>D97*$E$1867/E97</f>
        <v>12.696443521536024</v>
      </c>
      <c r="L97" s="26">
        <f t="shared" si="6"/>
        <v>21.365824300977781</v>
      </c>
      <c r="M97" s="10" t="s">
        <v>5</v>
      </c>
      <c r="N97" s="4" t="s">
        <v>5</v>
      </c>
      <c r="R97" s="30"/>
    </row>
    <row r="98" spans="1:18" ht="13" x14ac:dyDescent="0.3">
      <c r="A98" s="52" t="s">
        <v>114</v>
      </c>
      <c r="B98" s="6">
        <v>3.58</v>
      </c>
      <c r="C98" s="1">
        <v>0.1817</v>
      </c>
      <c r="D98" s="6">
        <v>0.31580000000000003</v>
      </c>
      <c r="E98" s="6">
        <v>8.2776793390000005</v>
      </c>
      <c r="F98" s="1">
        <f t="shared" si="7"/>
        <v>1879.0416666666595</v>
      </c>
      <c r="G98" s="17">
        <v>4.22</v>
      </c>
      <c r="H98" s="1">
        <f>B98*$E$1867/E98</f>
        <v>144.93777130836983</v>
      </c>
      <c r="I98" s="1">
        <f>C98*$E$1867/E98</f>
        <v>7.356199175064468</v>
      </c>
      <c r="J98" s="26">
        <f t="shared" si="8"/>
        <v>244.93572203899245</v>
      </c>
      <c r="K98" s="1">
        <f>D98*$E$1867/E98</f>
        <v>12.785292787481339</v>
      </c>
      <c r="L98" s="26">
        <f t="shared" si="6"/>
        <v>21.60634106701503</v>
      </c>
      <c r="M98" s="10" t="s">
        <v>5</v>
      </c>
      <c r="N98" s="4" t="s">
        <v>5</v>
      </c>
      <c r="R98" s="30"/>
    </row>
    <row r="99" spans="1:18" ht="13" x14ac:dyDescent="0.3">
      <c r="A99" s="52" t="s">
        <v>115</v>
      </c>
      <c r="B99" s="6">
        <v>3.71</v>
      </c>
      <c r="C99" s="1">
        <v>0.18329999999999999</v>
      </c>
      <c r="D99" s="6">
        <v>0.32169999999999999</v>
      </c>
      <c r="E99" s="6">
        <v>8.3728446279999993</v>
      </c>
      <c r="F99" s="1">
        <f t="shared" si="7"/>
        <v>1879.1249999999927</v>
      </c>
      <c r="G99" s="17">
        <f>G98*11/12+G110*1/12</f>
        <v>4.2033333333333331</v>
      </c>
      <c r="H99" s="1">
        <f>B99*$E$1867/E99</f>
        <v>148.49369990005266</v>
      </c>
      <c r="I99" s="1">
        <f>C99*$E$1867/E99</f>
        <v>7.3366294317195822</v>
      </c>
      <c r="J99" s="26">
        <f t="shared" si="8"/>
        <v>251.97822136019286</v>
      </c>
      <c r="K99" s="1">
        <f>D99*$E$1867/E99</f>
        <v>12.876124867344188</v>
      </c>
      <c r="L99" s="26">
        <f t="shared" si="6"/>
        <v>21.849432294224808</v>
      </c>
      <c r="M99" s="10" t="s">
        <v>5</v>
      </c>
      <c r="N99" s="4" t="s">
        <v>5</v>
      </c>
      <c r="R99" s="30"/>
    </row>
    <row r="100" spans="1:18" ht="13" x14ac:dyDescent="0.3">
      <c r="A100" s="52" t="s">
        <v>116</v>
      </c>
      <c r="B100" s="6">
        <v>3.65</v>
      </c>
      <c r="C100" s="1">
        <v>0.185</v>
      </c>
      <c r="D100" s="6">
        <v>0.32750000000000001</v>
      </c>
      <c r="E100" s="6">
        <v>8.2776793390000005</v>
      </c>
      <c r="F100" s="1">
        <f t="shared" si="7"/>
        <v>1879.208333333326</v>
      </c>
      <c r="G100" s="17">
        <f>G98*10/12+G110*2/12</f>
        <v>4.1866666666666656</v>
      </c>
      <c r="H100" s="1">
        <f>B100*$E$1867/E100</f>
        <v>147.77175007696923</v>
      </c>
      <c r="I100" s="1">
        <f>C100*$E$1867/E100</f>
        <v>7.4898010312984411</v>
      </c>
      <c r="J100" s="26">
        <f t="shared" si="8"/>
        <v>251.81226547229261</v>
      </c>
      <c r="K100" s="1">
        <f>D100*$E$1867/E100</f>
        <v>13.258972095947239</v>
      </c>
      <c r="L100" s="26">
        <f t="shared" si="6"/>
        <v>22.594114230733105</v>
      </c>
      <c r="M100" s="10" t="s">
        <v>5</v>
      </c>
      <c r="N100" s="4" t="s">
        <v>5</v>
      </c>
      <c r="R100" s="30"/>
    </row>
    <row r="101" spans="1:18" ht="13" x14ac:dyDescent="0.3">
      <c r="A101" s="52" t="s">
        <v>117</v>
      </c>
      <c r="B101" s="6">
        <v>3.77</v>
      </c>
      <c r="C101" s="1">
        <v>0.1867</v>
      </c>
      <c r="D101" s="6">
        <v>0.33329999999999999</v>
      </c>
      <c r="E101" s="6">
        <v>8.18251405</v>
      </c>
      <c r="F101" s="1">
        <f t="shared" si="7"/>
        <v>1879.2916666666592</v>
      </c>
      <c r="G101" s="17">
        <f>G98*9/12+G110*3/12</f>
        <v>4.17</v>
      </c>
      <c r="H101" s="1">
        <f>B101*$E$1867/E101</f>
        <v>154.40513572964778</v>
      </c>
      <c r="I101" s="1">
        <f>C101*$E$1867/E101</f>
        <v>7.646535501518632</v>
      </c>
      <c r="J101" s="26">
        <f t="shared" si="8"/>
        <v>264.20181548418424</v>
      </c>
      <c r="K101" s="1">
        <f>D101*$E$1867/E101</f>
        <v>13.650724599122441</v>
      </c>
      <c r="L101" s="26">
        <f t="shared" si="6"/>
        <v>23.357683050630929</v>
      </c>
      <c r="M101" s="10" t="s">
        <v>5</v>
      </c>
      <c r="N101" s="4" t="s">
        <v>5</v>
      </c>
      <c r="R101" s="30"/>
    </row>
    <row r="102" spans="1:18" ht="13" x14ac:dyDescent="0.3">
      <c r="A102" s="52" t="s">
        <v>118</v>
      </c>
      <c r="B102" s="6">
        <v>3.94</v>
      </c>
      <c r="C102" s="1">
        <v>0.1883</v>
      </c>
      <c r="D102" s="6">
        <v>0.3392</v>
      </c>
      <c r="E102" s="6">
        <v>8.18251405</v>
      </c>
      <c r="F102" s="1">
        <f t="shared" si="7"/>
        <v>1879.3749999999925</v>
      </c>
      <c r="G102" s="17">
        <f>G98*8/12+G110*4/12</f>
        <v>4.1533333333333324</v>
      </c>
      <c r="H102" s="1">
        <f>B102*$E$1867/E102</f>
        <v>161.36770153178045</v>
      </c>
      <c r="I102" s="1">
        <f>C102*$E$1867/E102</f>
        <v>7.7120655325975269</v>
      </c>
      <c r="J102" s="26">
        <f t="shared" si="8"/>
        <v>277.21509809787585</v>
      </c>
      <c r="K102" s="1">
        <f>D102*$E$1867/E102</f>
        <v>13.892366588725871</v>
      </c>
      <c r="L102" s="26">
        <f t="shared" si="6"/>
        <v>23.865827734720682</v>
      </c>
      <c r="M102" s="10" t="s">
        <v>5</v>
      </c>
      <c r="N102" s="4" t="s">
        <v>5</v>
      </c>
      <c r="R102" s="30"/>
    </row>
    <row r="103" spans="1:18" ht="13" x14ac:dyDescent="0.3">
      <c r="A103" s="52" t="s">
        <v>119</v>
      </c>
      <c r="B103" s="6">
        <v>3.96</v>
      </c>
      <c r="C103" s="1">
        <v>0.19</v>
      </c>
      <c r="D103" s="6">
        <v>0.34499999999999997</v>
      </c>
      <c r="E103" s="6">
        <v>8.0873811569999994</v>
      </c>
      <c r="F103" s="1">
        <f t="shared" si="7"/>
        <v>1879.4583333333258</v>
      </c>
      <c r="G103" s="17">
        <f>G98*7/12+G110*5/12</f>
        <v>4.1366666666666667</v>
      </c>
      <c r="H103" s="1">
        <f>B103*$E$1867/E103</f>
        <v>164.09465119018628</v>
      </c>
      <c r="I103" s="1">
        <f>C103*$E$1867/E103</f>
        <v>7.8732282136705534</v>
      </c>
      <c r="J103" s="26">
        <f t="shared" si="8"/>
        <v>283.02687508790473</v>
      </c>
      <c r="K103" s="1">
        <f>D103*$E$1867/E103</f>
        <v>14.296124914296531</v>
      </c>
      <c r="L103" s="26">
        <f t="shared" si="6"/>
        <v>24.657644420537153</v>
      </c>
      <c r="M103" s="10" t="s">
        <v>5</v>
      </c>
      <c r="N103" s="4" t="s">
        <v>5</v>
      </c>
      <c r="R103" s="30"/>
    </row>
    <row r="104" spans="1:18" ht="13" x14ac:dyDescent="0.3">
      <c r="A104" s="52" t="s">
        <v>120</v>
      </c>
      <c r="B104" s="6">
        <v>4.04</v>
      </c>
      <c r="C104" s="1">
        <v>0.19170000000000001</v>
      </c>
      <c r="D104" s="6">
        <v>0.3508</v>
      </c>
      <c r="E104" s="6">
        <v>8.18251405</v>
      </c>
      <c r="F104" s="1">
        <f t="shared" si="7"/>
        <v>1879.541666666659</v>
      </c>
      <c r="G104" s="17">
        <f>G98*6/12+G110*6/12</f>
        <v>4.1199999999999992</v>
      </c>
      <c r="H104" s="1">
        <f>B104*$E$1867/E104</f>
        <v>165.46332847421141</v>
      </c>
      <c r="I104" s="1">
        <f>C104*$E$1867/E104</f>
        <v>7.8513168486401801</v>
      </c>
      <c r="J104" s="26">
        <f t="shared" si="8"/>
        <v>286.51602148379067</v>
      </c>
      <c r="K104" s="1">
        <f>D104*$E$1867/E104</f>
        <v>14.367459314047863</v>
      </c>
      <c r="L104" s="26">
        <f t="shared" si="6"/>
        <v>24.878668400127175</v>
      </c>
      <c r="M104" s="10" t="s">
        <v>5</v>
      </c>
      <c r="N104" s="4" t="s">
        <v>5</v>
      </c>
      <c r="R104" s="30"/>
    </row>
    <row r="105" spans="1:18" ht="13" x14ac:dyDescent="0.3">
      <c r="A105" s="52" t="s">
        <v>121</v>
      </c>
      <c r="B105" s="6">
        <v>4.07</v>
      </c>
      <c r="C105" s="1">
        <v>0.1933</v>
      </c>
      <c r="D105" s="6">
        <v>0.35670000000000002</v>
      </c>
      <c r="E105" s="6">
        <v>8.18251405</v>
      </c>
      <c r="F105" s="1">
        <f t="shared" si="7"/>
        <v>1879.6249999999923</v>
      </c>
      <c r="G105" s="17">
        <f>G98*5/12+G110*7/12</f>
        <v>4.1033333333333326</v>
      </c>
      <c r="H105" s="1">
        <f>B105*$E$1867/E105</f>
        <v>166.6920165569407</v>
      </c>
      <c r="I105" s="1">
        <f>C105*$E$1867/E105</f>
        <v>7.9168468797190759</v>
      </c>
      <c r="J105" s="26">
        <f t="shared" si="8"/>
        <v>289.78601559862113</v>
      </c>
      <c r="K105" s="1">
        <f>D105*$E$1867/E105</f>
        <v>14.609101303651292</v>
      </c>
      <c r="L105" s="26">
        <f t="shared" si="6"/>
        <v>25.39721664963837</v>
      </c>
      <c r="M105" s="10" t="s">
        <v>5</v>
      </c>
      <c r="N105" s="4" t="s">
        <v>5</v>
      </c>
      <c r="R105" s="30"/>
    </row>
    <row r="106" spans="1:18" ht="13" x14ac:dyDescent="0.3">
      <c r="A106" s="52" t="s">
        <v>122</v>
      </c>
      <c r="B106" s="6">
        <v>4.22</v>
      </c>
      <c r="C106" s="1">
        <v>0.19500000000000001</v>
      </c>
      <c r="D106" s="6">
        <v>0.36249999999999999</v>
      </c>
      <c r="E106" s="6">
        <v>8.4679289260000008</v>
      </c>
      <c r="F106" s="1">
        <f t="shared" si="7"/>
        <v>1879.7083333333255</v>
      </c>
      <c r="G106" s="17">
        <f>G98*4/12+G110*8/12</f>
        <v>4.086666666666666</v>
      </c>
      <c r="H106" s="1">
        <f>B106*$E$1867/E106</f>
        <v>167.00996989449695</v>
      </c>
      <c r="I106" s="1">
        <f>C106*$E$1867/E106</f>
        <v>7.7172853387267546</v>
      </c>
      <c r="J106" s="26">
        <f t="shared" si="8"/>
        <v>291.45677274735266</v>
      </c>
      <c r="K106" s="1">
        <f>D106*$E$1867/E106</f>
        <v>14.346235565581786</v>
      </c>
      <c r="L106" s="26">
        <f t="shared" si="6"/>
        <v>25.03627491016951</v>
      </c>
      <c r="M106" s="10" t="s">
        <v>5</v>
      </c>
      <c r="N106" s="4" t="s">
        <v>5</v>
      </c>
      <c r="R106" s="30"/>
    </row>
    <row r="107" spans="1:18" ht="13" x14ac:dyDescent="0.3">
      <c r="A107" s="52" t="s">
        <v>123</v>
      </c>
      <c r="B107" s="6">
        <v>4.68</v>
      </c>
      <c r="C107" s="1">
        <v>0.19670000000000001</v>
      </c>
      <c r="D107" s="6">
        <v>0.36830000000000002</v>
      </c>
      <c r="E107" s="6">
        <v>8.9436743799999991</v>
      </c>
      <c r="F107" s="1">
        <f t="shared" si="7"/>
        <v>1879.7916666666588</v>
      </c>
      <c r="G107" s="17">
        <f>G98*3/12+G110*9/12</f>
        <v>4.0699999999999994</v>
      </c>
      <c r="H107" s="1">
        <f>B107*$E$1867/E107</f>
        <v>175.36261980951053</v>
      </c>
      <c r="I107" s="1">
        <f>C107*$E$1867/E107</f>
        <v>7.3704759223356264</v>
      </c>
      <c r="J107" s="26">
        <f t="shared" si="8"/>
        <v>307.10524561156114</v>
      </c>
      <c r="K107" s="1">
        <f>D107*$E$1867/E107</f>
        <v>13.800438648684347</v>
      </c>
      <c r="L107" s="26">
        <f t="shared" si="6"/>
        <v>24.168132897166238</v>
      </c>
      <c r="M107" s="10" t="s">
        <v>5</v>
      </c>
      <c r="N107" s="4" t="s">
        <v>5</v>
      </c>
      <c r="R107" s="30"/>
    </row>
    <row r="108" spans="1:18" ht="13" x14ac:dyDescent="0.3">
      <c r="A108" s="52" t="s">
        <v>124</v>
      </c>
      <c r="B108" s="6">
        <v>4.93</v>
      </c>
      <c r="C108" s="1">
        <v>0.1983</v>
      </c>
      <c r="D108" s="6">
        <v>0.37419999999999998</v>
      </c>
      <c r="E108" s="6">
        <v>9.4194198349999994</v>
      </c>
      <c r="F108" s="1">
        <f t="shared" si="7"/>
        <v>1879.874999999992</v>
      </c>
      <c r="G108" s="17">
        <f>G98*2/12+G110*10/12</f>
        <v>4.0533333333333328</v>
      </c>
      <c r="H108" s="1">
        <f>B108*$E$1867/E108</f>
        <v>175.40013200823634</v>
      </c>
      <c r="I108" s="1">
        <f>C108*$E$1867/E108</f>
        <v>7.0551412124205424</v>
      </c>
      <c r="J108" s="26">
        <f t="shared" si="8"/>
        <v>308.2005537191298</v>
      </c>
      <c r="K108" s="1">
        <f>D108*$E$1867/E108</f>
        <v>13.313332534986216</v>
      </c>
      <c r="L108" s="26">
        <f t="shared" si="6"/>
        <v>23.39323472651083</v>
      </c>
      <c r="M108" s="10" t="s">
        <v>5</v>
      </c>
      <c r="N108" s="4" t="s">
        <v>5</v>
      </c>
      <c r="R108" s="30"/>
    </row>
    <row r="109" spans="1:18" ht="13" x14ac:dyDescent="0.3">
      <c r="A109" s="52" t="s">
        <v>125</v>
      </c>
      <c r="B109" s="6">
        <v>4.92</v>
      </c>
      <c r="C109" s="1">
        <v>0.2</v>
      </c>
      <c r="D109" s="6">
        <v>0.38</v>
      </c>
      <c r="E109" s="6">
        <v>9.7048347110000002</v>
      </c>
      <c r="F109" s="1">
        <f t="shared" si="7"/>
        <v>1879.9583333333253</v>
      </c>
      <c r="G109" s="17">
        <f>G98*1/12+G110*11/12</f>
        <v>4.0366666666666671</v>
      </c>
      <c r="H109" s="1">
        <f>B109*$E$1867/E109</f>
        <v>169.89637424026807</v>
      </c>
      <c r="I109" s="1">
        <f>C109*$E$1867/E109</f>
        <v>6.9063566764336626</v>
      </c>
      <c r="J109" s="26">
        <f t="shared" si="8"/>
        <v>299.54102424836003</v>
      </c>
      <c r="K109" s="1">
        <f>D109*$E$1867/E109</f>
        <v>13.122077685223958</v>
      </c>
      <c r="L109" s="26">
        <f t="shared" si="6"/>
        <v>23.135282360645697</v>
      </c>
      <c r="M109" s="10" t="s">
        <v>5</v>
      </c>
      <c r="N109" s="4" t="s">
        <v>5</v>
      </c>
      <c r="R109" s="30"/>
    </row>
    <row r="110" spans="1:18" ht="13" x14ac:dyDescent="0.3">
      <c r="A110" s="52" t="s">
        <v>126</v>
      </c>
      <c r="B110" s="6">
        <v>5.1100000000000003</v>
      </c>
      <c r="C110" s="1">
        <v>0.20499999999999999</v>
      </c>
      <c r="D110" s="6">
        <v>0.38919999999999999</v>
      </c>
      <c r="E110" s="6">
        <v>9.9903305790000001</v>
      </c>
      <c r="F110" s="1">
        <f t="shared" si="7"/>
        <v>1880.0416666666586</v>
      </c>
      <c r="G110" s="17">
        <v>4.0199999999999996</v>
      </c>
      <c r="H110" s="1">
        <f>B110*$E$1867/E110</f>
        <v>171.41475088919577</v>
      </c>
      <c r="I110" s="1">
        <f>C110*$E$1867/E110</f>
        <v>6.8767170121888714</v>
      </c>
      <c r="J110" s="26">
        <f t="shared" si="8"/>
        <v>303.22839547208849</v>
      </c>
      <c r="K110" s="1">
        <f>D110*$E$1867/E110</f>
        <v>13.055698834848336</v>
      </c>
      <c r="L110" s="26">
        <f t="shared" si="6"/>
        <v>23.095203819517973</v>
      </c>
      <c r="M110" s="10" t="s">
        <v>5</v>
      </c>
      <c r="N110" s="4" t="s">
        <v>5</v>
      </c>
      <c r="R110" s="30"/>
    </row>
    <row r="111" spans="1:18" ht="13" x14ac:dyDescent="0.3">
      <c r="A111" s="52" t="s">
        <v>127</v>
      </c>
      <c r="B111" s="6">
        <v>5.2</v>
      </c>
      <c r="C111" s="1">
        <v>0.21</v>
      </c>
      <c r="D111" s="6">
        <v>0.39829999999999999</v>
      </c>
      <c r="E111" s="6">
        <v>9.9903305790000001</v>
      </c>
      <c r="F111" s="1">
        <f t="shared" si="7"/>
        <v>1880.1249999999918</v>
      </c>
      <c r="G111" s="17">
        <f>G110*11/12+G122*1/12</f>
        <v>3.9933333333333332</v>
      </c>
      <c r="H111" s="1">
        <f>B111*$E$1867/E111</f>
        <v>174.43379738235186</v>
      </c>
      <c r="I111" s="1">
        <f>C111*$E$1867/E111</f>
        <v>7.0444418173642092</v>
      </c>
      <c r="J111" s="26">
        <f t="shared" si="8"/>
        <v>309.60746641401602</v>
      </c>
      <c r="K111" s="1">
        <f>D111*$E$1867/E111</f>
        <v>13.36095798026745</v>
      </c>
      <c r="L111" s="26">
        <f t="shared" si="6"/>
        <v>23.71474112936588</v>
      </c>
      <c r="M111" s="10" t="s">
        <v>5</v>
      </c>
      <c r="N111" s="4" t="s">
        <v>5</v>
      </c>
      <c r="R111" s="30"/>
    </row>
    <row r="112" spans="1:18" ht="13" x14ac:dyDescent="0.3">
      <c r="A112" s="52" t="s">
        <v>128</v>
      </c>
      <c r="B112" s="6">
        <v>5.3</v>
      </c>
      <c r="C112" s="1">
        <v>0.215</v>
      </c>
      <c r="D112" s="6">
        <v>0.40749999999999997</v>
      </c>
      <c r="E112" s="6">
        <v>10.08541488</v>
      </c>
      <c r="F112" s="1">
        <f t="shared" si="7"/>
        <v>1880.2083333333251</v>
      </c>
      <c r="G112" s="17">
        <f>G110*10/12+G122*2/12</f>
        <v>3.9666666666666663</v>
      </c>
      <c r="H112" s="1">
        <f>B112*$E$1867/E112</f>
        <v>176.11212291546303</v>
      </c>
      <c r="I112" s="1">
        <f>C112*$E$1867/E112</f>
        <v>7.1441710239291618</v>
      </c>
      <c r="J112" s="26">
        <f t="shared" si="8"/>
        <v>313.64307295481962</v>
      </c>
      <c r="K112" s="1">
        <f>D112*$E$1867/E112</f>
        <v>13.540696243028524</v>
      </c>
      <c r="L112" s="26">
        <f t="shared" si="6"/>
        <v>24.115009854545089</v>
      </c>
      <c r="M112" s="10" t="s">
        <v>5</v>
      </c>
      <c r="N112" s="4" t="s">
        <v>5</v>
      </c>
      <c r="R112" s="30"/>
    </row>
    <row r="113" spans="1:19" ht="13" x14ac:dyDescent="0.3">
      <c r="A113" s="52" t="s">
        <v>129</v>
      </c>
      <c r="B113" s="6">
        <v>5.18</v>
      </c>
      <c r="C113" s="1">
        <v>0.22</v>
      </c>
      <c r="D113" s="6">
        <v>0.41670000000000001</v>
      </c>
      <c r="E113" s="6">
        <v>9.7048347110000002</v>
      </c>
      <c r="F113" s="1">
        <f t="shared" si="7"/>
        <v>1880.2916666666583</v>
      </c>
      <c r="G113" s="17">
        <f>G110*9/12+G122*3/12</f>
        <v>3.9399999999999995</v>
      </c>
      <c r="H113" s="1">
        <f>B113*$E$1867/E113</f>
        <v>178.87463791963182</v>
      </c>
      <c r="I113" s="1">
        <f>C113*$E$1867/E113</f>
        <v>7.5969923440770275</v>
      </c>
      <c r="J113" s="26">
        <f t="shared" si="8"/>
        <v>319.69038917224663</v>
      </c>
      <c r="K113" s="1">
        <f>D113*$E$1867/E113</f>
        <v>14.389394135349535</v>
      </c>
      <c r="L113" s="26">
        <f t="shared" si="6"/>
        <v>25.717178603875521</v>
      </c>
      <c r="M113" s="10" t="s">
        <v>5</v>
      </c>
      <c r="N113" s="4" t="s">
        <v>5</v>
      </c>
      <c r="R113" s="30"/>
    </row>
    <row r="114" spans="1:19" ht="13" x14ac:dyDescent="0.3">
      <c r="A114" s="52" t="s">
        <v>130</v>
      </c>
      <c r="B114" s="6">
        <v>4.7699999999999996</v>
      </c>
      <c r="C114" s="1">
        <v>0.22500000000000001</v>
      </c>
      <c r="D114" s="6">
        <v>0.42580000000000001</v>
      </c>
      <c r="E114" s="6">
        <v>9.4194198349999994</v>
      </c>
      <c r="F114" s="1">
        <f t="shared" si="7"/>
        <v>1880.3749999999916</v>
      </c>
      <c r="G114" s="17">
        <f>G110*8/12+G122*4/12</f>
        <v>3.9133333333333331</v>
      </c>
      <c r="H114" s="1">
        <f>B114*$E$1867/E114</f>
        <v>169.70763279498729</v>
      </c>
      <c r="I114" s="1">
        <f>C114*$E$1867/E114</f>
        <v>8.0050770186314786</v>
      </c>
      <c r="J114" s="26">
        <f t="shared" si="8"/>
        <v>304.49907258785856</v>
      </c>
      <c r="K114" s="1">
        <f>D114*$E$1867/E114</f>
        <v>15.149163531259036</v>
      </c>
      <c r="L114" s="26">
        <f t="shared" si="6"/>
        <v>27.181489540442389</v>
      </c>
      <c r="M114" s="10" t="s">
        <v>5</v>
      </c>
      <c r="N114" s="4" t="s">
        <v>5</v>
      </c>
      <c r="R114" s="30"/>
    </row>
    <row r="115" spans="1:19" ht="13" x14ac:dyDescent="0.3">
      <c r="A115" s="52" t="s">
        <v>131</v>
      </c>
      <c r="B115" s="6">
        <v>4.79</v>
      </c>
      <c r="C115" s="1">
        <v>0.23</v>
      </c>
      <c r="D115" s="6">
        <v>0.435</v>
      </c>
      <c r="E115" s="6">
        <v>9.229089256</v>
      </c>
      <c r="F115" s="1">
        <f t="shared" si="7"/>
        <v>1880.4583333333248</v>
      </c>
      <c r="G115" s="17">
        <f>G110*7/12+G122*5/12</f>
        <v>3.8866666666666667</v>
      </c>
      <c r="H115" s="1">
        <f>B115*$E$1867/E115</f>
        <v>173.93373310984046</v>
      </c>
      <c r="I115" s="1">
        <f>C115*$E$1867/E115</f>
        <v>8.3517241367981843</v>
      </c>
      <c r="J115" s="26">
        <f t="shared" si="8"/>
        <v>313.33054325518168</v>
      </c>
      <c r="K115" s="1">
        <f>D115*$E$1867/E115</f>
        <v>15.795652171770479</v>
      </c>
      <c r="L115" s="26">
        <f t="shared" si="6"/>
        <v>28.454861443842177</v>
      </c>
      <c r="M115" s="10" t="s">
        <v>5</v>
      </c>
      <c r="N115" s="4" t="s">
        <v>5</v>
      </c>
      <c r="R115" s="30"/>
    </row>
    <row r="116" spans="1:19" ht="13" x14ac:dyDescent="0.3">
      <c r="A116" s="52" t="s">
        <v>132</v>
      </c>
      <c r="B116" s="6">
        <v>5.01</v>
      </c>
      <c r="C116" s="1">
        <v>0.23499999999999999</v>
      </c>
      <c r="D116" s="6">
        <v>0.44419999999999998</v>
      </c>
      <c r="E116" s="6">
        <v>9.229089256</v>
      </c>
      <c r="F116" s="1">
        <f t="shared" si="7"/>
        <v>1880.5416666666581</v>
      </c>
      <c r="G116" s="17">
        <f>G110*6/12+G122*6/12</f>
        <v>3.8600000000000003</v>
      </c>
      <c r="H116" s="1">
        <f>B116*$E$1867/E116</f>
        <v>181.92233880590828</v>
      </c>
      <c r="I116" s="1">
        <f>C116*$E$1867/E116</f>
        <v>8.5332833571633611</v>
      </c>
      <c r="J116" s="26">
        <f t="shared" si="8"/>
        <v>329.00252154082273</v>
      </c>
      <c r="K116" s="1">
        <f>D116*$E$1867/E116</f>
        <v>16.129721137242406</v>
      </c>
      <c r="L116" s="26">
        <f t="shared" si="6"/>
        <v>29.170243526633421</v>
      </c>
      <c r="M116" s="10" t="s">
        <v>5</v>
      </c>
      <c r="N116" s="4" t="s">
        <v>5</v>
      </c>
      <c r="R116" s="30"/>
    </row>
    <row r="117" spans="1:19" ht="13" x14ac:dyDescent="0.3">
      <c r="A117" s="52" t="s">
        <v>133</v>
      </c>
      <c r="B117" s="6">
        <v>5.19</v>
      </c>
      <c r="C117" s="1">
        <v>0.24</v>
      </c>
      <c r="D117" s="6">
        <v>0.45329999999999998</v>
      </c>
      <c r="E117" s="6">
        <v>9.229089256</v>
      </c>
      <c r="F117" s="1">
        <f t="shared" si="7"/>
        <v>1880.6249999999914</v>
      </c>
      <c r="G117" s="17">
        <f>G110*5/12+G122*7/12</f>
        <v>3.8333333333333335</v>
      </c>
      <c r="H117" s="1">
        <f>B117*$E$1867/E117</f>
        <v>188.45847073905469</v>
      </c>
      <c r="I117" s="1">
        <f>C117*$E$1867/E117</f>
        <v>8.7148425775285396</v>
      </c>
      <c r="J117" s="26">
        <f t="shared" si="8"/>
        <v>342.13635473606519</v>
      </c>
      <c r="K117" s="1">
        <f>D117*$E$1867/E117</f>
        <v>16.46015891830703</v>
      </c>
      <c r="L117" s="26">
        <f t="shared" si="6"/>
        <v>29.882545202670201</v>
      </c>
      <c r="M117" s="10" t="s">
        <v>5</v>
      </c>
      <c r="N117" s="4" t="s">
        <v>5</v>
      </c>
      <c r="R117" s="30"/>
    </row>
    <row r="118" spans="1:19" ht="13" x14ac:dyDescent="0.3">
      <c r="A118" s="52" t="s">
        <v>134</v>
      </c>
      <c r="B118" s="6">
        <v>5.18</v>
      </c>
      <c r="C118" s="1">
        <v>0.245</v>
      </c>
      <c r="D118" s="6">
        <v>0.46250000000000002</v>
      </c>
      <c r="E118" s="6">
        <v>9.3242545450000005</v>
      </c>
      <c r="F118" s="1">
        <f t="shared" si="7"/>
        <v>1880.7083333333246</v>
      </c>
      <c r="G118" s="17">
        <f>G110*4/12+G122*8/12</f>
        <v>3.8066666666666666</v>
      </c>
      <c r="H118" s="1">
        <f>B118*$E$1867/E118</f>
        <v>186.17561185423426</v>
      </c>
      <c r="I118" s="1">
        <f>C118*$E$1867/E118</f>
        <v>8.8056032633759447</v>
      </c>
      <c r="J118" s="26">
        <f t="shared" si="8"/>
        <v>339.32412101156194</v>
      </c>
      <c r="K118" s="1">
        <f>D118*$E$1867/E118</f>
        <v>16.622822486985207</v>
      </c>
      <c r="L118" s="26">
        <f t="shared" si="6"/>
        <v>30.296796518889469</v>
      </c>
      <c r="M118" s="10" t="s">
        <v>5</v>
      </c>
      <c r="N118" s="4" t="s">
        <v>5</v>
      </c>
      <c r="R118" s="30"/>
    </row>
    <row r="119" spans="1:19" ht="13" x14ac:dyDescent="0.3">
      <c r="A119" s="52" t="s">
        <v>135</v>
      </c>
      <c r="B119" s="6">
        <v>5.33</v>
      </c>
      <c r="C119" s="1">
        <v>0.25</v>
      </c>
      <c r="D119" s="6">
        <v>0.47170000000000001</v>
      </c>
      <c r="E119" s="6">
        <v>9.3242545450000005</v>
      </c>
      <c r="F119" s="1">
        <f t="shared" si="7"/>
        <v>1880.7916666666579</v>
      </c>
      <c r="G119" s="17">
        <f>G110*3/12+G122*9/12</f>
        <v>3.7800000000000002</v>
      </c>
      <c r="H119" s="1">
        <f>B119*$E$1867/E119</f>
        <v>191.56679752568894</v>
      </c>
      <c r="I119" s="1">
        <f>C119*$E$1867/E119</f>
        <v>8.9853094524244348</v>
      </c>
      <c r="J119" s="26">
        <f t="shared" si="8"/>
        <v>350.51482963565627</v>
      </c>
      <c r="K119" s="1">
        <f>D119*$E$1867/E119</f>
        <v>16.953481874834424</v>
      </c>
      <c r="L119" s="26">
        <f t="shared" si="6"/>
        <v>31.020233609594573</v>
      </c>
      <c r="M119" s="10" t="s">
        <v>5</v>
      </c>
      <c r="N119" s="4" t="s">
        <v>5</v>
      </c>
      <c r="R119" s="30"/>
    </row>
    <row r="120" spans="1:19" ht="13" x14ac:dyDescent="0.3">
      <c r="A120" s="52" t="s">
        <v>136</v>
      </c>
      <c r="B120" s="6">
        <v>5.61</v>
      </c>
      <c r="C120" s="1">
        <v>0.255</v>
      </c>
      <c r="D120" s="6">
        <v>0.48080000000000001</v>
      </c>
      <c r="E120" s="6">
        <v>9.4194198349999994</v>
      </c>
      <c r="F120" s="1">
        <f t="shared" si="7"/>
        <v>1880.8749999999911</v>
      </c>
      <c r="G120" s="17">
        <f>G110*2/12+G122*10/12</f>
        <v>3.7533333333333334</v>
      </c>
      <c r="H120" s="1">
        <f>B120*$E$1867/E120</f>
        <v>199.59325366454485</v>
      </c>
      <c r="I120" s="1">
        <f>C120*$E$1867/E120</f>
        <v>9.0724206211156755</v>
      </c>
      <c r="J120" s="26">
        <f t="shared" si="8"/>
        <v>366.58438575506921</v>
      </c>
      <c r="K120" s="1">
        <f>D120*$E$1867/E120</f>
        <v>17.105960135813397</v>
      </c>
      <c r="L120" s="26">
        <f t="shared" si="6"/>
        <v>31.417784789846216</v>
      </c>
      <c r="M120" s="10" t="s">
        <v>5</v>
      </c>
      <c r="N120" s="4" t="s">
        <v>5</v>
      </c>
      <c r="R120" s="30"/>
    </row>
    <row r="121" spans="1:19" ht="13" x14ac:dyDescent="0.3">
      <c r="A121" s="52" t="s">
        <v>137</v>
      </c>
      <c r="B121" s="6">
        <v>5.84</v>
      </c>
      <c r="C121" s="1">
        <v>0.26</v>
      </c>
      <c r="D121" s="6">
        <v>0.49</v>
      </c>
      <c r="E121" s="6">
        <v>9.5145851239999999</v>
      </c>
      <c r="F121" s="1">
        <f t="shared" si="7"/>
        <v>1880.9583333333244</v>
      </c>
      <c r="G121" s="17">
        <f>G110*1/12+G122*11/12</f>
        <v>3.726666666666667</v>
      </c>
      <c r="H121" s="1">
        <f>B121*$E$1867/E121</f>
        <v>205.69803459567007</v>
      </c>
      <c r="I121" s="1">
        <f>C121*$E$1867/E121</f>
        <v>9.1577892114510657</v>
      </c>
      <c r="J121" s="26">
        <f t="shared" si="8"/>
        <v>379.19841887489645</v>
      </c>
      <c r="K121" s="1">
        <f>D121*$E$1867/E121</f>
        <v>17.258910436965468</v>
      </c>
      <c r="L121" s="26">
        <f t="shared" si="6"/>
        <v>31.816305693270422</v>
      </c>
      <c r="M121" s="10" t="s">
        <v>5</v>
      </c>
      <c r="N121" s="4" t="s">
        <v>5</v>
      </c>
      <c r="R121" s="30"/>
    </row>
    <row r="122" spans="1:19" ht="13" x14ac:dyDescent="0.3">
      <c r="A122" s="52" t="s">
        <v>138</v>
      </c>
      <c r="B122" s="6">
        <v>6.19</v>
      </c>
      <c r="C122" s="1">
        <v>0.26500000000000001</v>
      </c>
      <c r="D122" s="6">
        <v>0.48580000000000001</v>
      </c>
      <c r="E122" s="6">
        <v>9.4194198349999994</v>
      </c>
      <c r="F122" s="1">
        <f t="shared" si="7"/>
        <v>1881.0416666666576</v>
      </c>
      <c r="G122" s="17">
        <v>3.7</v>
      </c>
      <c r="H122" s="1">
        <f>B122*$E$1867/E122</f>
        <v>220.22856331257265</v>
      </c>
      <c r="I122" s="1">
        <f>C122*$E$1867/E122</f>
        <v>9.4282018219437411</v>
      </c>
      <c r="J122" s="26">
        <f t="shared" si="8"/>
        <v>407.43341616882554</v>
      </c>
      <c r="K122" s="1">
        <f>D122*$E$1867/E122</f>
        <v>17.283850736227432</v>
      </c>
      <c r="L122" s="26">
        <f t="shared" si="6"/>
        <v>31.975953727756941</v>
      </c>
      <c r="M122" s="10">
        <f>H122/AVERAGE(K2:K121)</f>
        <v>18.47395230140495</v>
      </c>
      <c r="N122" s="4">
        <f>J122/AVERAGE(L2:L121)</f>
        <v>24.135057421965033</v>
      </c>
      <c r="O122" s="36">
        <f>1/M122-(G122/100-(((E122/E2)^(1/10))-1))</f>
        <v>-1.0488744813437111E-2</v>
      </c>
      <c r="R122" s="30"/>
      <c r="S122" s="30"/>
    </row>
    <row r="123" spans="1:19" ht="13" x14ac:dyDescent="0.3">
      <c r="A123" s="52" t="s">
        <v>139</v>
      </c>
      <c r="B123" s="6">
        <v>6.17</v>
      </c>
      <c r="C123" s="1">
        <v>0.27</v>
      </c>
      <c r="D123" s="6">
        <v>0.48170000000000002</v>
      </c>
      <c r="E123" s="6">
        <v>9.5145851239999999</v>
      </c>
      <c r="F123" s="1">
        <f t="shared" si="7"/>
        <v>1881.1249999999909</v>
      </c>
      <c r="G123" s="17">
        <f>G122*11/12+G134*1/12</f>
        <v>3.6933333333333338</v>
      </c>
      <c r="H123" s="1">
        <f>B123*$E$1867/E123</f>
        <v>217.32138244097334</v>
      </c>
      <c r="I123" s="1">
        <f>C123*$E$1867/E123</f>
        <v>9.5100118734299528</v>
      </c>
      <c r="J123" s="26">
        <f t="shared" si="8"/>
        <v>403.52115685274538</v>
      </c>
      <c r="K123" s="1">
        <f>D123*$E$1867/E123</f>
        <v>16.966565627522993</v>
      </c>
      <c r="L123" s="26">
        <f t="shared" si="6"/>
        <v>31.503426459638163</v>
      </c>
      <c r="M123" s="10">
        <f t="shared" ref="M123:M185" si="9">H123/AVERAGE(K3:K122)</f>
        <v>18.147258164990248</v>
      </c>
      <c r="N123" s="4">
        <f t="shared" ref="N123:N185" si="10">J123/AVERAGE(L3:L122)</f>
        <v>23.655503266150117</v>
      </c>
      <c r="O123" s="36">
        <f>1/M123-(G123/100-(((E123/E3)^(1/10))-1))</f>
        <v>-1.1392839551264099E-2</v>
      </c>
      <c r="R123" s="30"/>
      <c r="S123" s="30"/>
    </row>
    <row r="124" spans="1:19" ht="13" x14ac:dyDescent="0.3">
      <c r="A124" s="52" t="s">
        <v>140</v>
      </c>
      <c r="B124" s="6">
        <v>6.24</v>
      </c>
      <c r="C124" s="1">
        <v>0.27500000000000002</v>
      </c>
      <c r="D124" s="6">
        <v>0.47749999999999998</v>
      </c>
      <c r="E124" s="6">
        <v>9.5145851239999999</v>
      </c>
      <c r="F124" s="1">
        <f t="shared" si="7"/>
        <v>1881.2083333333242</v>
      </c>
      <c r="G124" s="17">
        <f>G122*10/12+G134*2/12</f>
        <v>3.686666666666667</v>
      </c>
      <c r="H124" s="1">
        <f>B124*$E$1867/E124</f>
        <v>219.78694107482559</v>
      </c>
      <c r="I124" s="1">
        <f>C124*$E$1867/E124</f>
        <v>9.6861232044193972</v>
      </c>
      <c r="J124" s="26">
        <f t="shared" si="8"/>
        <v>409.59795439313996</v>
      </c>
      <c r="K124" s="1">
        <f>D124*$E$1867/E124</f>
        <v>16.818632109491862</v>
      </c>
      <c r="L124" s="26">
        <f t="shared" si="6"/>
        <v>31.343433208769923</v>
      </c>
      <c r="M124" s="10">
        <f t="shared" si="9"/>
        <v>18.270119140205008</v>
      </c>
      <c r="N124" s="4">
        <f t="shared" si="10"/>
        <v>23.767712891469269</v>
      </c>
      <c r="O124" s="36">
        <f>1/M124-(G124/100-(((E124/E4)^(1/10))-1))</f>
        <v>-1.3123118077292398E-2</v>
      </c>
      <c r="R124" s="30"/>
      <c r="S124" s="30"/>
    </row>
    <row r="125" spans="1:19" ht="13" x14ac:dyDescent="0.3">
      <c r="A125" s="52" t="s">
        <v>141</v>
      </c>
      <c r="B125" s="6">
        <v>6.22</v>
      </c>
      <c r="C125" s="1">
        <v>0.28000000000000003</v>
      </c>
      <c r="D125" s="6">
        <v>0.4733</v>
      </c>
      <c r="E125" s="6">
        <v>9.6096694209999995</v>
      </c>
      <c r="F125" s="1">
        <f t="shared" si="7"/>
        <v>1881.2916666666574</v>
      </c>
      <c r="G125" s="17">
        <f>G122*9/12+G134*3/12</f>
        <v>3.68</v>
      </c>
      <c r="H125" s="1">
        <f>B125*$E$1867/E125</f>
        <v>216.91475155688394</v>
      </c>
      <c r="I125" s="1">
        <f>C125*$E$1867/E125</f>
        <v>9.7646511954867385</v>
      </c>
      <c r="J125" s="26">
        <f t="shared" si="8"/>
        <v>405.76176413784577</v>
      </c>
      <c r="K125" s="1">
        <f>D125*$E$1867/E125</f>
        <v>16.505747895799548</v>
      </c>
      <c r="L125" s="26">
        <f t="shared" si="6"/>
        <v>30.875730380456982</v>
      </c>
      <c r="M125" s="10">
        <f t="shared" si="9"/>
        <v>17.950108278222903</v>
      </c>
      <c r="N125" s="4">
        <f t="shared" si="10"/>
        <v>23.3088501171415</v>
      </c>
      <c r="O125" s="36">
        <f>1/M125-(G125/100-(((E125/E5)^(1/10))-1))</f>
        <v>-7.5035017219817965E-3</v>
      </c>
      <c r="R125" s="30"/>
      <c r="S125" s="30"/>
    </row>
    <row r="126" spans="1:19" ht="13" x14ac:dyDescent="0.3">
      <c r="A126" s="52" t="s">
        <v>142</v>
      </c>
      <c r="B126" s="6">
        <v>6.5</v>
      </c>
      <c r="C126" s="1">
        <v>0.28499999999999998</v>
      </c>
      <c r="D126" s="6">
        <v>0.46920000000000001</v>
      </c>
      <c r="E126" s="6">
        <v>9.5145851239999999</v>
      </c>
      <c r="F126" s="1">
        <f t="shared" si="7"/>
        <v>1881.3749999999907</v>
      </c>
      <c r="G126" s="17">
        <f>G122*8/12+G134*4/12</f>
        <v>3.6733333333333338</v>
      </c>
      <c r="H126" s="1">
        <f>B126*$E$1867/E126</f>
        <v>228.94473028627664</v>
      </c>
      <c r="I126" s="1">
        <f>C126*$E$1867/E126</f>
        <v>10.038345866398283</v>
      </c>
      <c r="J126" s="26">
        <f t="shared" si="8"/>
        <v>429.829914251915</v>
      </c>
      <c r="K126" s="1">
        <f>D126*$E$1867/E126</f>
        <v>16.526287300049383</v>
      </c>
      <c r="L126" s="26">
        <f t="shared" si="6"/>
        <v>31.02710704107669</v>
      </c>
      <c r="M126" s="10">
        <f t="shared" si="9"/>
        <v>18.86971869315261</v>
      </c>
      <c r="N126" s="4">
        <f t="shared" si="10"/>
        <v>24.456686047737911</v>
      </c>
      <c r="O126" s="36">
        <f>1/M126-(G126/100-(((E126/E6)^(1/10))-1))</f>
        <v>-8.8810899862742584E-3</v>
      </c>
      <c r="R126" s="30"/>
      <c r="S126" s="30"/>
    </row>
    <row r="127" spans="1:19" ht="13" x14ac:dyDescent="0.3">
      <c r="A127" s="52" t="s">
        <v>143</v>
      </c>
      <c r="B127" s="6">
        <v>6.58</v>
      </c>
      <c r="C127" s="1">
        <v>0.28999999999999998</v>
      </c>
      <c r="D127" s="6">
        <v>0.46500000000000002</v>
      </c>
      <c r="E127" s="6">
        <v>9.5145851239999999</v>
      </c>
      <c r="F127" s="1">
        <f t="shared" si="7"/>
        <v>1881.4583333333239</v>
      </c>
      <c r="G127" s="17">
        <f>G122*7/12+G134*5/12</f>
        <v>3.666666666666667</v>
      </c>
      <c r="H127" s="1">
        <f>B127*$E$1867/E127</f>
        <v>231.76251158210772</v>
      </c>
      <c r="I127" s="1">
        <f>C127*$E$1867/E127</f>
        <v>10.214457197387725</v>
      </c>
      <c r="J127" s="26">
        <f t="shared" si="8"/>
        <v>436.71821415979821</v>
      </c>
      <c r="K127" s="1">
        <f>D127*$E$1867/E127</f>
        <v>16.378353782018255</v>
      </c>
      <c r="L127" s="26">
        <f t="shared" si="6"/>
        <v>30.862305407949275</v>
      </c>
      <c r="M127" s="10">
        <f t="shared" si="9"/>
        <v>19.028710731115797</v>
      </c>
      <c r="N127" s="4">
        <f t="shared" si="10"/>
        <v>24.616330670871371</v>
      </c>
      <c r="O127" s="36">
        <f>1/M127-(G127/100-(((E127/E7)^(1/10))-1))</f>
        <v>-7.7324654335102494E-3</v>
      </c>
      <c r="R127" s="30"/>
      <c r="S127" s="30"/>
    </row>
    <row r="128" spans="1:19" ht="13" x14ac:dyDescent="0.3">
      <c r="A128" s="52" t="s">
        <v>144</v>
      </c>
      <c r="B128" s="6">
        <v>6.35</v>
      </c>
      <c r="C128" s="1">
        <v>0.29499999999999998</v>
      </c>
      <c r="D128" s="6">
        <v>0.46079999999999999</v>
      </c>
      <c r="E128" s="6">
        <v>9.6096694209999995</v>
      </c>
      <c r="F128" s="1">
        <f t="shared" si="7"/>
        <v>1881.5416666666572</v>
      </c>
      <c r="G128" s="17">
        <f>G122*6/12+G134*6/12</f>
        <v>3.66</v>
      </c>
      <c r="H128" s="1">
        <f>B128*$E$1867/E128</f>
        <v>221.44833961193137</v>
      </c>
      <c r="I128" s="1">
        <f>C128*$E$1867/E128</f>
        <v>10.287757509530671</v>
      </c>
      <c r="J128" s="26">
        <f t="shared" si="8"/>
        <v>418.89832397183437</v>
      </c>
      <c r="K128" s="1">
        <f>D128*$E$1867/E128</f>
        <v>16.069825967429601</v>
      </c>
      <c r="L128" s="26">
        <f t="shared" si="6"/>
        <v>30.398164989956104</v>
      </c>
      <c r="M128" s="10">
        <f t="shared" si="9"/>
        <v>18.116367187389756</v>
      </c>
      <c r="N128" s="4">
        <f t="shared" si="10"/>
        <v>23.397455434510501</v>
      </c>
      <c r="O128" s="36">
        <f>1/M128-(G128/100-(((E128/E8)^(1/10))-1))</f>
        <v>-4.0478721406957408E-3</v>
      </c>
      <c r="R128" s="30"/>
      <c r="S128" s="30"/>
    </row>
    <row r="129" spans="1:19" ht="13" x14ac:dyDescent="0.3">
      <c r="A129" s="52" t="s">
        <v>145</v>
      </c>
      <c r="B129" s="6">
        <v>6.2</v>
      </c>
      <c r="C129" s="1">
        <v>0.3</v>
      </c>
      <c r="D129" s="6">
        <v>0.45669999999999999</v>
      </c>
      <c r="E129" s="6">
        <v>9.8000000000000007</v>
      </c>
      <c r="F129" s="1">
        <f t="shared" si="7"/>
        <v>1881.6249999999905</v>
      </c>
      <c r="G129" s="17">
        <f>G122*5/12+G134*7/12</f>
        <v>3.6533333333333333</v>
      </c>
      <c r="H129" s="1">
        <f>B129*$E$1867/E129</f>
        <v>212.01801530612244</v>
      </c>
      <c r="I129" s="1">
        <f>C129*$E$1867/E129</f>
        <v>10.258936224489794</v>
      </c>
      <c r="J129" s="26">
        <f t="shared" si="8"/>
        <v>402.67681551530279</v>
      </c>
      <c r="K129" s="1">
        <f>D129*$E$1867/E129</f>
        <v>15.617520579081631</v>
      </c>
      <c r="L129" s="26">
        <f t="shared" si="6"/>
        <v>29.661693813844963</v>
      </c>
      <c r="M129" s="10">
        <f t="shared" si="9"/>
        <v>17.286243553973463</v>
      </c>
      <c r="N129" s="4">
        <f t="shared" si="10"/>
        <v>22.294300579943215</v>
      </c>
      <c r="O129" s="36">
        <f>1/M129-(G129/100-(((E129/E9)^(1/10))-1))</f>
        <v>2.1436052233797728E-3</v>
      </c>
      <c r="R129" s="30"/>
      <c r="S129" s="30"/>
    </row>
    <row r="130" spans="1:19" ht="13" x14ac:dyDescent="0.3">
      <c r="A130" s="52" t="s">
        <v>146</v>
      </c>
      <c r="B130" s="6">
        <v>6.25</v>
      </c>
      <c r="C130" s="1">
        <v>0.30499999999999999</v>
      </c>
      <c r="D130" s="6">
        <v>0.45250000000000001</v>
      </c>
      <c r="E130" s="6">
        <v>10.180580170000001</v>
      </c>
      <c r="F130" s="1">
        <f t="shared" si="7"/>
        <v>1881.7083333333237</v>
      </c>
      <c r="G130" s="17">
        <f>G122*4/12+G134*8/12</f>
        <v>3.6466666666666669</v>
      </c>
      <c r="H130" s="1">
        <f>B130*$E$1867/E130</f>
        <v>205.73805986736804</v>
      </c>
      <c r="I130" s="1">
        <f>C130*$E$1867/E130</f>
        <v>10.040017321527561</v>
      </c>
      <c r="J130" s="26">
        <f t="shared" si="8"/>
        <v>392.33861097989291</v>
      </c>
      <c r="K130" s="1">
        <f>D130*$E$1867/E130</f>
        <v>14.895435534397446</v>
      </c>
      <c r="L130" s="26">
        <f t="shared" si="6"/>
        <v>28.405315434944246</v>
      </c>
      <c r="M130" s="10">
        <f t="shared" si="9"/>
        <v>16.724836648772914</v>
      </c>
      <c r="N130" s="4">
        <f t="shared" si="10"/>
        <v>21.542784022650451</v>
      </c>
      <c r="O130" s="36">
        <f>1/M130-(G130/100-(((E130/E10)^(1/10))-1))</f>
        <v>5.5640506219196834E-3</v>
      </c>
      <c r="R130" s="30"/>
      <c r="S130" s="30"/>
    </row>
    <row r="131" spans="1:19" ht="13" x14ac:dyDescent="0.3">
      <c r="A131" s="52" t="s">
        <v>147</v>
      </c>
      <c r="B131" s="6">
        <v>6.15</v>
      </c>
      <c r="C131" s="1">
        <v>0.31</v>
      </c>
      <c r="D131" s="6">
        <v>0.44829999999999998</v>
      </c>
      <c r="E131" s="6">
        <v>10.275745450000001</v>
      </c>
      <c r="F131" s="1">
        <f t="shared" si="7"/>
        <v>1881.791666666657</v>
      </c>
      <c r="G131" s="17">
        <f>G122*3/12+G134*9/12</f>
        <v>3.64</v>
      </c>
      <c r="H131" s="1">
        <f>B131*$E$1867/E131</f>
        <v>200.57136463029065</v>
      </c>
      <c r="I131" s="1">
        <f>C131*$E$1867/E131</f>
        <v>10.110101306567495</v>
      </c>
      <c r="J131" s="26">
        <f t="shared" si="8"/>
        <v>384.09246808436831</v>
      </c>
      <c r="K131" s="1">
        <f>D131*$E$1867/E131</f>
        <v>14.620511018497446</v>
      </c>
      <c r="L131" s="26">
        <f t="shared" ref="L131:L194" si="11">K131*(J131/H131)</f>
        <v>27.99815503125566</v>
      </c>
      <c r="M131" s="10">
        <f t="shared" si="9"/>
        <v>16.261989411181368</v>
      </c>
      <c r="N131" s="4">
        <f t="shared" si="10"/>
        <v>20.92731930651663</v>
      </c>
      <c r="O131" s="36">
        <f>1/M131-(G131/100-(((E131/E11)^(1/10))-1))</f>
        <v>6.7240357476536783E-3</v>
      </c>
      <c r="R131" s="30"/>
      <c r="S131" s="30"/>
    </row>
    <row r="132" spans="1:19" ht="13" x14ac:dyDescent="0.3">
      <c r="A132" s="52" t="s">
        <v>148</v>
      </c>
      <c r="B132" s="6">
        <v>6.19</v>
      </c>
      <c r="C132" s="1">
        <v>0.315</v>
      </c>
      <c r="D132" s="6">
        <v>0.44419999999999998</v>
      </c>
      <c r="E132" s="6">
        <v>10.180580170000001</v>
      </c>
      <c r="F132" s="1">
        <f t="shared" ref="F132:F195" si="12">F131+1/12</f>
        <v>1881.8749999999902</v>
      </c>
      <c r="G132" s="17">
        <f>G122*2/12+G134*10/12</f>
        <v>3.6333333333333337</v>
      </c>
      <c r="H132" s="1">
        <f>B132*$E$1867/E132</f>
        <v>203.76297449264129</v>
      </c>
      <c r="I132" s="1">
        <f>C132*$E$1867/E132</f>
        <v>10.369198217315349</v>
      </c>
      <c r="J132" s="26">
        <f t="shared" ref="J132:J195" si="13">J131*((H132+(I132/12))/H131)</f>
        <v>391.85911790836553</v>
      </c>
      <c r="K132" s="1">
        <f>D132*$E$1867/E132</f>
        <v>14.622215390893579</v>
      </c>
      <c r="L132" s="26">
        <f t="shared" si="11"/>
        <v>28.120164810160897</v>
      </c>
      <c r="M132" s="10">
        <f t="shared" si="9"/>
        <v>16.47864231664488</v>
      </c>
      <c r="N132" s="4">
        <f t="shared" si="10"/>
        <v>21.189774650457203</v>
      </c>
      <c r="O132" s="36">
        <f>1/M132-(G132/100-(((E132/E12)^(1/10))-1))</f>
        <v>5.0693073656583945E-3</v>
      </c>
      <c r="R132" s="30"/>
      <c r="S132" s="30"/>
    </row>
    <row r="133" spans="1:19" ht="13" x14ac:dyDescent="0.3">
      <c r="A133" s="52" t="s">
        <v>149</v>
      </c>
      <c r="B133" s="6">
        <v>6.01</v>
      </c>
      <c r="C133" s="1">
        <v>0.32</v>
      </c>
      <c r="D133" s="6">
        <v>0.44</v>
      </c>
      <c r="E133" s="6">
        <v>10.180580170000001</v>
      </c>
      <c r="F133" s="1">
        <f t="shared" si="12"/>
        <v>1881.9583333333235</v>
      </c>
      <c r="G133" s="17">
        <f>G122*1/12+G134*11/12</f>
        <v>3.6266666666666669</v>
      </c>
      <c r="H133" s="1">
        <f>B133*$E$1867/E133</f>
        <v>197.83771836846111</v>
      </c>
      <c r="I133" s="1">
        <f>C133*$E$1867/E133</f>
        <v>10.533788665209244</v>
      </c>
      <c r="J133" s="26">
        <f t="shared" si="13"/>
        <v>382.15232231128164</v>
      </c>
      <c r="K133" s="1">
        <f>D133*$E$1867/E133</f>
        <v>14.483959414662708</v>
      </c>
      <c r="L133" s="26">
        <f t="shared" si="11"/>
        <v>27.977873846416621</v>
      </c>
      <c r="M133" s="10">
        <f t="shared" si="9"/>
        <v>15.958754206105093</v>
      </c>
      <c r="N133" s="4">
        <f t="shared" si="10"/>
        <v>20.509855894384831</v>
      </c>
      <c r="O133" s="36">
        <f>1/M133-(G133/100-(((E133/E13)^(1/10))-1))</f>
        <v>4.877507108947049E-3</v>
      </c>
      <c r="R133" s="30"/>
      <c r="S133" s="30"/>
    </row>
    <row r="134" spans="1:19" ht="13" x14ac:dyDescent="0.3">
      <c r="A134" s="52" t="s">
        <v>150</v>
      </c>
      <c r="B134" s="6">
        <v>5.92</v>
      </c>
      <c r="C134" s="1">
        <v>0.32</v>
      </c>
      <c r="D134" s="6">
        <v>0.43919999999999998</v>
      </c>
      <c r="E134" s="6">
        <v>10.180580170000001</v>
      </c>
      <c r="F134" s="1">
        <f t="shared" si="12"/>
        <v>1882.0416666666567</v>
      </c>
      <c r="G134" s="17">
        <v>3.62</v>
      </c>
      <c r="H134" s="1">
        <f>B134*$E$1867/E134</f>
        <v>194.87509030637099</v>
      </c>
      <c r="I134" s="1">
        <f>C134*$E$1867/E134</f>
        <v>10.533788665209244</v>
      </c>
      <c r="J134" s="26">
        <f t="shared" si="13"/>
        <v>378.12520410611558</v>
      </c>
      <c r="K134" s="1">
        <f>D134*$E$1867/E134</f>
        <v>14.457624942999686</v>
      </c>
      <c r="L134" s="26">
        <f t="shared" si="11"/>
        <v>28.052802304629385</v>
      </c>
      <c r="M134" s="10">
        <f t="shared" si="9"/>
        <v>15.678764160028759</v>
      </c>
      <c r="N134" s="4">
        <f t="shared" si="10"/>
        <v>20.142053775383278</v>
      </c>
      <c r="O134" s="36">
        <f>1/M134-(G134/100-(((E134/E14)^(1/10))-1))</f>
        <v>6.0631781355542994E-3</v>
      </c>
      <c r="R134" s="30"/>
      <c r="S134" s="30"/>
    </row>
    <row r="135" spans="1:19" ht="13" x14ac:dyDescent="0.3">
      <c r="A135" s="52" t="s">
        <v>151</v>
      </c>
      <c r="B135" s="6">
        <v>5.79</v>
      </c>
      <c r="C135" s="1">
        <v>0.32</v>
      </c>
      <c r="D135" s="6">
        <v>0.43830000000000002</v>
      </c>
      <c r="E135" s="6">
        <v>10.275745450000001</v>
      </c>
      <c r="F135" s="1">
        <f t="shared" si="12"/>
        <v>1882.12499999999</v>
      </c>
      <c r="G135" s="17">
        <f>G134*11/12+G146*1/12</f>
        <v>3.6208333333333336</v>
      </c>
      <c r="H135" s="1">
        <f>B135*$E$1867/E135</f>
        <v>188.83060182266385</v>
      </c>
      <c r="I135" s="1">
        <f>C135*$E$1867/E135</f>
        <v>10.43623360677935</v>
      </c>
      <c r="J135" s="26">
        <f t="shared" si="13"/>
        <v>368.08429435385307</v>
      </c>
      <c r="K135" s="1">
        <f>D135*$E$1867/E135</f>
        <v>14.294378718285593</v>
      </c>
      <c r="L135" s="26">
        <f t="shared" si="11"/>
        <v>27.863790365335721</v>
      </c>
      <c r="M135" s="10">
        <f t="shared" si="9"/>
        <v>15.153861528363056</v>
      </c>
      <c r="N135" s="4">
        <f t="shared" si="10"/>
        <v>19.462129672651734</v>
      </c>
      <c r="O135" s="36">
        <f>1/M135-(G135/100-(((E135/E15)^(1/10))-1))</f>
        <v>9.1749223696453094E-3</v>
      </c>
      <c r="R135" s="30"/>
      <c r="S135" s="30"/>
    </row>
    <row r="136" spans="1:19" ht="13" x14ac:dyDescent="0.3">
      <c r="A136" s="52" t="s">
        <v>152</v>
      </c>
      <c r="B136" s="6">
        <v>5.78</v>
      </c>
      <c r="C136" s="1">
        <v>0.32</v>
      </c>
      <c r="D136" s="6">
        <v>0.4375</v>
      </c>
      <c r="E136" s="6">
        <v>10.275745450000001</v>
      </c>
      <c r="F136" s="1">
        <f t="shared" si="12"/>
        <v>1882.2083333333233</v>
      </c>
      <c r="G136" s="17">
        <f>G134*10/12+G146*2/12</f>
        <v>3.621666666666667</v>
      </c>
      <c r="H136" s="1">
        <f>B136*$E$1867/E136</f>
        <v>188.50446952245201</v>
      </c>
      <c r="I136" s="1">
        <f>C136*$E$1867/E136</f>
        <v>10.43623360677935</v>
      </c>
      <c r="J136" s="26">
        <f t="shared" si="13"/>
        <v>369.14383463696726</v>
      </c>
      <c r="K136" s="1">
        <f>D136*$E$1867/E136</f>
        <v>14.268288134268643</v>
      </c>
      <c r="L136" s="26">
        <f t="shared" si="11"/>
        <v>27.941250459113004</v>
      </c>
      <c r="M136" s="10">
        <f t="shared" si="9"/>
        <v>15.091670299486761</v>
      </c>
      <c r="N136" s="4">
        <f t="shared" si="10"/>
        <v>19.377440588099812</v>
      </c>
      <c r="O136" s="36">
        <f>1/M136-(G136/100-(((E136/E16)^(1/10))-1))</f>
        <v>7.9781280657484979E-3</v>
      </c>
      <c r="R136" s="30"/>
      <c r="S136" s="30"/>
    </row>
    <row r="137" spans="1:19" ht="13" x14ac:dyDescent="0.3">
      <c r="A137" s="52" t="s">
        <v>153</v>
      </c>
      <c r="B137" s="6">
        <v>5.78</v>
      </c>
      <c r="C137" s="1">
        <v>0.32</v>
      </c>
      <c r="D137" s="6">
        <v>0.43669999999999998</v>
      </c>
      <c r="E137" s="6">
        <v>10.370910739999999</v>
      </c>
      <c r="F137" s="1">
        <f t="shared" si="12"/>
        <v>1882.2916666666565</v>
      </c>
      <c r="G137" s="17">
        <f>G134*9/12+G146*3/12</f>
        <v>3.6225000000000001</v>
      </c>
      <c r="H137" s="1">
        <f>B137*$E$1867/E137</f>
        <v>186.7747195556328</v>
      </c>
      <c r="I137" s="1">
        <f>C137*$E$1867/E137</f>
        <v>10.340468902733996</v>
      </c>
      <c r="J137" s="26">
        <f t="shared" si="13"/>
        <v>367.4439642061231</v>
      </c>
      <c r="K137" s="1">
        <f>D137*$E$1867/E137</f>
        <v>14.111508655699799</v>
      </c>
      <c r="L137" s="26">
        <f t="shared" si="11"/>
        <v>27.761726499794801</v>
      </c>
      <c r="M137" s="10">
        <f t="shared" si="9"/>
        <v>14.916997168375316</v>
      </c>
      <c r="N137" s="4">
        <f t="shared" si="10"/>
        <v>19.149099336903049</v>
      </c>
      <c r="O137" s="36">
        <f>1/M137-(G137/100-(((E137/E17)^(1/10))-1))</f>
        <v>7.4981727357587083E-3</v>
      </c>
      <c r="R137" s="30"/>
      <c r="S137" s="30"/>
    </row>
    <row r="138" spans="1:19" ht="13" x14ac:dyDescent="0.3">
      <c r="A138" s="52" t="s">
        <v>154</v>
      </c>
      <c r="B138" s="6">
        <v>5.71</v>
      </c>
      <c r="C138" s="1">
        <v>0.32</v>
      </c>
      <c r="D138" s="6">
        <v>0.43580000000000002</v>
      </c>
      <c r="E138" s="6">
        <v>10.465995039999999</v>
      </c>
      <c r="F138" s="1">
        <f t="shared" si="12"/>
        <v>1882.3749999999898</v>
      </c>
      <c r="G138" s="17">
        <f>G134*8/12+G146*4/12</f>
        <v>3.6233333333333335</v>
      </c>
      <c r="H138" s="1">
        <f>B138*$E$1867/E138</f>
        <v>182.83643076329989</v>
      </c>
      <c r="I138" s="1">
        <f>C138*$E$1867/E138</f>
        <v>10.246525016507174</v>
      </c>
      <c r="J138" s="26">
        <f t="shared" si="13"/>
        <v>361.37596706074095</v>
      </c>
      <c r="K138" s="1">
        <f>D138*$E$1867/E138</f>
        <v>13.954486256855709</v>
      </c>
      <c r="L138" s="26">
        <f t="shared" si="11"/>
        <v>27.581023895809267</v>
      </c>
      <c r="M138" s="10">
        <f t="shared" si="9"/>
        <v>14.567103202191772</v>
      </c>
      <c r="N138" s="4">
        <f t="shared" si="10"/>
        <v>18.698420500259189</v>
      </c>
      <c r="O138" s="36">
        <f>1/M138-(G138/100-(((E138/E18)^(1/10))-1))</f>
        <v>9.9918347756729961E-3</v>
      </c>
      <c r="R138" s="30"/>
      <c r="S138" s="30"/>
    </row>
    <row r="139" spans="1:19" ht="13" x14ac:dyDescent="0.3">
      <c r="A139" s="52" t="s">
        <v>155</v>
      </c>
      <c r="B139" s="6">
        <v>5.68</v>
      </c>
      <c r="C139" s="1">
        <v>0.32</v>
      </c>
      <c r="D139" s="6">
        <v>0.435</v>
      </c>
      <c r="E139" s="6">
        <v>10.56116033</v>
      </c>
      <c r="F139" s="1">
        <f t="shared" si="12"/>
        <v>1882.458333333323</v>
      </c>
      <c r="G139" s="17">
        <f>G134*7/12+G146*5/12</f>
        <v>3.6241666666666665</v>
      </c>
      <c r="H139" s="1">
        <f>B139*$E$1867/E139</f>
        <v>180.23695886832539</v>
      </c>
      <c r="I139" s="1">
        <f>C139*$E$1867/E139</f>
        <v>10.15419486582115</v>
      </c>
      <c r="J139" s="26">
        <f t="shared" si="13"/>
        <v>357.91059365857728</v>
      </c>
      <c r="K139" s="1">
        <f>D139*$E$1867/E139</f>
        <v>13.803358645725625</v>
      </c>
      <c r="L139" s="26">
        <f t="shared" si="11"/>
        <v>27.410406380542454</v>
      </c>
      <c r="M139" s="10">
        <f t="shared" si="9"/>
        <v>14.327404890131682</v>
      </c>
      <c r="N139" s="4">
        <f t="shared" si="10"/>
        <v>18.390197818723454</v>
      </c>
      <c r="O139" s="36">
        <f>1/M139-(G139/100-(((E139/E19)^(1/10))-1))</f>
        <v>1.2729276253183201E-2</v>
      </c>
      <c r="R139" s="30"/>
      <c r="S139" s="30"/>
    </row>
    <row r="140" spans="1:19" ht="13" x14ac:dyDescent="0.3">
      <c r="A140" s="52" t="s">
        <v>156</v>
      </c>
      <c r="B140" s="6">
        <v>6</v>
      </c>
      <c r="C140" s="1">
        <v>0.32</v>
      </c>
      <c r="D140" s="6">
        <v>0.43419999999999997</v>
      </c>
      <c r="E140" s="6">
        <v>10.465995039999999</v>
      </c>
      <c r="F140" s="1">
        <f t="shared" si="12"/>
        <v>1882.5416666666563</v>
      </c>
      <c r="G140" s="17">
        <f>G134*6/12+G146*6/12</f>
        <v>3.625</v>
      </c>
      <c r="H140" s="1">
        <f>B140*$E$1867/E140</f>
        <v>192.12234405950952</v>
      </c>
      <c r="I140" s="1">
        <f>C140*$E$1867/E140</f>
        <v>10.246525016507174</v>
      </c>
      <c r="J140" s="26">
        <f t="shared" si="13"/>
        <v>383.2079408428927</v>
      </c>
      <c r="K140" s="1">
        <f>D140*$E$1867/E140</f>
        <v>13.90325363177317</v>
      </c>
      <c r="L140" s="26">
        <f t="shared" si="11"/>
        <v>27.731481318997332</v>
      </c>
      <c r="M140" s="10">
        <f t="shared" si="9"/>
        <v>15.240559761217838</v>
      </c>
      <c r="N140" s="4">
        <f t="shared" si="10"/>
        <v>19.557024129217144</v>
      </c>
      <c r="O140" s="36">
        <f>1/M140-(G140/100-(((E140/E20)^(1/10))-1))</f>
        <v>9.0931419186626658E-3</v>
      </c>
      <c r="R140" s="30"/>
      <c r="S140" s="30"/>
    </row>
    <row r="141" spans="1:19" ht="13" x14ac:dyDescent="0.3">
      <c r="A141" s="52" t="s">
        <v>157</v>
      </c>
      <c r="B141" s="6">
        <v>6.18</v>
      </c>
      <c r="C141" s="1">
        <v>0.32</v>
      </c>
      <c r="D141" s="6">
        <v>0.43330000000000002</v>
      </c>
      <c r="E141" s="6">
        <v>10.56116033</v>
      </c>
      <c r="F141" s="1">
        <f t="shared" si="12"/>
        <v>1882.6249999999895</v>
      </c>
      <c r="G141" s="17">
        <f>G134*5/12+G146*7/12</f>
        <v>3.6258333333333335</v>
      </c>
      <c r="H141" s="1">
        <f>B141*$E$1867/E141</f>
        <v>196.10288834617094</v>
      </c>
      <c r="I141" s="1">
        <f>C141*$E$1867/E141</f>
        <v>10.15419486582115</v>
      </c>
      <c r="J141" s="26">
        <f t="shared" si="13"/>
        <v>392.83534882277837</v>
      </c>
      <c r="K141" s="1">
        <f>D141*$E$1867/E141</f>
        <v>13.749414485500949</v>
      </c>
      <c r="L141" s="26">
        <f t="shared" si="11"/>
        <v>27.542970330891563</v>
      </c>
      <c r="M141" s="10">
        <f t="shared" si="9"/>
        <v>15.525429331463043</v>
      </c>
      <c r="N141" s="4">
        <f t="shared" si="10"/>
        <v>19.913629768832713</v>
      </c>
      <c r="O141" s="36">
        <f>1/M141-(G141/100-(((E141/E21)^(1/10))-1))</f>
        <v>8.0445140503407064E-3</v>
      </c>
      <c r="R141" s="30"/>
      <c r="S141" s="30"/>
    </row>
    <row r="142" spans="1:19" ht="13" x14ac:dyDescent="0.3">
      <c r="A142" s="52" t="s">
        <v>158</v>
      </c>
      <c r="B142" s="6">
        <v>6.24</v>
      </c>
      <c r="C142" s="1">
        <v>0.32</v>
      </c>
      <c r="D142" s="6">
        <v>0.4325</v>
      </c>
      <c r="E142" s="6">
        <v>10.275745450000001</v>
      </c>
      <c r="F142" s="1">
        <f t="shared" si="12"/>
        <v>1882.7083333333228</v>
      </c>
      <c r="G142" s="17">
        <f>G134*4/12+G146*8/12</f>
        <v>3.6266666666666669</v>
      </c>
      <c r="H142" s="1">
        <f>B142*$E$1867/E142</f>
        <v>203.50655533219734</v>
      </c>
      <c r="I142" s="1">
        <f>C142*$E$1867/E142</f>
        <v>10.43623360677935</v>
      </c>
      <c r="J142" s="26">
        <f t="shared" si="13"/>
        <v>409.40861597967233</v>
      </c>
      <c r="K142" s="1">
        <f>D142*$E$1867/E142</f>
        <v>14.105221984162716</v>
      </c>
      <c r="L142" s="26">
        <f t="shared" si="11"/>
        <v>28.37647859153979</v>
      </c>
      <c r="M142" s="10">
        <f t="shared" si="9"/>
        <v>16.081106624462333</v>
      </c>
      <c r="N142" s="4">
        <f t="shared" si="10"/>
        <v>20.617194705981795</v>
      </c>
      <c r="O142" s="36">
        <f>1/M142-(G142/100-(((E142/E22)^(1/10))-1))</f>
        <v>2.4137828797115082E-3</v>
      </c>
      <c r="R142" s="30"/>
      <c r="S142" s="30"/>
    </row>
    <row r="143" spans="1:19" ht="13" x14ac:dyDescent="0.3">
      <c r="A143" s="52" t="s">
        <v>159</v>
      </c>
      <c r="B143" s="6">
        <v>6.07</v>
      </c>
      <c r="C143" s="1">
        <v>0.32</v>
      </c>
      <c r="D143" s="6">
        <v>0.43169999999999997</v>
      </c>
      <c r="E143" s="6">
        <v>10.180580170000001</v>
      </c>
      <c r="F143" s="1">
        <f t="shared" si="12"/>
        <v>1882.7916666666561</v>
      </c>
      <c r="G143" s="17">
        <f>G134*3/12+G146*9/12</f>
        <v>3.6274999999999999</v>
      </c>
      <c r="H143" s="1">
        <f>B143*$E$1867/E143</f>
        <v>199.81280374318786</v>
      </c>
      <c r="I143" s="1">
        <f>C143*$E$1867/E143</f>
        <v>10.533788665209244</v>
      </c>
      <c r="J143" s="26">
        <f t="shared" si="13"/>
        <v>403.74359745446208</v>
      </c>
      <c r="K143" s="1">
        <f>D143*$E$1867/E143</f>
        <v>14.210739271158843</v>
      </c>
      <c r="L143" s="26">
        <f t="shared" si="11"/>
        <v>28.71435107431487</v>
      </c>
      <c r="M143" s="10">
        <f t="shared" si="9"/>
        <v>15.755581030526574</v>
      </c>
      <c r="N143" s="4">
        <f t="shared" si="10"/>
        <v>20.192326679272242</v>
      </c>
      <c r="O143" s="36">
        <f>1/M143-(G143/100-(((E143/E23)^(1/10))-1))</f>
        <v>4.9450109153500454E-3</v>
      </c>
      <c r="R143" s="30"/>
      <c r="S143" s="30"/>
    </row>
    <row r="144" spans="1:19" ht="13" x14ac:dyDescent="0.3">
      <c r="A144" s="52" t="s">
        <v>160</v>
      </c>
      <c r="B144" s="6">
        <v>5.81</v>
      </c>
      <c r="C144" s="1">
        <v>0.32</v>
      </c>
      <c r="D144" s="6">
        <v>0.43080000000000002</v>
      </c>
      <c r="E144" s="6">
        <v>10.08541488</v>
      </c>
      <c r="F144" s="1">
        <f t="shared" si="12"/>
        <v>1882.8749999999893</v>
      </c>
      <c r="G144" s="17">
        <f>G134*2/12+G146*10/12</f>
        <v>3.6283333333333334</v>
      </c>
      <c r="H144" s="1">
        <f>B144*$E$1867/E144</f>
        <v>193.05876115827172</v>
      </c>
      <c r="I144" s="1">
        <f>C144*$E$1867/E144</f>
        <v>10.633184779801542</v>
      </c>
      <c r="J144" s="26">
        <f t="shared" si="13"/>
        <v>391.88677588649392</v>
      </c>
      <c r="K144" s="1">
        <f>D144*$E$1867/E144</f>
        <v>14.314925009807826</v>
      </c>
      <c r="L144" s="26">
        <f t="shared" si="11"/>
        <v>29.05762875247876</v>
      </c>
      <c r="M144" s="10">
        <f t="shared" si="9"/>
        <v>15.192670313165349</v>
      </c>
      <c r="N144" s="4">
        <f t="shared" si="10"/>
        <v>19.466185805701766</v>
      </c>
      <c r="O144" s="36">
        <f>1/M144-(G144/100-(((E144/E24)^(1/10))-1))</f>
        <v>3.5008618493167082E-3</v>
      </c>
      <c r="R144" s="30"/>
      <c r="S144" s="30"/>
    </row>
    <row r="145" spans="1:19" ht="13" x14ac:dyDescent="0.3">
      <c r="A145" s="52" t="s">
        <v>161</v>
      </c>
      <c r="B145" s="6">
        <v>5.84</v>
      </c>
      <c r="C145" s="1">
        <v>0.32</v>
      </c>
      <c r="D145" s="6">
        <v>0.43</v>
      </c>
      <c r="E145" s="6">
        <v>9.9903305790000001</v>
      </c>
      <c r="F145" s="1">
        <f t="shared" si="12"/>
        <v>1882.9583333333226</v>
      </c>
      <c r="G145" s="17">
        <f>G134*1/12+G146*11/12</f>
        <v>3.6291666666666669</v>
      </c>
      <c r="H145" s="1">
        <f>B145*$E$1867/E145</f>
        <v>195.90257244479514</v>
      </c>
      <c r="I145" s="1">
        <f>C145*$E$1867/E145</f>
        <v>10.734387531221653</v>
      </c>
      <c r="J145" s="26">
        <f t="shared" si="13"/>
        <v>399.47517749149267</v>
      </c>
      <c r="K145" s="1">
        <f>D145*$E$1867/E145</f>
        <v>14.424333245079097</v>
      </c>
      <c r="L145" s="26">
        <f t="shared" si="11"/>
        <v>29.413412041325667</v>
      </c>
      <c r="M145" s="10">
        <f t="shared" si="9"/>
        <v>15.382128332081981</v>
      </c>
      <c r="N145" s="4">
        <f t="shared" si="10"/>
        <v>19.704614063292869</v>
      </c>
      <c r="O145" s="36">
        <f>1/M145-(G145/100-(((E145/E25)^(1/10))-1))</f>
        <v>3.1815143101115856E-3</v>
      </c>
      <c r="R145" s="30"/>
      <c r="S145" s="30"/>
    </row>
    <row r="146" spans="1:19" ht="13" x14ac:dyDescent="0.3">
      <c r="A146" s="52" t="s">
        <v>162</v>
      </c>
      <c r="B146" s="6">
        <v>5.81</v>
      </c>
      <c r="C146" s="1">
        <v>0.32079999999999997</v>
      </c>
      <c r="D146" s="6">
        <v>0.42749999999999999</v>
      </c>
      <c r="E146" s="6">
        <v>9.9903305790000001</v>
      </c>
      <c r="F146" s="1">
        <f t="shared" si="12"/>
        <v>1883.0416666666558</v>
      </c>
      <c r="G146" s="17">
        <v>3.63</v>
      </c>
      <c r="H146" s="1">
        <f>B146*$E$1867/E146</f>
        <v>194.8962236137431</v>
      </c>
      <c r="I146" s="1">
        <f>C146*$E$1867/E146</f>
        <v>10.761223500049706</v>
      </c>
      <c r="J146" s="26">
        <f t="shared" si="13"/>
        <v>399.25172676435704</v>
      </c>
      <c r="K146" s="1">
        <f>D146*$E$1867/E146</f>
        <v>14.340470842491428</v>
      </c>
      <c r="L146" s="26">
        <f t="shared" si="11"/>
        <v>29.376955798926449</v>
      </c>
      <c r="M146" s="10">
        <f t="shared" si="9"/>
        <v>15.270259119098581</v>
      </c>
      <c r="N146" s="4">
        <f t="shared" si="10"/>
        <v>19.556713466650208</v>
      </c>
      <c r="O146" s="36">
        <f>1/M146-(G146/100-(((E146/E26)^(1/10))-1))</f>
        <v>3.6494449665530199E-3</v>
      </c>
      <c r="R146" s="30"/>
      <c r="S146" s="30"/>
    </row>
    <row r="147" spans="1:19" ht="13" x14ac:dyDescent="0.3">
      <c r="A147" s="52" t="s">
        <v>163</v>
      </c>
      <c r="B147" s="6">
        <v>5.68</v>
      </c>
      <c r="C147" s="1">
        <v>0.32169999999999999</v>
      </c>
      <c r="D147" s="6">
        <v>0.42499999999999999</v>
      </c>
      <c r="E147" s="6">
        <v>10.08541488</v>
      </c>
      <c r="F147" s="1">
        <f t="shared" si="12"/>
        <v>1883.1249999999891</v>
      </c>
      <c r="G147" s="17">
        <f>G146*11/12+G158*1/12</f>
        <v>3.6291666666666669</v>
      </c>
      <c r="H147" s="1">
        <f>B147*$E$1867/E147</f>
        <v>188.73902984147736</v>
      </c>
      <c r="I147" s="1">
        <f>C147*$E$1867/E147</f>
        <v>10.689673573944237</v>
      </c>
      <c r="J147" s="26">
        <f t="shared" si="13"/>
        <v>388.46334759243308</v>
      </c>
      <c r="K147" s="1">
        <f>D147*$E$1867/E147</f>
        <v>14.122198535673922</v>
      </c>
      <c r="L147" s="26">
        <f t="shared" si="11"/>
        <v>29.066359634997195</v>
      </c>
      <c r="M147" s="10">
        <f t="shared" si="9"/>
        <v>14.757590146176231</v>
      </c>
      <c r="N147" s="4">
        <f t="shared" si="10"/>
        <v>18.89822218846842</v>
      </c>
      <c r="O147" s="36">
        <f>1/M147-(G147/100-(((E147/E27)^(1/10))-1))</f>
        <v>4.7305375556530721E-3</v>
      </c>
      <c r="R147" s="30"/>
      <c r="S147" s="30"/>
    </row>
    <row r="148" spans="1:19" ht="13" x14ac:dyDescent="0.3">
      <c r="A148" s="52" t="s">
        <v>164</v>
      </c>
      <c r="B148" s="6">
        <v>5.75</v>
      </c>
      <c r="C148" s="1">
        <v>0.32250000000000001</v>
      </c>
      <c r="D148" s="6">
        <v>0.42249999999999999</v>
      </c>
      <c r="E148" s="6">
        <v>9.9903305790000001</v>
      </c>
      <c r="F148" s="1">
        <f t="shared" si="12"/>
        <v>1883.2083333333223</v>
      </c>
      <c r="G148" s="17">
        <f>G146*10/12+G158*2/12</f>
        <v>3.6283333333333334</v>
      </c>
      <c r="H148" s="1">
        <f>B148*$E$1867/E148</f>
        <v>192.88352595163909</v>
      </c>
      <c r="I148" s="1">
        <f>C148*$E$1867/E148</f>
        <v>10.818249933809323</v>
      </c>
      <c r="J148" s="26">
        <f t="shared" si="13"/>
        <v>398.84907773728906</v>
      </c>
      <c r="K148" s="1">
        <f>D148*$E$1867/E148</f>
        <v>14.172746037316088</v>
      </c>
      <c r="L148" s="26">
        <f t="shared" si="11"/>
        <v>29.306736581566021</v>
      </c>
      <c r="M148" s="10">
        <f t="shared" si="9"/>
        <v>15.051254121401648</v>
      </c>
      <c r="N148" s="4">
        <f t="shared" si="10"/>
        <v>19.273105236150091</v>
      </c>
      <c r="O148" s="36">
        <f>1/M148-(G148/100-(((E148/E28)^(1/10))-1))</f>
        <v>2.49527956489351E-3</v>
      </c>
      <c r="R148" s="30"/>
      <c r="S148" s="30"/>
    </row>
    <row r="149" spans="1:19" ht="13" x14ac:dyDescent="0.3">
      <c r="A149" s="52" t="s">
        <v>165</v>
      </c>
      <c r="B149" s="6">
        <v>5.87</v>
      </c>
      <c r="C149" s="1">
        <v>0.32329999999999998</v>
      </c>
      <c r="D149" s="6">
        <v>0.42</v>
      </c>
      <c r="E149" s="6">
        <v>9.8951652889999995</v>
      </c>
      <c r="F149" s="1">
        <f t="shared" si="12"/>
        <v>1883.2916666666556</v>
      </c>
      <c r="G149" s="17">
        <f>G146*9/12+G158*3/12</f>
        <v>3.6274999999999999</v>
      </c>
      <c r="H149" s="1">
        <f>B149*$E$1867/E149</f>
        <v>198.80266372981453</v>
      </c>
      <c r="I149" s="1">
        <f>C149*$E$1867/E149</f>
        <v>10.94938691377326</v>
      </c>
      <c r="J149" s="26">
        <f t="shared" si="13"/>
        <v>412.97559287854239</v>
      </c>
      <c r="K149" s="1">
        <f>D149*$E$1867/E149</f>
        <v>14.22438139123034</v>
      </c>
      <c r="L149" s="26">
        <f t="shared" si="11"/>
        <v>29.548509200849708</v>
      </c>
      <c r="M149" s="10">
        <f t="shared" si="9"/>
        <v>15.482067222036681</v>
      </c>
      <c r="N149" s="4">
        <f t="shared" si="10"/>
        <v>19.8216928204582</v>
      </c>
      <c r="O149" s="36">
        <f>1/M149-(G149/100-(((E149/E29)^(1/10))-1))</f>
        <v>-2.7539500508172443E-4</v>
      </c>
      <c r="R149" s="30"/>
      <c r="S149" s="30"/>
    </row>
    <row r="150" spans="1:19" ht="13" x14ac:dyDescent="0.3">
      <c r="A150" s="52" t="s">
        <v>166</v>
      </c>
      <c r="B150" s="6">
        <v>5.77</v>
      </c>
      <c r="C150" s="1">
        <v>0.32419999999999999</v>
      </c>
      <c r="D150" s="6">
        <v>0.41749999999999998</v>
      </c>
      <c r="E150" s="6">
        <v>9.8000000000000007</v>
      </c>
      <c r="F150" s="1">
        <f t="shared" si="12"/>
        <v>1883.3749999999889</v>
      </c>
      <c r="G150" s="17">
        <f>G146*8/12+G158*4/12</f>
        <v>3.6266666666666669</v>
      </c>
      <c r="H150" s="1">
        <f>B150*$E$1867/E150</f>
        <v>197.31354005102037</v>
      </c>
      <c r="I150" s="1">
        <f>C150*$E$1867/E150</f>
        <v>11.086490413265304</v>
      </c>
      <c r="J150" s="26">
        <f t="shared" si="13"/>
        <v>411.80139212190642</v>
      </c>
      <c r="K150" s="1">
        <f>D150*$E$1867/E150</f>
        <v>14.27701957908163</v>
      </c>
      <c r="L150" s="26">
        <f t="shared" si="11"/>
        <v>29.796721180397906</v>
      </c>
      <c r="M150" s="10">
        <f t="shared" si="9"/>
        <v>15.335497637337072</v>
      </c>
      <c r="N150" s="4">
        <f t="shared" si="10"/>
        <v>19.632642919503578</v>
      </c>
      <c r="O150" s="36">
        <f>1/M150-(G150/100-(((E150/E30)^(1/10))-1))</f>
        <v>1.5315856185122018E-3</v>
      </c>
      <c r="R150" s="30"/>
      <c r="S150" s="30"/>
    </row>
    <row r="151" spans="1:19" ht="13" x14ac:dyDescent="0.3">
      <c r="A151" s="52" t="s">
        <v>167</v>
      </c>
      <c r="B151" s="6">
        <v>5.82</v>
      </c>
      <c r="C151" s="1">
        <v>0.32500000000000001</v>
      </c>
      <c r="D151" s="6">
        <v>0.41499999999999998</v>
      </c>
      <c r="E151" s="6">
        <v>9.5145851239999999</v>
      </c>
      <c r="F151" s="1">
        <f t="shared" si="12"/>
        <v>1883.4583333333221</v>
      </c>
      <c r="G151" s="17">
        <f>G146*7/12+G158*5/12</f>
        <v>3.6258333333333335</v>
      </c>
      <c r="H151" s="1">
        <f>B151*$E$1867/E151</f>
        <v>204.99358927171232</v>
      </c>
      <c r="I151" s="1">
        <f>C151*$E$1867/E151</f>
        <v>11.447236514313833</v>
      </c>
      <c r="J151" s="26">
        <f t="shared" si="13"/>
        <v>429.82087161347238</v>
      </c>
      <c r="K151" s="1">
        <f>D151*$E$1867/E151</f>
        <v>14.617240472123816</v>
      </c>
      <c r="L151" s="26">
        <f t="shared" si="11"/>
        <v>30.648739127077498</v>
      </c>
      <c r="M151" s="10">
        <f t="shared" si="9"/>
        <v>15.903388388583803</v>
      </c>
      <c r="N151" s="4">
        <f t="shared" si="10"/>
        <v>20.356448023345472</v>
      </c>
      <c r="O151" s="36">
        <f>1/M151-(G151/100-(((E151/E31)^(1/10))-1))</f>
        <v>-7.5976968980642767E-4</v>
      </c>
      <c r="R151" s="30"/>
      <c r="S151" s="30"/>
    </row>
    <row r="152" spans="1:19" ht="13" x14ac:dyDescent="0.3">
      <c r="A152" s="52" t="s">
        <v>168</v>
      </c>
      <c r="B152" s="6">
        <v>5.73</v>
      </c>
      <c r="C152" s="1">
        <v>0.32579999999999998</v>
      </c>
      <c r="D152" s="6">
        <v>0.41249999999999998</v>
      </c>
      <c r="E152" s="6">
        <v>9.3242545450000005</v>
      </c>
      <c r="F152" s="1">
        <f t="shared" si="12"/>
        <v>1883.5416666666554</v>
      </c>
      <c r="G152" s="17">
        <f>G146*6/12+G158*6/12</f>
        <v>3.625</v>
      </c>
      <c r="H152" s="1">
        <f>B152*$E$1867/E152</f>
        <v>205.94329264956806</v>
      </c>
      <c r="I152" s="1">
        <f>C152*$E$1867/E152</f>
        <v>11.709655278399522</v>
      </c>
      <c r="J152" s="26">
        <f t="shared" si="13"/>
        <v>433.85818577090106</v>
      </c>
      <c r="K152" s="1">
        <f>D152*$E$1867/E152</f>
        <v>14.825760596500317</v>
      </c>
      <c r="L152" s="26">
        <f t="shared" si="11"/>
        <v>31.233246357852817</v>
      </c>
      <c r="M152" s="10">
        <f t="shared" si="9"/>
        <v>15.948783127017037</v>
      </c>
      <c r="N152" s="4">
        <f t="shared" si="10"/>
        <v>20.410434017234671</v>
      </c>
      <c r="O152" s="36">
        <f>1/M152-(G152/100-(((E152/E32)^(1/10))-1))</f>
        <v>-2.8937843102309346E-3</v>
      </c>
      <c r="R152" s="30"/>
      <c r="S152" s="30"/>
    </row>
    <row r="153" spans="1:19" ht="13" x14ac:dyDescent="0.3">
      <c r="A153" s="52" t="s">
        <v>169</v>
      </c>
      <c r="B153" s="6">
        <v>5.47</v>
      </c>
      <c r="C153" s="1">
        <v>0.32669999999999999</v>
      </c>
      <c r="D153" s="6">
        <v>0.41</v>
      </c>
      <c r="E153" s="6">
        <v>9.3242545450000005</v>
      </c>
      <c r="F153" s="1">
        <f t="shared" si="12"/>
        <v>1883.6249999999886</v>
      </c>
      <c r="G153" s="17">
        <f>G146*5/12+G158*7/12</f>
        <v>3.6241666666666665</v>
      </c>
      <c r="H153" s="1">
        <f>B153*$E$1867/E153</f>
        <v>196.59857081904661</v>
      </c>
      <c r="I153" s="1">
        <f>C153*$E$1867/E153</f>
        <v>11.742002392428249</v>
      </c>
      <c r="J153" s="26">
        <f t="shared" si="13"/>
        <v>416.23317020496359</v>
      </c>
      <c r="K153" s="1">
        <f>D153*$E$1867/E153</f>
        <v>14.735907501976072</v>
      </c>
      <c r="L153" s="26">
        <f t="shared" si="11"/>
        <v>31.198464311523782</v>
      </c>
      <c r="M153" s="10">
        <f t="shared" si="9"/>
        <v>15.196810876629858</v>
      </c>
      <c r="N153" s="4">
        <f t="shared" si="10"/>
        <v>19.44808550817632</v>
      </c>
      <c r="O153" s="36">
        <f>1/M153-(G153/100-(((E153/E33)^(1/10))-1))</f>
        <v>2.1712055410354203E-4</v>
      </c>
      <c r="R153" s="30"/>
      <c r="S153" s="30"/>
    </row>
    <row r="154" spans="1:19" ht="13" x14ac:dyDescent="0.3">
      <c r="A154" s="52" t="s">
        <v>170</v>
      </c>
      <c r="B154" s="6">
        <v>5.53</v>
      </c>
      <c r="C154" s="1">
        <v>0.32750000000000001</v>
      </c>
      <c r="D154" s="6">
        <v>0.40749999999999997</v>
      </c>
      <c r="E154" s="6">
        <v>9.229089256</v>
      </c>
      <c r="F154" s="1">
        <f t="shared" si="12"/>
        <v>1883.7083333333219</v>
      </c>
      <c r="G154" s="17">
        <f>G146*4/12+G158*8/12</f>
        <v>3.6233333333333335</v>
      </c>
      <c r="H154" s="1">
        <f>B154*$E$1867/E154</f>
        <v>200.80449772388681</v>
      </c>
      <c r="I154" s="1">
        <f>C154*$E$1867/E154</f>
        <v>11.892128933919153</v>
      </c>
      <c r="J154" s="26">
        <f t="shared" si="13"/>
        <v>427.23598586190241</v>
      </c>
      <c r="K154" s="1">
        <f>D154*$E$1867/E154</f>
        <v>14.797076459761998</v>
      </c>
      <c r="L154" s="26">
        <f t="shared" si="11"/>
        <v>31.482579428340902</v>
      </c>
      <c r="M154" s="10">
        <f t="shared" si="9"/>
        <v>15.494692425793465</v>
      </c>
      <c r="N154" s="4">
        <f t="shared" si="10"/>
        <v>19.828736618724516</v>
      </c>
      <c r="O154" s="36">
        <f>1/M154-(G154/100-(((E154/E34)^(1/10))-1))</f>
        <v>-2.0348484115957494E-3</v>
      </c>
      <c r="R154" s="30"/>
      <c r="S154" s="30"/>
    </row>
    <row r="155" spans="1:19" ht="13" x14ac:dyDescent="0.3">
      <c r="A155" s="52" t="s">
        <v>171</v>
      </c>
      <c r="B155" s="6">
        <v>5.38</v>
      </c>
      <c r="C155" s="1">
        <v>0.32829999999999998</v>
      </c>
      <c r="D155" s="6">
        <v>0.40500000000000003</v>
      </c>
      <c r="E155" s="6">
        <v>9.229089256</v>
      </c>
      <c r="F155" s="1">
        <f t="shared" si="12"/>
        <v>1883.7916666666551</v>
      </c>
      <c r="G155" s="17">
        <f>G146*3/12+G158*9/12</f>
        <v>3.6225000000000001</v>
      </c>
      <c r="H155" s="1">
        <f>B155*$E$1867/E155</f>
        <v>195.35772111293144</v>
      </c>
      <c r="I155" s="1">
        <f>C155*$E$1867/E155</f>
        <v>11.921178409177582</v>
      </c>
      <c r="J155" s="26">
        <f t="shared" si="13"/>
        <v>417.76095270347918</v>
      </c>
      <c r="K155" s="1">
        <f>D155*$E$1867/E155</f>
        <v>14.706296849579413</v>
      </c>
      <c r="L155" s="26">
        <f t="shared" si="11"/>
        <v>31.448547554815818</v>
      </c>
      <c r="M155" s="10">
        <f t="shared" si="9"/>
        <v>15.048056270223848</v>
      </c>
      <c r="N155" s="4">
        <f t="shared" si="10"/>
        <v>19.259308186439736</v>
      </c>
      <c r="O155" s="36">
        <f>1/M155-(G155/100-(((E155/E35)^(1/10))-1))</f>
        <v>2.1206134844089092E-3</v>
      </c>
      <c r="R155" s="30"/>
      <c r="S155" s="30"/>
    </row>
    <row r="156" spans="1:19" ht="13" x14ac:dyDescent="0.3">
      <c r="A156" s="52" t="s">
        <v>172</v>
      </c>
      <c r="B156" s="6">
        <v>5.46</v>
      </c>
      <c r="C156" s="1">
        <v>0.32919999999999999</v>
      </c>
      <c r="D156" s="6">
        <v>0.40250000000000002</v>
      </c>
      <c r="E156" s="6">
        <v>9.1340049590000003</v>
      </c>
      <c r="F156" s="1">
        <f t="shared" si="12"/>
        <v>1883.8749999999884</v>
      </c>
      <c r="G156" s="17">
        <f>G146*2/12+G158*10/12</f>
        <v>3.621666666666667</v>
      </c>
      <c r="H156" s="1">
        <f>B156*$E$1867/E156</f>
        <v>200.32656794181622</v>
      </c>
      <c r="I156" s="1">
        <f>C156*$E$1867/E156</f>
        <v>12.0782978326824</v>
      </c>
      <c r="J156" s="26">
        <f t="shared" si="13"/>
        <v>430.53893218808668</v>
      </c>
      <c r="K156" s="1">
        <f>D156*$E$1867/E156</f>
        <v>14.76766366237748</v>
      </c>
      <c r="L156" s="26">
        <f t="shared" si="11"/>
        <v>31.738446924121781</v>
      </c>
      <c r="M156" s="10">
        <f t="shared" si="9"/>
        <v>15.408218142448877</v>
      </c>
      <c r="N156" s="4">
        <f t="shared" si="10"/>
        <v>19.720544543933197</v>
      </c>
      <c r="O156" s="36">
        <f>1/M156-(G156/100-(((E156/E36)^(1/10))-1))</f>
        <v>2.6325881891270178E-3</v>
      </c>
      <c r="R156" s="30"/>
      <c r="S156" s="30"/>
    </row>
    <row r="157" spans="1:19" ht="13" x14ac:dyDescent="0.3">
      <c r="A157" s="52" t="s">
        <v>173</v>
      </c>
      <c r="B157" s="6">
        <v>5.34</v>
      </c>
      <c r="C157" s="1">
        <v>0.33</v>
      </c>
      <c r="D157" s="6">
        <v>0.4</v>
      </c>
      <c r="E157" s="6">
        <v>9.229089256</v>
      </c>
      <c r="F157" s="1">
        <f t="shared" si="12"/>
        <v>1883.9583333333217</v>
      </c>
      <c r="G157" s="17">
        <f>G146*1/12+G158*11/12</f>
        <v>3.6208333333333336</v>
      </c>
      <c r="H157" s="1">
        <f>B157*$E$1867/E157</f>
        <v>193.90524735001</v>
      </c>
      <c r="I157" s="1">
        <f>C157*$E$1867/E157</f>
        <v>11.982908544101743</v>
      </c>
      <c r="J157" s="26">
        <f t="shared" si="13"/>
        <v>418.88444814204325</v>
      </c>
      <c r="K157" s="1">
        <f>D157*$E$1867/E157</f>
        <v>14.524737629214236</v>
      </c>
      <c r="L157" s="26">
        <f t="shared" si="11"/>
        <v>31.377112220377782</v>
      </c>
      <c r="M157" s="10">
        <f t="shared" si="9"/>
        <v>14.89640394188717</v>
      </c>
      <c r="N157" s="4">
        <f t="shared" si="10"/>
        <v>19.066539273012456</v>
      </c>
      <c r="O157" s="36">
        <f>1/M157-(G157/100-(((E157/E37)^(1/10))-1))</f>
        <v>3.5706001324258829E-3</v>
      </c>
      <c r="R157" s="30"/>
      <c r="S157" s="30"/>
    </row>
    <row r="158" spans="1:19" ht="13" x14ac:dyDescent="0.3">
      <c r="A158" s="52" t="s">
        <v>174</v>
      </c>
      <c r="B158" s="6">
        <v>5.18</v>
      </c>
      <c r="C158" s="1">
        <v>0.32829999999999998</v>
      </c>
      <c r="D158" s="6">
        <v>0.39250000000000002</v>
      </c>
      <c r="E158" s="6">
        <v>9.229089256</v>
      </c>
      <c r="F158" s="1">
        <f t="shared" si="12"/>
        <v>1884.0416666666549</v>
      </c>
      <c r="G158" s="17">
        <v>3.62</v>
      </c>
      <c r="H158" s="1">
        <f>B158*$E$1867/E158</f>
        <v>188.09535229832431</v>
      </c>
      <c r="I158" s="1">
        <f>C158*$E$1867/E158</f>
        <v>11.921178409177582</v>
      </c>
      <c r="J158" s="26">
        <f t="shared" si="13"/>
        <v>408.47966699179841</v>
      </c>
      <c r="K158" s="1">
        <f>D158*$E$1867/E158</f>
        <v>14.252398798666468</v>
      </c>
      <c r="L158" s="26">
        <f t="shared" si="11"/>
        <v>30.951403338664264</v>
      </c>
      <c r="M158" s="10">
        <f t="shared" si="9"/>
        <v>14.432821721970731</v>
      </c>
      <c r="N158" s="4">
        <f t="shared" si="10"/>
        <v>18.478450440666577</v>
      </c>
      <c r="O158" s="36">
        <f>1/M158-(G158/100-(((E158/E38)^(1/10))-1))</f>
        <v>4.2286421889659587E-3</v>
      </c>
      <c r="R158" s="30"/>
      <c r="S158" s="30"/>
    </row>
    <row r="159" spans="1:19" ht="13" x14ac:dyDescent="0.3">
      <c r="A159" s="52" t="s">
        <v>175</v>
      </c>
      <c r="B159" s="6">
        <v>5.32</v>
      </c>
      <c r="C159" s="1">
        <v>0.32669999999999999</v>
      </c>
      <c r="D159" s="6">
        <v>0.38500000000000001</v>
      </c>
      <c r="E159" s="6">
        <v>9.229089256</v>
      </c>
      <c r="F159" s="1">
        <f t="shared" si="12"/>
        <v>1884.1249999999882</v>
      </c>
      <c r="G159" s="17">
        <f>G158*11/12+G170*1/12</f>
        <v>3.6116666666666668</v>
      </c>
      <c r="H159" s="1">
        <f>B159*$E$1867/E159</f>
        <v>193.17901046854931</v>
      </c>
      <c r="I159" s="1">
        <f>C159*$E$1867/E159</f>
        <v>11.863079458660724</v>
      </c>
      <c r="J159" s="26">
        <f t="shared" si="13"/>
        <v>421.66654195564081</v>
      </c>
      <c r="K159" s="1">
        <f>D159*$E$1867/E159</f>
        <v>13.980059968118701</v>
      </c>
      <c r="L159" s="26">
        <f t="shared" si="11"/>
        <v>30.515341852052952</v>
      </c>
      <c r="M159" s="10">
        <f t="shared" si="9"/>
        <v>14.805960228816714</v>
      </c>
      <c r="N159" s="4">
        <f t="shared" si="10"/>
        <v>18.960248831644904</v>
      </c>
      <c r="O159" s="36">
        <f>1/M159-(G159/100-(((E159/E39)^(1/10))-1))</f>
        <v>2.5658227261833172E-3</v>
      </c>
      <c r="R159" s="30"/>
      <c r="S159" s="30"/>
    </row>
    <row r="160" spans="1:19" ht="13" x14ac:dyDescent="0.3">
      <c r="A160" s="52" t="s">
        <v>176</v>
      </c>
      <c r="B160" s="6">
        <v>5.3</v>
      </c>
      <c r="C160" s="1">
        <v>0.32500000000000001</v>
      </c>
      <c r="D160" s="6">
        <v>0.3775</v>
      </c>
      <c r="E160" s="6">
        <v>9.229089256</v>
      </c>
      <c r="F160" s="1">
        <f t="shared" si="12"/>
        <v>1884.2083333333214</v>
      </c>
      <c r="G160" s="17">
        <f>G158*10/12+G170*2/12</f>
        <v>3.6033333333333335</v>
      </c>
      <c r="H160" s="1">
        <f>B160*$E$1867/E160</f>
        <v>192.45277358708859</v>
      </c>
      <c r="I160" s="1">
        <f>C160*$E$1867/E160</f>
        <v>11.801349323736565</v>
      </c>
      <c r="J160" s="26">
        <f t="shared" si="13"/>
        <v>422.22797140529974</v>
      </c>
      <c r="K160" s="1">
        <f>D160*$E$1867/E160</f>
        <v>13.707721137570934</v>
      </c>
      <c r="L160" s="26">
        <f t="shared" si="11"/>
        <v>30.073784755754847</v>
      </c>
      <c r="M160" s="10">
        <f t="shared" si="9"/>
        <v>14.736023454014475</v>
      </c>
      <c r="N160" s="4">
        <f t="shared" si="10"/>
        <v>18.875642451992523</v>
      </c>
      <c r="O160" s="36">
        <f>1/M160-(G160/100-(((E160/E40)^(1/10))-1))</f>
        <v>2.9697008462465924E-3</v>
      </c>
      <c r="R160" s="30"/>
      <c r="S160" s="30"/>
    </row>
    <row r="161" spans="1:19" ht="13" x14ac:dyDescent="0.3">
      <c r="A161" s="52" t="s">
        <v>177</v>
      </c>
      <c r="B161" s="6">
        <v>5.0599999999999996</v>
      </c>
      <c r="C161" s="1">
        <v>0.32329999999999998</v>
      </c>
      <c r="D161" s="6">
        <v>0.37</v>
      </c>
      <c r="E161" s="6">
        <v>9.0388396689999997</v>
      </c>
      <c r="F161" s="1">
        <f t="shared" si="12"/>
        <v>1884.2916666666547</v>
      </c>
      <c r="G161" s="17">
        <f>G158*9/12+G170*3/12</f>
        <v>3.5949999999999998</v>
      </c>
      <c r="H161" s="1">
        <f>B161*$E$1867/E161</f>
        <v>187.6052488037555</v>
      </c>
      <c r="I161" s="1">
        <f>C161*$E$1867/E161</f>
        <v>11.98671480993165</v>
      </c>
      <c r="J161" s="26">
        <f t="shared" si="13"/>
        <v>413.78434130245427</v>
      </c>
      <c r="K161" s="1">
        <f>D161*$E$1867/E161</f>
        <v>13.71817036707303</v>
      </c>
      <c r="L161" s="26">
        <f t="shared" si="11"/>
        <v>30.256957763222939</v>
      </c>
      <c r="M161" s="10">
        <f t="shared" si="9"/>
        <v>14.353453682579479</v>
      </c>
      <c r="N161" s="4">
        <f t="shared" si="10"/>
        <v>18.395357641018059</v>
      </c>
      <c r="O161" s="36">
        <f>1/M161-(G161/100-(((E161/E41)^(1/10))-1))</f>
        <v>4.3444054785742592E-3</v>
      </c>
      <c r="R161" s="30"/>
      <c r="S161" s="30"/>
    </row>
    <row r="162" spans="1:19" ht="13" x14ac:dyDescent="0.3">
      <c r="A162" s="52" t="s">
        <v>178</v>
      </c>
      <c r="B162" s="6">
        <v>4.6500000000000004</v>
      </c>
      <c r="C162" s="1">
        <v>0.32169999999999999</v>
      </c>
      <c r="D162" s="6">
        <v>0.36249999999999999</v>
      </c>
      <c r="E162" s="6">
        <v>8.8485090910000004</v>
      </c>
      <c r="F162" s="1">
        <f t="shared" si="12"/>
        <v>1884.3749999999879</v>
      </c>
      <c r="G162" s="17">
        <f>G158*8/12+G170*4/12</f>
        <v>3.5866666666666669</v>
      </c>
      <c r="H162" s="1">
        <f>B162*$E$1867/E162</f>
        <v>176.11242713023958</v>
      </c>
      <c r="I162" s="1">
        <f>C162*$E$1867/E162</f>
        <v>12.183950066193134</v>
      </c>
      <c r="J162" s="26">
        <f t="shared" si="13"/>
        <v>390.67506072096791</v>
      </c>
      <c r="K162" s="1">
        <f>D162*$E$1867/E162</f>
        <v>13.729194588110074</v>
      </c>
      <c r="L162" s="26">
        <f t="shared" si="11"/>
        <v>30.455851507817389</v>
      </c>
      <c r="M162" s="10">
        <f t="shared" si="9"/>
        <v>13.465050313804911</v>
      </c>
      <c r="N162" s="4">
        <f t="shared" si="10"/>
        <v>17.272918948879877</v>
      </c>
      <c r="O162" s="36">
        <f>1/M162-(G162/100-(((E162/E42)^(1/10))-1))</f>
        <v>7.7210795261652698E-3</v>
      </c>
      <c r="R162" s="30"/>
      <c r="S162" s="30"/>
    </row>
    <row r="163" spans="1:19" ht="13" x14ac:dyDescent="0.3">
      <c r="A163" s="52" t="s">
        <v>179</v>
      </c>
      <c r="B163" s="6">
        <v>4.46</v>
      </c>
      <c r="C163" s="1">
        <v>0.32</v>
      </c>
      <c r="D163" s="6">
        <v>0.35499999999999998</v>
      </c>
      <c r="E163" s="6">
        <v>8.8485090910000004</v>
      </c>
      <c r="F163" s="1">
        <f t="shared" si="12"/>
        <v>1884.4583333333212</v>
      </c>
      <c r="G163" s="17">
        <f>G158*7/12+G170*5/12</f>
        <v>3.5783333333333336</v>
      </c>
      <c r="H163" s="1">
        <f>B163*$E$1867/E163</f>
        <v>168.91643548405776</v>
      </c>
      <c r="I163" s="1">
        <f>C163*$E$1867/E163</f>
        <v>12.119564877779929</v>
      </c>
      <c r="J163" s="26">
        <f t="shared" si="13"/>
        <v>376.95242417951459</v>
      </c>
      <c r="K163" s="1">
        <f>D163*$E$1867/E163</f>
        <v>13.445142286287107</v>
      </c>
      <c r="L163" s="26">
        <f t="shared" si="11"/>
        <v>30.00406066899723</v>
      </c>
      <c r="M163" s="10">
        <f t="shared" si="9"/>
        <v>12.906876483666867</v>
      </c>
      <c r="N163" s="4">
        <f t="shared" si="10"/>
        <v>16.575562457475304</v>
      </c>
      <c r="O163" s="36">
        <f>1/M163-(G163/100-(((E163/E43)^(1/10))-1))</f>
        <v>1.3335959139286258E-2</v>
      </c>
      <c r="R163" s="30"/>
      <c r="S163" s="30"/>
    </row>
    <row r="164" spans="1:19" ht="13" x14ac:dyDescent="0.3">
      <c r="A164" s="52" t="s">
        <v>180</v>
      </c>
      <c r="B164" s="6">
        <v>4.46</v>
      </c>
      <c r="C164" s="1">
        <v>0.31830000000000003</v>
      </c>
      <c r="D164" s="6">
        <v>0.34749999999999998</v>
      </c>
      <c r="E164" s="6">
        <v>8.7534247930000006</v>
      </c>
      <c r="F164" s="1">
        <f t="shared" si="12"/>
        <v>1884.5416666666545</v>
      </c>
      <c r="G164" s="17">
        <f>G158*6/12+G170*6/12</f>
        <v>3.57</v>
      </c>
      <c r="H164" s="1">
        <f>B164*$E$1867/E164</f>
        <v>170.75129453277066</v>
      </c>
      <c r="I164" s="1">
        <f>C164*$E$1867/E164</f>
        <v>12.186129383358946</v>
      </c>
      <c r="J164" s="26">
        <f t="shared" si="13"/>
        <v>383.31328429591599</v>
      </c>
      <c r="K164" s="1">
        <f>D164*$E$1867/E164</f>
        <v>13.304052656981566</v>
      </c>
      <c r="L164" s="26">
        <f t="shared" si="11"/>
        <v>29.865777195701966</v>
      </c>
      <c r="M164" s="10">
        <f t="shared" si="9"/>
        <v>13.043931585991674</v>
      </c>
      <c r="N164" s="4">
        <f t="shared" si="10"/>
        <v>16.769768530632778</v>
      </c>
      <c r="O164" s="36">
        <f>1/M164-(G164/100-(((E164/E44)^(1/10))-1))</f>
        <v>1.0776582875225413E-2</v>
      </c>
      <c r="R164" s="30"/>
      <c r="S164" s="30"/>
    </row>
    <row r="165" spans="1:19" ht="13" x14ac:dyDescent="0.3">
      <c r="A165" s="52" t="s">
        <v>181</v>
      </c>
      <c r="B165" s="6">
        <v>4.74</v>
      </c>
      <c r="C165" s="1">
        <v>0.31669999999999998</v>
      </c>
      <c r="D165" s="6">
        <v>0.34</v>
      </c>
      <c r="E165" s="6">
        <v>8.7534247930000006</v>
      </c>
      <c r="F165" s="1">
        <f t="shared" si="12"/>
        <v>1884.6249999999877</v>
      </c>
      <c r="G165" s="17">
        <f>G158*5/12+G170*7/12</f>
        <v>3.5616666666666665</v>
      </c>
      <c r="H165" s="1">
        <f>B165*$E$1867/E165</f>
        <v>181.47110674559033</v>
      </c>
      <c r="I165" s="1">
        <f>C165*$E$1867/E165</f>
        <v>12.124873313571403</v>
      </c>
      <c r="J165" s="26">
        <f t="shared" si="13"/>
        <v>409.64601883199208</v>
      </c>
      <c r="K165" s="1">
        <f>D165*$E$1867/E165</f>
        <v>13.016914829852471</v>
      </c>
      <c r="L165" s="26">
        <f t="shared" si="11"/>
        <v>29.383891646176647</v>
      </c>
      <c r="M165" s="10">
        <f t="shared" si="9"/>
        <v>13.859813341769327</v>
      </c>
      <c r="N165" s="4">
        <f t="shared" si="10"/>
        <v>17.832062630600056</v>
      </c>
      <c r="O165" s="36">
        <f>1/M165-(G165/100-(((E165/E45)^(1/10))-1))</f>
        <v>7.1264007069202356E-3</v>
      </c>
      <c r="R165" s="30"/>
      <c r="S165" s="30"/>
    </row>
    <row r="166" spans="1:19" ht="13" x14ac:dyDescent="0.3">
      <c r="A166" s="52" t="s">
        <v>182</v>
      </c>
      <c r="B166" s="6">
        <v>4.59</v>
      </c>
      <c r="C166" s="1">
        <v>0.315</v>
      </c>
      <c r="D166" s="6">
        <v>0.33250000000000002</v>
      </c>
      <c r="E166" s="6">
        <v>8.6582595040000001</v>
      </c>
      <c r="F166" s="1">
        <f t="shared" si="12"/>
        <v>1884.708333333321</v>
      </c>
      <c r="G166" s="17">
        <f>G158*4/12+G170*8/12</f>
        <v>3.5533333333333337</v>
      </c>
      <c r="H166" s="1">
        <f>B166*$E$1867/E166</f>
        <v>177.65982837420853</v>
      </c>
      <c r="I166" s="1">
        <f>C166*$E$1867/E166</f>
        <v>12.192341162935881</v>
      </c>
      <c r="J166" s="26">
        <f t="shared" si="13"/>
        <v>403.33612724339616</v>
      </c>
      <c r="K166" s="1">
        <f>D166*$E$1867/E166</f>
        <v>12.869693449765652</v>
      </c>
      <c r="L166" s="26">
        <f t="shared" si="11"/>
        <v>29.217704206629467</v>
      </c>
      <c r="M166" s="10">
        <f t="shared" si="9"/>
        <v>13.569154744335725</v>
      </c>
      <c r="N166" s="4">
        <f t="shared" si="10"/>
        <v>17.474388100341244</v>
      </c>
      <c r="O166" s="36">
        <f>1/M166-(G166/100-(((E166/E46)^(1/10))-1))</f>
        <v>7.6948439400387342E-3</v>
      </c>
      <c r="R166" s="30"/>
      <c r="S166" s="30"/>
    </row>
    <row r="167" spans="1:19" ht="13" x14ac:dyDescent="0.3">
      <c r="A167" s="52" t="s">
        <v>183</v>
      </c>
      <c r="B167" s="6">
        <v>4.4400000000000004</v>
      </c>
      <c r="C167" s="1">
        <v>0.31330000000000002</v>
      </c>
      <c r="D167" s="6">
        <v>0.32500000000000001</v>
      </c>
      <c r="E167" s="6">
        <v>8.5630942149999996</v>
      </c>
      <c r="F167" s="1">
        <f t="shared" si="12"/>
        <v>1884.7916666666542</v>
      </c>
      <c r="G167" s="17">
        <f>G158*3/12+G170*9/12</f>
        <v>3.5449999999999999</v>
      </c>
      <c r="H167" s="1">
        <f>B167*$E$1867/E167</f>
        <v>173.76383730469092</v>
      </c>
      <c r="I167" s="1">
        <f>C167*$E$1867/E167</f>
        <v>12.261308609810737</v>
      </c>
      <c r="J167" s="26">
        <f t="shared" si="13"/>
        <v>396.81087671511773</v>
      </c>
      <c r="K167" s="1">
        <f>D167*$E$1867/E167</f>
        <v>12.719199802708232</v>
      </c>
      <c r="L167" s="26">
        <f t="shared" si="11"/>
        <v>29.045841200993976</v>
      </c>
      <c r="M167" s="10">
        <f t="shared" si="9"/>
        <v>13.273251319134157</v>
      </c>
      <c r="N167" s="4">
        <f t="shared" si="10"/>
        <v>17.112421679154775</v>
      </c>
      <c r="O167" s="36">
        <f>1/M167-(G167/100-(((E167/E47)^(1/10))-1))</f>
        <v>9.9265400778954516E-3</v>
      </c>
      <c r="R167" s="30"/>
      <c r="S167" s="30"/>
    </row>
    <row r="168" spans="1:19" ht="13" x14ac:dyDescent="0.3">
      <c r="A168" s="52" t="s">
        <v>184</v>
      </c>
      <c r="B168" s="6">
        <v>4.3499999999999996</v>
      </c>
      <c r="C168" s="1">
        <v>0.31169999999999998</v>
      </c>
      <c r="D168" s="6">
        <v>0.3175</v>
      </c>
      <c r="E168" s="6">
        <v>8.3728446279999993</v>
      </c>
      <c r="F168" s="1">
        <f t="shared" si="12"/>
        <v>1884.8749999999875</v>
      </c>
      <c r="G168" s="17">
        <f>G158*2/12+G170*10/12</f>
        <v>3.5366666666666671</v>
      </c>
      <c r="H168" s="1">
        <f>B168*$E$1867/E168</f>
        <v>174.10986376421269</v>
      </c>
      <c r="I168" s="1">
        <f>C168*$E$1867/E168</f>
        <v>12.475872306966689</v>
      </c>
      <c r="J168" s="26">
        <f t="shared" si="13"/>
        <v>399.97525136459149</v>
      </c>
      <c r="K168" s="1">
        <f>D168*$E$1867/E168</f>
        <v>12.708018791985639</v>
      </c>
      <c r="L168" s="26">
        <f t="shared" si="11"/>
        <v>29.193595932932826</v>
      </c>
      <c r="M168" s="10">
        <f t="shared" si="9"/>
        <v>13.30443760211973</v>
      </c>
      <c r="N168" s="4">
        <f t="shared" si="10"/>
        <v>17.173051638572847</v>
      </c>
      <c r="O168" s="36">
        <f>1/M168-(G168/100-(((E168/E48)^(1/10))-1))</f>
        <v>8.4526608310660223E-3</v>
      </c>
      <c r="R168" s="30"/>
      <c r="S168" s="30"/>
    </row>
    <row r="169" spans="1:19" ht="13" x14ac:dyDescent="0.3">
      <c r="A169" s="52" t="s">
        <v>185</v>
      </c>
      <c r="B169" s="6">
        <v>4.34</v>
      </c>
      <c r="C169" s="1">
        <v>0.31</v>
      </c>
      <c r="D169" s="6">
        <v>0.31</v>
      </c>
      <c r="E169" s="6">
        <v>8.2776793390000005</v>
      </c>
      <c r="F169" s="1">
        <f t="shared" si="12"/>
        <v>1884.9583333333208</v>
      </c>
      <c r="G169" s="17">
        <f>G158*1/12+G170*11/12</f>
        <v>3.5283333333333333</v>
      </c>
      <c r="H169" s="1">
        <f>B169*$E$1867/E169</f>
        <v>175.70668365316342</v>
      </c>
      <c r="I169" s="1">
        <f>C169*$E$1867/E169</f>
        <v>12.550477403797386</v>
      </c>
      <c r="J169" s="26">
        <f t="shared" si="13"/>
        <v>406.04619861867286</v>
      </c>
      <c r="K169" s="1">
        <f>D169*$E$1867/E169</f>
        <v>12.550477403797386</v>
      </c>
      <c r="L169" s="26">
        <f t="shared" si="11"/>
        <v>29.003299901333772</v>
      </c>
      <c r="M169" s="10">
        <f t="shared" si="9"/>
        <v>13.432292746944762</v>
      </c>
      <c r="N169" s="4">
        <f t="shared" si="10"/>
        <v>17.357970009963744</v>
      </c>
      <c r="O169" s="36">
        <f>1/M169-(G169/100-(((E169/E49)^(1/10))-1))</f>
        <v>6.7139154078262736E-3</v>
      </c>
      <c r="R169" s="30"/>
      <c r="S169" s="30"/>
    </row>
    <row r="170" spans="1:19" ht="13" x14ac:dyDescent="0.3">
      <c r="A170" s="52" t="s">
        <v>186</v>
      </c>
      <c r="B170" s="6">
        <v>4.24</v>
      </c>
      <c r="C170" s="1">
        <v>0.30420000000000003</v>
      </c>
      <c r="D170" s="6">
        <v>0.30669999999999997</v>
      </c>
      <c r="E170" s="6">
        <v>8.2776793390000005</v>
      </c>
      <c r="F170" s="1">
        <f t="shared" si="12"/>
        <v>1885.041666666654</v>
      </c>
      <c r="G170" s="17">
        <v>3.52</v>
      </c>
      <c r="H170" s="1">
        <f>B170*$E$1867/E170</f>
        <v>171.65814255516429</v>
      </c>
      <c r="I170" s="1">
        <f>C170*$E$1867/E170</f>
        <v>12.315662020113438</v>
      </c>
      <c r="J170" s="26">
        <f t="shared" si="13"/>
        <v>399.06201688436784</v>
      </c>
      <c r="K170" s="1">
        <f>D170*$E$1867/E170</f>
        <v>12.416875547563414</v>
      </c>
      <c r="L170" s="26">
        <f t="shared" si="11"/>
        <v>28.86611334397066</v>
      </c>
      <c r="M170" s="10">
        <f t="shared" si="9"/>
        <v>13.129817425635961</v>
      </c>
      <c r="N170" s="4">
        <f t="shared" si="10"/>
        <v>16.987379177257104</v>
      </c>
      <c r="O170" s="36">
        <f>1/M170-(G170/100-(((E170/E50)^(1/10))-1))</f>
        <v>8.5123158224836432E-3</v>
      </c>
      <c r="R170" s="30"/>
      <c r="S170" s="30"/>
    </row>
    <row r="171" spans="1:19" ht="13" x14ac:dyDescent="0.3">
      <c r="A171" s="52" t="s">
        <v>187</v>
      </c>
      <c r="B171" s="6">
        <v>4.37</v>
      </c>
      <c r="C171" s="1">
        <v>0.29830000000000001</v>
      </c>
      <c r="D171" s="6">
        <v>0.30330000000000001</v>
      </c>
      <c r="E171" s="6">
        <v>8.3728446279999993</v>
      </c>
      <c r="F171" s="1">
        <f t="shared" si="12"/>
        <v>1885.1249999999873</v>
      </c>
      <c r="G171" s="17">
        <f>G170*11/12+G182*1/12</f>
        <v>3.5074999999999998</v>
      </c>
      <c r="H171" s="1">
        <f>B171*$E$1867/E171</f>
        <v>174.91036888496771</v>
      </c>
      <c r="I171" s="1">
        <f>C171*$E$1867/E171</f>
        <v>11.939533876060839</v>
      </c>
      <c r="J171" s="26">
        <f t="shared" si="13"/>
        <v>408.935659806731</v>
      </c>
      <c r="K171" s="1">
        <f>D171*$E$1867/E171</f>
        <v>12.13966015624959</v>
      </c>
      <c r="L171" s="26">
        <f t="shared" si="11"/>
        <v>28.382193505579295</v>
      </c>
      <c r="M171" s="10">
        <f t="shared" si="9"/>
        <v>13.384817593597962</v>
      </c>
      <c r="N171" s="4">
        <f t="shared" si="10"/>
        <v>17.334064590871229</v>
      </c>
      <c r="O171" s="36">
        <f>1/M171-(G171/100-(((E171/E51)^(1/10))-1))</f>
        <v>8.2929509633673099E-3</v>
      </c>
      <c r="R171" s="30"/>
      <c r="S171" s="30"/>
    </row>
    <row r="172" spans="1:19" ht="13" x14ac:dyDescent="0.3">
      <c r="A172" s="52" t="s">
        <v>188</v>
      </c>
      <c r="B172" s="6">
        <v>4.38</v>
      </c>
      <c r="C172" s="1">
        <v>0.29249999999999998</v>
      </c>
      <c r="D172" s="6">
        <v>0.3</v>
      </c>
      <c r="E172" s="6">
        <v>8.18251405</v>
      </c>
      <c r="F172" s="1">
        <f t="shared" si="12"/>
        <v>1885.2083333333205</v>
      </c>
      <c r="G172" s="17">
        <f>G170*10/12+G182*2/12</f>
        <v>3.4950000000000001</v>
      </c>
      <c r="H172" s="1">
        <f>B172*$E$1867/E172</f>
        <v>179.38846007847673</v>
      </c>
      <c r="I172" s="1">
        <f>C172*$E$1867/E172</f>
        <v>11.979708806610603</v>
      </c>
      <c r="J172" s="26">
        <f t="shared" si="13"/>
        <v>421.73933387283972</v>
      </c>
      <c r="K172" s="1">
        <f>D172*$E$1867/E172</f>
        <v>12.286880827292926</v>
      </c>
      <c r="L172" s="26">
        <f t="shared" si="11"/>
        <v>28.886255744715051</v>
      </c>
      <c r="M172" s="10">
        <f t="shared" si="9"/>
        <v>13.734194093452508</v>
      </c>
      <c r="N172" s="4">
        <f t="shared" si="10"/>
        <v>17.803189669171839</v>
      </c>
      <c r="O172" s="36">
        <f>1/M172-(G172/100-(((E172/E52)^(1/10))-1))</f>
        <v>4.2926131988319099E-3</v>
      </c>
      <c r="R172" s="30"/>
      <c r="S172" s="30"/>
    </row>
    <row r="173" spans="1:19" ht="13" x14ac:dyDescent="0.3">
      <c r="A173" s="52" t="s">
        <v>189</v>
      </c>
      <c r="B173" s="6">
        <v>4.37</v>
      </c>
      <c r="C173" s="1">
        <v>0.28670000000000001</v>
      </c>
      <c r="D173" s="6">
        <v>0.29670000000000002</v>
      </c>
      <c r="E173" s="6">
        <v>8.2776793390000005</v>
      </c>
      <c r="F173" s="1">
        <f t="shared" si="12"/>
        <v>1885.2916666666538</v>
      </c>
      <c r="G173" s="17">
        <f>G170*9/12+G182*3/12</f>
        <v>3.4824999999999999</v>
      </c>
      <c r="H173" s="1">
        <f>B173*$E$1867/E173</f>
        <v>176.92124598256316</v>
      </c>
      <c r="I173" s="1">
        <f>C173*$E$1867/E173</f>
        <v>11.607167327963584</v>
      </c>
      <c r="J173" s="26">
        <f t="shared" si="13"/>
        <v>418.21297561303282</v>
      </c>
      <c r="K173" s="1">
        <f>D173*$E$1867/E173</f>
        <v>12.012021437763499</v>
      </c>
      <c r="L173" s="26">
        <f t="shared" si="11"/>
        <v>28.394459923200653</v>
      </c>
      <c r="M173" s="10">
        <f t="shared" si="9"/>
        <v>13.548548541030051</v>
      </c>
      <c r="N173" s="4">
        <f t="shared" si="10"/>
        <v>17.577505686645946</v>
      </c>
      <c r="O173" s="36">
        <f>1/M173-(G173/100-(((E173/E53)^(1/10))-1))</f>
        <v>5.737937472184762E-3</v>
      </c>
      <c r="R173" s="30"/>
      <c r="S173" s="30"/>
    </row>
    <row r="174" spans="1:19" ht="13" x14ac:dyDescent="0.3">
      <c r="A174" s="52" t="s">
        <v>190</v>
      </c>
      <c r="B174" s="6">
        <v>4.32</v>
      </c>
      <c r="C174" s="1">
        <v>0.28079999999999999</v>
      </c>
      <c r="D174" s="6">
        <v>0.29330000000000001</v>
      </c>
      <c r="E174" s="6">
        <v>8.0873811569999994</v>
      </c>
      <c r="F174" s="1">
        <f t="shared" si="12"/>
        <v>1885.374999999987</v>
      </c>
      <c r="G174" s="17">
        <f>G170*8/12+G182*4/12</f>
        <v>3.4699999999999998</v>
      </c>
      <c r="H174" s="1">
        <f>B174*$E$1867/E174</f>
        <v>179.01234675293048</v>
      </c>
      <c r="I174" s="1">
        <f>C174*$E$1867/E174</f>
        <v>11.63580253894048</v>
      </c>
      <c r="J174" s="26">
        <f t="shared" si="13"/>
        <v>425.44809182907045</v>
      </c>
      <c r="K174" s="1">
        <f>D174*$E$1867/E174</f>
        <v>12.153778079313545</v>
      </c>
      <c r="L174" s="26">
        <f t="shared" si="11"/>
        <v>28.885167901265365</v>
      </c>
      <c r="M174" s="10">
        <f t="shared" si="9"/>
        <v>13.711371872561935</v>
      </c>
      <c r="N174" s="4">
        <f t="shared" si="10"/>
        <v>17.804975054591747</v>
      </c>
      <c r="O174" s="36">
        <f>1/M174-(G174/100-(((E174/E54)^(1/10))-1))</f>
        <v>5.1448214108693047E-3</v>
      </c>
      <c r="R174" s="30"/>
      <c r="S174" s="30"/>
    </row>
    <row r="175" spans="1:19" ht="13" x14ac:dyDescent="0.3">
      <c r="A175" s="52" t="s">
        <v>191</v>
      </c>
      <c r="B175" s="6">
        <v>4.3</v>
      </c>
      <c r="C175" s="1">
        <v>0.27500000000000002</v>
      </c>
      <c r="D175" s="6">
        <v>0.28999999999999998</v>
      </c>
      <c r="E175" s="6">
        <v>7.8970910740000004</v>
      </c>
      <c r="F175" s="1">
        <f t="shared" si="12"/>
        <v>1885.4583333333203</v>
      </c>
      <c r="G175" s="17">
        <f>G170*7/12+G182*5/12</f>
        <v>3.4575</v>
      </c>
      <c r="H175" s="1">
        <f>B175*$E$1867/E175</f>
        <v>182.47713765697921</v>
      </c>
      <c r="I175" s="1">
        <f>C175*$E$1867/E175</f>
        <v>11.67004950131844</v>
      </c>
      <c r="J175" s="26">
        <f t="shared" si="13"/>
        <v>435.99394934829348</v>
      </c>
      <c r="K175" s="1">
        <f>D175*$E$1867/E175</f>
        <v>12.306597655935807</v>
      </c>
      <c r="L175" s="26">
        <f t="shared" si="11"/>
        <v>29.404243095582586</v>
      </c>
      <c r="M175" s="10">
        <f t="shared" si="9"/>
        <v>13.978784368698348</v>
      </c>
      <c r="N175" s="4">
        <f t="shared" si="10"/>
        <v>18.166486027738827</v>
      </c>
      <c r="O175" s="36">
        <f>1/M175-(G175/100-(((E175/E55)^(1/10))-1))</f>
        <v>3.2111125845226407E-3</v>
      </c>
      <c r="R175" s="30"/>
      <c r="S175" s="30"/>
    </row>
    <row r="176" spans="1:19" ht="13" x14ac:dyDescent="0.3">
      <c r="A176" s="52" t="s">
        <v>192</v>
      </c>
      <c r="B176" s="6">
        <v>4.46</v>
      </c>
      <c r="C176" s="1">
        <v>0.26919999999999999</v>
      </c>
      <c r="D176" s="6">
        <v>0.28670000000000001</v>
      </c>
      <c r="E176" s="6">
        <v>7.9922320659999997</v>
      </c>
      <c r="F176" s="1">
        <f t="shared" si="12"/>
        <v>1885.5416666666536</v>
      </c>
      <c r="G176" s="17">
        <f>G170*6/12+G182*6/12</f>
        <v>3.4449999999999998</v>
      </c>
      <c r="H176" s="1">
        <f>B176*$E$1867/E176</f>
        <v>187.01391584442015</v>
      </c>
      <c r="I176" s="1">
        <f>C176*$E$1867/E176</f>
        <v>11.287925144690112</v>
      </c>
      <c r="J176" s="26">
        <f t="shared" si="13"/>
        <v>449.08123318690724</v>
      </c>
      <c r="K176" s="1">
        <f>D176*$E$1867/E176</f>
        <v>12.021724141837501</v>
      </c>
      <c r="L176" s="26">
        <f t="shared" si="11"/>
        <v>28.868069406880334</v>
      </c>
      <c r="M176" s="10">
        <f t="shared" si="9"/>
        <v>14.326658777089326</v>
      </c>
      <c r="N176" s="4">
        <f t="shared" si="10"/>
        <v>18.627238981582366</v>
      </c>
      <c r="O176" s="36">
        <f>1/M176-(G176/100-(((E176/E56)^(1/10))-1))</f>
        <v>2.7569141791608243E-3</v>
      </c>
      <c r="R176" s="30"/>
      <c r="S176" s="30"/>
    </row>
    <row r="177" spans="1:19" ht="13" x14ac:dyDescent="0.3">
      <c r="A177" s="52" t="s">
        <v>193</v>
      </c>
      <c r="B177" s="6">
        <v>4.71</v>
      </c>
      <c r="C177" s="1">
        <v>0.26329999999999998</v>
      </c>
      <c r="D177" s="6">
        <v>0.2833</v>
      </c>
      <c r="E177" s="6">
        <v>7.9922320659999997</v>
      </c>
      <c r="F177" s="1">
        <f t="shared" si="12"/>
        <v>1885.6249999999868</v>
      </c>
      <c r="G177" s="17">
        <f>G170*5/12+G182*7/12</f>
        <v>3.4325000000000001</v>
      </c>
      <c r="H177" s="1">
        <f>B177*$E$1867/E177</f>
        <v>197.49675866081139</v>
      </c>
      <c r="I177" s="1">
        <f>C177*$E$1867/E177</f>
        <v>11.040530054223277</v>
      </c>
      <c r="J177" s="26">
        <f t="shared" si="13"/>
        <v>476.46327332627254</v>
      </c>
      <c r="K177" s="1">
        <f>D177*$E$1867/E177</f>
        <v>11.879157479534578</v>
      </c>
      <c r="L177" s="26">
        <f t="shared" si="11"/>
        <v>28.658608351026114</v>
      </c>
      <c r="M177" s="10">
        <f t="shared" si="9"/>
        <v>15.13041079670715</v>
      </c>
      <c r="N177" s="4">
        <f t="shared" si="10"/>
        <v>19.676139676121814</v>
      </c>
      <c r="O177" s="36">
        <f>1/M177-(G177/100-(((E177/E57)^(1/10))-1))</f>
        <v>-1.6484217982207505E-3</v>
      </c>
      <c r="R177" s="30"/>
      <c r="S177" s="30"/>
    </row>
    <row r="178" spans="1:19" ht="13" x14ac:dyDescent="0.3">
      <c r="A178" s="52" t="s">
        <v>194</v>
      </c>
      <c r="B178" s="6">
        <v>4.6500000000000004</v>
      </c>
      <c r="C178" s="1">
        <v>0.25750000000000001</v>
      </c>
      <c r="D178" s="6">
        <v>0.28000000000000003</v>
      </c>
      <c r="E178" s="6">
        <v>7.8970910740000004</v>
      </c>
      <c r="F178" s="1">
        <f t="shared" si="12"/>
        <v>1885.7083333333201</v>
      </c>
      <c r="G178" s="17">
        <f>G170*4/12+G182*8/12</f>
        <v>3.42</v>
      </c>
      <c r="H178" s="1">
        <f>B178*$E$1867/E178</f>
        <v>197.32992793138453</v>
      </c>
      <c r="I178" s="1">
        <f>C178*$E$1867/E178</f>
        <v>10.927409987598175</v>
      </c>
      <c r="J178" s="26">
        <f t="shared" si="13"/>
        <v>478.2576677319056</v>
      </c>
      <c r="K178" s="1">
        <f>D178*$E$1867/E178</f>
        <v>11.882232219524228</v>
      </c>
      <c r="L178" s="26">
        <f t="shared" si="11"/>
        <v>28.798311175254529</v>
      </c>
      <c r="M178" s="10">
        <f t="shared" si="9"/>
        <v>15.116285028724239</v>
      </c>
      <c r="N178" s="4">
        <f t="shared" si="10"/>
        <v>19.662671854522607</v>
      </c>
      <c r="O178" s="36">
        <f>1/M178-(G178/100-(((E178/E58)^(1/10))-1))</f>
        <v>-1.7970460660680643E-3</v>
      </c>
      <c r="R178" s="30"/>
      <c r="S178" s="30"/>
    </row>
    <row r="179" spans="1:19" ht="13" x14ac:dyDescent="0.3">
      <c r="A179" s="52" t="s">
        <v>195</v>
      </c>
      <c r="B179" s="6">
        <v>4.92</v>
      </c>
      <c r="C179" s="1">
        <v>0.25169999999999998</v>
      </c>
      <c r="D179" s="6">
        <v>0.2767</v>
      </c>
      <c r="E179" s="6">
        <v>7.8970910740000004</v>
      </c>
      <c r="F179" s="1">
        <f t="shared" si="12"/>
        <v>1885.7916666666533</v>
      </c>
      <c r="G179" s="17">
        <f>G170*3/12+G182*9/12</f>
        <v>3.4075000000000002</v>
      </c>
      <c r="H179" s="1">
        <f>B179*$E$1867/E179</f>
        <v>208.78779471449715</v>
      </c>
      <c r="I179" s="1">
        <f>C179*$E$1867/E179</f>
        <v>10.681278034479456</v>
      </c>
      <c r="J179" s="26">
        <f t="shared" si="13"/>
        <v>508.18476985411866</v>
      </c>
      <c r="K179" s="1">
        <f>D179*$E$1867/E179</f>
        <v>11.742191625508408</v>
      </c>
      <c r="L179" s="26">
        <f t="shared" si="11"/>
        <v>28.58022882492574</v>
      </c>
      <c r="M179" s="10">
        <f t="shared" si="9"/>
        <v>15.991023962168978</v>
      </c>
      <c r="N179" s="4">
        <f t="shared" si="10"/>
        <v>20.799074639680072</v>
      </c>
      <c r="O179" s="36">
        <f>1/M179-(G179/100-(((E179/E59)^(1/10))-1))</f>
        <v>-5.2907838125079987E-3</v>
      </c>
      <c r="R179" s="30"/>
      <c r="S179" s="30"/>
    </row>
    <row r="180" spans="1:19" ht="13" x14ac:dyDescent="0.3">
      <c r="A180" s="52" t="s">
        <v>196</v>
      </c>
      <c r="B180" s="6">
        <v>5.24</v>
      </c>
      <c r="C180" s="1">
        <v>0.24579999999999999</v>
      </c>
      <c r="D180" s="6">
        <v>0.27329999999999999</v>
      </c>
      <c r="E180" s="6">
        <v>7.9922320659999997</v>
      </c>
      <c r="F180" s="1">
        <f t="shared" si="12"/>
        <v>1885.8749999999866</v>
      </c>
      <c r="G180" s="17">
        <f>G170*2/12+G182*10/12</f>
        <v>3.3950000000000005</v>
      </c>
      <c r="H180" s="1">
        <f>B180*$E$1867/E180</f>
        <v>219.72038543156086</v>
      </c>
      <c r="I180" s="1">
        <f>C180*$E$1867/E180</f>
        <v>10.30673105707589</v>
      </c>
      <c r="J180" s="26">
        <f t="shared" si="13"/>
        <v>536.884977569022</v>
      </c>
      <c r="K180" s="1">
        <f>D180*$E$1867/E180</f>
        <v>11.459843766878928</v>
      </c>
      <c r="L180" s="26">
        <f t="shared" si="11"/>
        <v>28.002035185040782</v>
      </c>
      <c r="M180" s="10">
        <f t="shared" si="9"/>
        <v>16.824034498619014</v>
      </c>
      <c r="N180" s="4">
        <f t="shared" si="10"/>
        <v>21.875099662394899</v>
      </c>
      <c r="O180" s="36">
        <f>1/M180-(G180/100-(((E180/E60)^(1/10))-1))</f>
        <v>-6.2733324591975198E-3</v>
      </c>
      <c r="R180" s="30"/>
      <c r="S180" s="30"/>
    </row>
    <row r="181" spans="1:19" ht="13" x14ac:dyDescent="0.3">
      <c r="A181" s="52" t="s">
        <v>197</v>
      </c>
      <c r="B181" s="6">
        <v>5.2</v>
      </c>
      <c r="C181" s="1">
        <v>0.24</v>
      </c>
      <c r="D181" s="6">
        <v>0.27</v>
      </c>
      <c r="E181" s="6">
        <v>8.18251405</v>
      </c>
      <c r="F181" s="1">
        <f t="shared" si="12"/>
        <v>1885.9583333333198</v>
      </c>
      <c r="G181" s="17">
        <f>G170*1/12+G182*11/12</f>
        <v>3.3825000000000003</v>
      </c>
      <c r="H181" s="1">
        <f>B181*$E$1867/E181</f>
        <v>212.97260100641074</v>
      </c>
      <c r="I181" s="1">
        <f>C181*$E$1867/E181</f>
        <v>9.829504661834342</v>
      </c>
      <c r="J181" s="26">
        <f t="shared" si="13"/>
        <v>522.39834735643694</v>
      </c>
      <c r="K181" s="1">
        <f>D181*$E$1867/E181</f>
        <v>11.058192744563634</v>
      </c>
      <c r="L181" s="26">
        <f t="shared" si="11"/>
        <v>27.124529574276529</v>
      </c>
      <c r="M181" s="10">
        <f t="shared" si="9"/>
        <v>16.304475952278519</v>
      </c>
      <c r="N181" s="4">
        <f t="shared" si="10"/>
        <v>21.192987772511696</v>
      </c>
      <c r="O181" s="36">
        <f>1/M181-(G181/100-(((E181/E61)^(1/10))-1))</f>
        <v>-1.1325526271278932E-3</v>
      </c>
      <c r="R181" s="30"/>
      <c r="S181" s="30"/>
    </row>
    <row r="182" spans="1:19" ht="13" x14ac:dyDescent="0.3">
      <c r="A182" s="52" t="s">
        <v>198</v>
      </c>
      <c r="B182" s="6">
        <v>5.2</v>
      </c>
      <c r="C182" s="1">
        <v>0.23830000000000001</v>
      </c>
      <c r="D182" s="6">
        <v>0.27500000000000002</v>
      </c>
      <c r="E182" s="6">
        <v>7.9922320659999997</v>
      </c>
      <c r="F182" s="1">
        <f t="shared" si="12"/>
        <v>1886.0416666666531</v>
      </c>
      <c r="G182" s="17">
        <v>3.37</v>
      </c>
      <c r="H182" s="1">
        <f>B182*$E$1867/E182</f>
        <v>218.04313058093828</v>
      </c>
      <c r="I182" s="1">
        <f>C182*$E$1867/E182</f>
        <v>9.9922457725841536</v>
      </c>
      <c r="J182" s="26">
        <f t="shared" si="13"/>
        <v>536.87828818081437</v>
      </c>
      <c r="K182" s="1">
        <f>D182*$E$1867/E182</f>
        <v>11.531127098030391</v>
      </c>
      <c r="L182" s="26">
        <f t="shared" si="11"/>
        <v>28.392601778793068</v>
      </c>
      <c r="M182" s="10">
        <f t="shared" si="9"/>
        <v>16.692317470797647</v>
      </c>
      <c r="N182" s="4">
        <f t="shared" si="10"/>
        <v>21.692296410859033</v>
      </c>
      <c r="O182" s="36">
        <f>1/M182-(G182/100-(((E182/E62)^(1/10))-1))</f>
        <v>-3.8685591279262257E-3</v>
      </c>
      <c r="R182" s="30"/>
      <c r="S182" s="30"/>
    </row>
    <row r="183" spans="1:19" ht="13" x14ac:dyDescent="0.3">
      <c r="A183" s="52" t="s">
        <v>199</v>
      </c>
      <c r="B183" s="6">
        <v>5.3</v>
      </c>
      <c r="C183" s="1">
        <v>0.23669999999999999</v>
      </c>
      <c r="D183" s="6">
        <v>0.28000000000000003</v>
      </c>
      <c r="E183" s="6">
        <v>7.9922320659999997</v>
      </c>
      <c r="F183" s="1">
        <f t="shared" si="12"/>
        <v>1886.1249999999864</v>
      </c>
      <c r="G183" s="17">
        <f>G182*11/12+G194*1/12</f>
        <v>3.3825000000000003</v>
      </c>
      <c r="H183" s="1">
        <f>B183*$E$1867/E183</f>
        <v>222.23626770749476</v>
      </c>
      <c r="I183" s="1">
        <f>C183*$E$1867/E183</f>
        <v>9.9251555785592469</v>
      </c>
      <c r="J183" s="26">
        <f t="shared" si="13"/>
        <v>549.2393945370543</v>
      </c>
      <c r="K183" s="1">
        <f>D183*$E$1867/E183</f>
        <v>11.740783954358214</v>
      </c>
      <c r="L183" s="26">
        <f t="shared" si="11"/>
        <v>29.016420843467021</v>
      </c>
      <c r="M183" s="10">
        <f t="shared" si="9"/>
        <v>17.006648259460995</v>
      </c>
      <c r="N183" s="4">
        <f t="shared" si="10"/>
        <v>22.092422581197674</v>
      </c>
      <c r="O183" s="36">
        <f>1/M183-(G183/100-(((E183/E63)^(1/10))-1))</f>
        <v>-5.1008240881719805E-3</v>
      </c>
      <c r="R183" s="30"/>
      <c r="S183" s="30"/>
    </row>
    <row r="184" spans="1:19" ht="13" x14ac:dyDescent="0.3">
      <c r="A184" s="52" t="s">
        <v>200</v>
      </c>
      <c r="B184" s="6">
        <v>5.19</v>
      </c>
      <c r="C184" s="1">
        <v>0.23499999999999999</v>
      </c>
      <c r="D184" s="6">
        <v>0.28499999999999998</v>
      </c>
      <c r="E184" s="6">
        <v>7.8970910740000004</v>
      </c>
      <c r="F184" s="1">
        <f t="shared" si="12"/>
        <v>1886.2083333333196</v>
      </c>
      <c r="G184" s="17">
        <f>G182*10/12+G194*2/12</f>
        <v>3.3950000000000005</v>
      </c>
      <c r="H184" s="1">
        <f>B184*$E$1867/E184</f>
        <v>220.24566149760983</v>
      </c>
      <c r="I184" s="1">
        <f>C184*$E$1867/E184</f>
        <v>9.9725877556721194</v>
      </c>
      <c r="J184" s="26">
        <f t="shared" si="13"/>
        <v>546.37364036632016</v>
      </c>
      <c r="K184" s="1">
        <f>D184*$E$1867/E184</f>
        <v>12.094414937730019</v>
      </c>
      <c r="L184" s="26">
        <f t="shared" si="11"/>
        <v>30.003176783121628</v>
      </c>
      <c r="M184" s="10">
        <f t="shared" si="9"/>
        <v>16.843266101570133</v>
      </c>
      <c r="N184" s="4">
        <f t="shared" si="10"/>
        <v>21.873223559591597</v>
      </c>
      <c r="O184" s="36">
        <f>1/M184-(G184/100-(((E184/E64)^(1/10))-1))</f>
        <v>-5.816297274969684E-3</v>
      </c>
      <c r="R184" s="30"/>
      <c r="S184" s="30"/>
    </row>
    <row r="185" spans="1:19" ht="13" x14ac:dyDescent="0.3">
      <c r="A185" s="52" t="s">
        <v>201</v>
      </c>
      <c r="B185" s="6">
        <v>5.12</v>
      </c>
      <c r="C185" s="1">
        <v>0.23330000000000001</v>
      </c>
      <c r="D185" s="6">
        <v>0.28999999999999998</v>
      </c>
      <c r="E185" s="6">
        <v>7.8019419829999999</v>
      </c>
      <c r="F185" s="1">
        <f t="shared" si="12"/>
        <v>1886.2916666666529</v>
      </c>
      <c r="G185" s="17">
        <f>G182*9/12+G194*3/12</f>
        <v>3.4075000000000002</v>
      </c>
      <c r="H185" s="1">
        <f>B185*$E$1867/E185</f>
        <v>219.92489610134547</v>
      </c>
      <c r="I185" s="1">
        <f>C185*$E$1867/E185</f>
        <v>10.021187160242947</v>
      </c>
      <c r="J185" s="26">
        <f t="shared" si="13"/>
        <v>547.64957144841196</v>
      </c>
      <c r="K185" s="1">
        <f>D185*$E$1867/E185</f>
        <v>12.456683568240267</v>
      </c>
      <c r="L185" s="26">
        <f t="shared" si="11"/>
        <v>31.019214007820203</v>
      </c>
      <c r="M185" s="10">
        <f t="shared" si="9"/>
        <v>16.801716131246302</v>
      </c>
      <c r="N185" s="4">
        <f t="shared" si="10"/>
        <v>21.812473807208203</v>
      </c>
      <c r="O185" s="36">
        <f>1/M185-(G185/100-(((E185/E65)^(1/10))-1))</f>
        <v>-6.1157463251582667E-3</v>
      </c>
      <c r="R185" s="30"/>
      <c r="S185" s="30"/>
    </row>
    <row r="186" spans="1:19" ht="13" x14ac:dyDescent="0.3">
      <c r="A186" s="52" t="s">
        <v>202</v>
      </c>
      <c r="B186" s="6">
        <v>5.0199999999999996</v>
      </c>
      <c r="C186" s="1">
        <v>0.23169999999999999</v>
      </c>
      <c r="D186" s="6">
        <v>0.29499999999999998</v>
      </c>
      <c r="E186" s="6">
        <v>7.6116519010000001</v>
      </c>
      <c r="F186" s="1">
        <f t="shared" si="12"/>
        <v>1886.3749999999861</v>
      </c>
      <c r="G186" s="17">
        <f>G182*8/12+G194*4/12</f>
        <v>3.42</v>
      </c>
      <c r="H186" s="1">
        <f>B186*$E$1867/E186</f>
        <v>221.02019073927693</v>
      </c>
      <c r="I186" s="1">
        <f>C186*$E$1867/E186</f>
        <v>10.201270556631568</v>
      </c>
      <c r="J186" s="26">
        <f t="shared" si="13"/>
        <v>552.49394231625593</v>
      </c>
      <c r="K186" s="1">
        <f>D186*$E$1867/E186</f>
        <v>12.988238300415677</v>
      </c>
      <c r="L186" s="26">
        <f t="shared" si="11"/>
        <v>32.46727350264851</v>
      </c>
      <c r="M186" s="10">
        <f t="shared" ref="M186:M249" si="14">H186/AVERAGE(K66:K185)</f>
        <v>16.863195515097821</v>
      </c>
      <c r="N186" s="4">
        <f t="shared" ref="N186:N249" si="15">J186/AVERAGE(L66:L185)</f>
        <v>21.88583969576424</v>
      </c>
      <c r="O186" s="36">
        <f>1/M186-(G186/100-(((E186/E66)^(1/10))-1))</f>
        <v>-5.3582071231189146E-3</v>
      </c>
      <c r="R186" s="30"/>
      <c r="S186" s="30"/>
    </row>
    <row r="187" spans="1:19" ht="13" x14ac:dyDescent="0.3">
      <c r="A187" s="52" t="s">
        <v>203</v>
      </c>
      <c r="B187" s="6">
        <v>5.25</v>
      </c>
      <c r="C187" s="1">
        <v>0.23</v>
      </c>
      <c r="D187" s="6">
        <v>0.3</v>
      </c>
      <c r="E187" s="6">
        <v>7.5165028100000004</v>
      </c>
      <c r="F187" s="1">
        <f t="shared" si="12"/>
        <v>1886.4583333333194</v>
      </c>
      <c r="G187" s="17">
        <f>G182*7/12+G194*5/12</f>
        <v>3.4325000000000001</v>
      </c>
      <c r="H187" s="1">
        <f>B187*$E$1867/E187</f>
        <v>234.07262752024434</v>
      </c>
      <c r="I187" s="1">
        <f>C187*$E$1867/E187</f>
        <v>10.254610348505942</v>
      </c>
      <c r="J187" s="26">
        <f t="shared" si="13"/>
        <v>587.25785417025361</v>
      </c>
      <c r="K187" s="1">
        <f>D187*$E$1867/E187</f>
        <v>13.375578715442533</v>
      </c>
      <c r="L187" s="26">
        <f t="shared" si="11"/>
        <v>33.557591666871637</v>
      </c>
      <c r="M187" s="10">
        <f t="shared" si="14"/>
        <v>17.831494055376876</v>
      </c>
      <c r="N187" s="4">
        <f t="shared" si="15"/>
        <v>23.128666989576455</v>
      </c>
      <c r="O187" s="36">
        <f>1/M187-(G187/100-(((E187/E67)^(1/10))-1))</f>
        <v>-7.215438082054132E-3</v>
      </c>
      <c r="R187" s="30"/>
      <c r="S187" s="30"/>
    </row>
    <row r="188" spans="1:19" ht="13" x14ac:dyDescent="0.3">
      <c r="A188" s="52" t="s">
        <v>204</v>
      </c>
      <c r="B188" s="6">
        <v>5.33</v>
      </c>
      <c r="C188" s="1">
        <v>0.2283</v>
      </c>
      <c r="D188" s="6">
        <v>0.30499999999999999</v>
      </c>
      <c r="E188" s="6">
        <v>7.6116519010000001</v>
      </c>
      <c r="F188" s="1">
        <f t="shared" si="12"/>
        <v>1886.5416666666526</v>
      </c>
      <c r="G188" s="17">
        <f>G182*6/12+G194*6/12</f>
        <v>3.4449999999999998</v>
      </c>
      <c r="H188" s="1">
        <f>B188*$E$1867/E188</f>
        <v>234.66884793632391</v>
      </c>
      <c r="I188" s="1">
        <f>C188*$E$1867/E188</f>
        <v>10.051575606728472</v>
      </c>
      <c r="J188" s="26">
        <f t="shared" si="13"/>
        <v>590.85520210124866</v>
      </c>
      <c r="K188" s="1">
        <f>D188*$E$1867/E188</f>
        <v>13.428517564836547</v>
      </c>
      <c r="L188" s="26">
        <f t="shared" si="11"/>
        <v>33.81066353487445</v>
      </c>
      <c r="M188" s="10">
        <f t="shared" si="14"/>
        <v>17.845845041532201</v>
      </c>
      <c r="N188" s="4">
        <f t="shared" si="15"/>
        <v>23.13006740187334</v>
      </c>
      <c r="O188" s="36">
        <f>1/M188-(G188/100-(((E188/E68)^(1/10))-1))</f>
        <v>-6.1632867403132799E-3</v>
      </c>
      <c r="R188" s="30"/>
      <c r="S188" s="30"/>
    </row>
    <row r="189" spans="1:19" ht="13" x14ac:dyDescent="0.3">
      <c r="A189" s="52" t="s">
        <v>205</v>
      </c>
      <c r="B189" s="6">
        <v>5.37</v>
      </c>
      <c r="C189" s="1">
        <v>0.22670000000000001</v>
      </c>
      <c r="D189" s="6">
        <v>0.31</v>
      </c>
      <c r="E189" s="6">
        <v>7.7067928930000003</v>
      </c>
      <c r="F189" s="1">
        <f t="shared" si="12"/>
        <v>1886.6249999999859</v>
      </c>
      <c r="G189" s="17">
        <f>G182*5/12+G194*7/12</f>
        <v>3.4575</v>
      </c>
      <c r="H189" s="1">
        <f>B189*$E$1867/E189</f>
        <v>233.51121763432602</v>
      </c>
      <c r="I189" s="1">
        <f>C189*$E$1867/E189</f>
        <v>9.8579130424025525</v>
      </c>
      <c r="J189" s="26">
        <f t="shared" si="13"/>
        <v>590.00886642065745</v>
      </c>
      <c r="K189" s="1">
        <f>D189*$E$1867/E189</f>
        <v>13.480163401609135</v>
      </c>
      <c r="L189" s="26">
        <f t="shared" si="11"/>
        <v>34.060102158361971</v>
      </c>
      <c r="M189" s="10">
        <f t="shared" si="14"/>
        <v>17.723912799619264</v>
      </c>
      <c r="N189" s="4">
        <f t="shared" si="15"/>
        <v>22.954973839219772</v>
      </c>
      <c r="O189" s="36">
        <f>1/M189-(G189/100-(((E189/E69)^(1/10))-1))</f>
        <v>-5.6081304491678863E-3</v>
      </c>
      <c r="R189" s="30"/>
      <c r="S189" s="30"/>
    </row>
    <row r="190" spans="1:19" ht="13" x14ac:dyDescent="0.3">
      <c r="A190" s="52" t="s">
        <v>206</v>
      </c>
      <c r="B190" s="6">
        <v>5.51</v>
      </c>
      <c r="C190" s="1">
        <v>0.22500000000000001</v>
      </c>
      <c r="D190" s="6">
        <v>0.315</v>
      </c>
      <c r="E190" s="6">
        <v>7.7067928930000003</v>
      </c>
      <c r="F190" s="1">
        <f t="shared" si="12"/>
        <v>1886.7083333333192</v>
      </c>
      <c r="G190" s="17">
        <f>G182*4/12+G194*8/12</f>
        <v>3.4699999999999998</v>
      </c>
      <c r="H190" s="1">
        <f>B190*$E$1867/E190</f>
        <v>239.59903336408496</v>
      </c>
      <c r="I190" s="1">
        <f>C190*$E$1867/E190</f>
        <v>9.7839895656840508</v>
      </c>
      <c r="J190" s="26">
        <f t="shared" si="13"/>
        <v>607.45093486465726</v>
      </c>
      <c r="K190" s="1">
        <f>D190*$E$1867/E190</f>
        <v>13.69758539195767</v>
      </c>
      <c r="L190" s="26">
        <f t="shared" si="11"/>
        <v>34.727231303514884</v>
      </c>
      <c r="M190" s="10">
        <f t="shared" si="14"/>
        <v>18.147143925800023</v>
      </c>
      <c r="N190" s="4">
        <f t="shared" si="15"/>
        <v>23.484613598095887</v>
      </c>
      <c r="O190" s="36">
        <f>1/M190-(G190/100-(((E190/E70)^(1/10))-1))</f>
        <v>-7.9534562704792339E-3</v>
      </c>
      <c r="R190" s="30"/>
      <c r="S190" s="30"/>
    </row>
    <row r="191" spans="1:19" ht="13" x14ac:dyDescent="0.3">
      <c r="A191" s="52" t="s">
        <v>207</v>
      </c>
      <c r="B191" s="6">
        <v>5.65</v>
      </c>
      <c r="C191" s="1">
        <v>0.2233</v>
      </c>
      <c r="D191" s="6">
        <v>0.32</v>
      </c>
      <c r="E191" s="6">
        <v>7.7067928930000003</v>
      </c>
      <c r="F191" s="1">
        <f t="shared" si="12"/>
        <v>1886.7916666666524</v>
      </c>
      <c r="G191" s="17">
        <f>G182*3/12+G194*9/12</f>
        <v>3.4824999999999999</v>
      </c>
      <c r="H191" s="1">
        <f>B191*$E$1867/E191</f>
        <v>245.68684909384396</v>
      </c>
      <c r="I191" s="1">
        <f>C191*$E$1867/E191</f>
        <v>9.710066088965549</v>
      </c>
      <c r="J191" s="26">
        <f t="shared" si="13"/>
        <v>624.93673892285312</v>
      </c>
      <c r="K191" s="1">
        <f>D191*$E$1867/E191</f>
        <v>13.915007382306205</v>
      </c>
      <c r="L191" s="26">
        <f t="shared" si="11"/>
        <v>35.394647160232388</v>
      </c>
      <c r="M191" s="10">
        <f t="shared" si="14"/>
        <v>18.562381342866558</v>
      </c>
      <c r="N191" s="4">
        <f t="shared" si="15"/>
        <v>24.001461288727917</v>
      </c>
      <c r="O191" s="36">
        <f>1/M191-(G191/100-(((E191/E71)^(1/10))-1))</f>
        <v>-1.1092002599045241E-2</v>
      </c>
      <c r="R191" s="30"/>
      <c r="S191" s="30"/>
    </row>
    <row r="192" spans="1:19" ht="13" x14ac:dyDescent="0.3">
      <c r="A192" s="52" t="s">
        <v>208</v>
      </c>
      <c r="B192" s="6">
        <v>5.79</v>
      </c>
      <c r="C192" s="1">
        <v>0.22170000000000001</v>
      </c>
      <c r="D192" s="6">
        <v>0.32500000000000001</v>
      </c>
      <c r="E192" s="6">
        <v>7.7067928930000003</v>
      </c>
      <c r="F192" s="1">
        <f t="shared" si="12"/>
        <v>1886.8749999999857</v>
      </c>
      <c r="G192" s="17">
        <f>G182*2/12+G194*10/12</f>
        <v>3.4950000000000001</v>
      </c>
      <c r="H192" s="1">
        <f>B192*$E$1867/E192</f>
        <v>251.7746648236029</v>
      </c>
      <c r="I192" s="1">
        <f>C192*$E$1867/E192</f>
        <v>9.640491052054017</v>
      </c>
      <c r="J192" s="26">
        <f t="shared" si="13"/>
        <v>642.46538488759631</v>
      </c>
      <c r="K192" s="1">
        <f>D192*$E$1867/E192</f>
        <v>14.132429372654739</v>
      </c>
      <c r="L192" s="26">
        <f t="shared" si="11"/>
        <v>36.062392070547283</v>
      </c>
      <c r="M192" s="10">
        <f t="shared" si="14"/>
        <v>18.968312634942833</v>
      </c>
      <c r="N192" s="4">
        <f t="shared" si="15"/>
        <v>24.504279362629461</v>
      </c>
      <c r="O192" s="36">
        <f>1/M192-(G192/100-(((E192/E72)^(1/10))-1))</f>
        <v>-1.3247391881082059E-2</v>
      </c>
      <c r="R192" s="30"/>
      <c r="S192" s="30"/>
    </row>
    <row r="193" spans="1:19" ht="13" x14ac:dyDescent="0.3">
      <c r="A193" s="52" t="s">
        <v>209</v>
      </c>
      <c r="B193" s="6">
        <v>5.64</v>
      </c>
      <c r="C193" s="1">
        <v>0.22</v>
      </c>
      <c r="D193" s="6">
        <v>0.33</v>
      </c>
      <c r="E193" s="6">
        <v>7.8019419829999999</v>
      </c>
      <c r="F193" s="1">
        <f t="shared" si="12"/>
        <v>1886.9583333333189</v>
      </c>
      <c r="G193" s="17">
        <f>G182*1/12+G194*11/12</f>
        <v>3.5074999999999998</v>
      </c>
      <c r="H193" s="1">
        <f>B193*$E$1867/E193</f>
        <v>242.26101836163832</v>
      </c>
      <c r="I193" s="1">
        <f>C193*$E$1867/E193</f>
        <v>9.4498978793546868</v>
      </c>
      <c r="J193" s="26">
        <f t="shared" si="13"/>
        <v>620.19844029007527</v>
      </c>
      <c r="K193" s="1">
        <f>D193*$E$1867/E193</f>
        <v>14.174846819032032</v>
      </c>
      <c r="L193" s="26">
        <f t="shared" si="11"/>
        <v>36.288206612717175</v>
      </c>
      <c r="M193" s="10">
        <f t="shared" si="14"/>
        <v>18.194057556886435</v>
      </c>
      <c r="N193" s="4">
        <f t="shared" si="15"/>
        <v>23.485324841739693</v>
      </c>
      <c r="O193" s="36">
        <f>1/M193-(G193/100-(((E193/E73)^(1/10))-1))</f>
        <v>-1.167047527602124E-2</v>
      </c>
      <c r="R193" s="30"/>
      <c r="S193" s="30"/>
    </row>
    <row r="194" spans="1:19" ht="13" x14ac:dyDescent="0.3">
      <c r="A194" s="52" t="s">
        <v>210</v>
      </c>
      <c r="B194" s="6">
        <v>5.58</v>
      </c>
      <c r="C194" s="1">
        <v>0.2225</v>
      </c>
      <c r="D194" s="6">
        <v>0.33250000000000002</v>
      </c>
      <c r="E194" s="6">
        <v>7.9922320659999997</v>
      </c>
      <c r="F194" s="1">
        <f t="shared" si="12"/>
        <v>1887.0416666666522</v>
      </c>
      <c r="G194" s="17">
        <v>3.52</v>
      </c>
      <c r="H194" s="1">
        <f>B194*$E$1867/E194</f>
        <v>233.97705166185298</v>
      </c>
      <c r="I194" s="1">
        <f>C194*$E$1867/E194</f>
        <v>9.3297301065882241</v>
      </c>
      <c r="J194" s="26">
        <f t="shared" si="13"/>
        <v>600.98151088171801</v>
      </c>
      <c r="K194" s="1">
        <f>D194*$E$1867/E194</f>
        <v>13.942180945800381</v>
      </c>
      <c r="L194" s="26">
        <f t="shared" si="11"/>
        <v>35.811174259528897</v>
      </c>
      <c r="M194" s="10">
        <f t="shared" si="14"/>
        <v>17.512222096304953</v>
      </c>
      <c r="N194" s="4">
        <f t="shared" si="15"/>
        <v>22.590754381510607</v>
      </c>
      <c r="O194" s="36">
        <f>1/M194-(G194/100-(((E194/E74)^(1/10))-1))</f>
        <v>-9.0202886756547557E-3</v>
      </c>
      <c r="R194" s="30"/>
      <c r="S194" s="30"/>
    </row>
    <row r="195" spans="1:19" ht="13" x14ac:dyDescent="0.3">
      <c r="A195" s="52" t="s">
        <v>211</v>
      </c>
      <c r="B195" s="6">
        <v>5.54</v>
      </c>
      <c r="C195" s="1">
        <v>0.22500000000000001</v>
      </c>
      <c r="D195" s="6">
        <v>0.33500000000000002</v>
      </c>
      <c r="E195" s="6">
        <v>8.0873811569999994</v>
      </c>
      <c r="F195" s="1">
        <f t="shared" si="12"/>
        <v>1887.1249999999854</v>
      </c>
      <c r="G195" s="17">
        <f>G194*11/12+G206*1/12</f>
        <v>3.5324999999999998</v>
      </c>
      <c r="H195" s="1">
        <f>B195*$E$1867/E195</f>
        <v>229.56675949334141</v>
      </c>
      <c r="I195" s="1">
        <f>C195*$E$1867/E195</f>
        <v>9.3235597267151302</v>
      </c>
      <c r="J195" s="26">
        <f t="shared" si="13"/>
        <v>591.64912785067679</v>
      </c>
      <c r="K195" s="1">
        <f>D195*$E$1867/E195</f>
        <v>13.881744481998082</v>
      </c>
      <c r="L195" s="26">
        <f t="shared" ref="L195:L258" si="16">K195*(J195/H195)</f>
        <v>35.776616936818904</v>
      </c>
      <c r="M195" s="10">
        <f t="shared" si="14"/>
        <v>17.125366596972313</v>
      </c>
      <c r="N195" s="4">
        <f t="shared" si="15"/>
        <v>22.080922961887381</v>
      </c>
      <c r="O195" s="36">
        <f>1/M195-(G195/100-(((E195/E75)^(1/10))-1))</f>
        <v>-4.1399718116107917E-3</v>
      </c>
      <c r="R195" s="30"/>
      <c r="S195" s="30"/>
    </row>
    <row r="196" spans="1:19" ht="13" x14ac:dyDescent="0.3">
      <c r="A196" s="52" t="s">
        <v>212</v>
      </c>
      <c r="B196" s="6">
        <v>5.67</v>
      </c>
      <c r="C196" s="1">
        <v>0.22750000000000001</v>
      </c>
      <c r="D196" s="6">
        <v>0.33750000000000002</v>
      </c>
      <c r="E196" s="6">
        <v>8.0873811569999994</v>
      </c>
      <c r="F196" s="1">
        <f t="shared" ref="F196:F259" si="17">F195+1/12</f>
        <v>1887.2083333333187</v>
      </c>
      <c r="G196" s="17">
        <f>G194*10/12+G206*2/12</f>
        <v>3.5450000000000004</v>
      </c>
      <c r="H196" s="1">
        <f>B196*$E$1867/E196</f>
        <v>234.95370511322125</v>
      </c>
      <c r="I196" s="1">
        <f>C196*$E$1867/E196</f>
        <v>9.4271548347897411</v>
      </c>
      <c r="J196" s="26">
        <f t="shared" ref="J196:J259" si="18">J195*((H196+(I196/12))/H195)</f>
        <v>607.55726286922493</v>
      </c>
      <c r="K196" s="1">
        <f>D196*$E$1867/E196</f>
        <v>13.985339590072694</v>
      </c>
      <c r="L196" s="26">
        <f t="shared" si="16"/>
        <v>36.164122789834821</v>
      </c>
      <c r="M196" s="10">
        <f t="shared" si="14"/>
        <v>17.473213711513747</v>
      </c>
      <c r="N196" s="4">
        <f t="shared" si="15"/>
        <v>22.517438233129685</v>
      </c>
      <c r="O196" s="36">
        <f>1/M196-(G196/100-(((E196/E76)^(1/10))-1))</f>
        <v>-9.7436043927958543E-4</v>
      </c>
      <c r="R196" s="30"/>
      <c r="S196" s="30"/>
    </row>
    <row r="197" spans="1:19" ht="13" x14ac:dyDescent="0.3">
      <c r="A197" s="52" t="s">
        <v>213</v>
      </c>
      <c r="B197" s="6">
        <v>5.8</v>
      </c>
      <c r="C197" s="1">
        <v>0.23</v>
      </c>
      <c r="D197" s="6">
        <v>0.34</v>
      </c>
      <c r="E197" s="6">
        <v>8.0873811569999994</v>
      </c>
      <c r="F197" s="1">
        <f t="shared" si="17"/>
        <v>1887.291666666652</v>
      </c>
      <c r="G197" s="17">
        <f>G194*9/12+G206*3/12</f>
        <v>3.5575000000000001</v>
      </c>
      <c r="H197" s="1">
        <f>B197*$E$1867/E197</f>
        <v>240.34065073310109</v>
      </c>
      <c r="I197" s="1">
        <f>C197*$E$1867/E197</f>
        <v>9.5307499428643538</v>
      </c>
      <c r="J197" s="26">
        <f t="shared" si="18"/>
        <v>623.54091220102839</v>
      </c>
      <c r="K197" s="1">
        <f>D197*$E$1867/E197</f>
        <v>14.088934698147307</v>
      </c>
      <c r="L197" s="26">
        <f t="shared" si="16"/>
        <v>36.552398301439602</v>
      </c>
      <c r="M197" s="10">
        <f t="shared" si="14"/>
        <v>17.822983639100705</v>
      </c>
      <c r="N197" s="4">
        <f t="shared" si="15"/>
        <v>22.953677448901981</v>
      </c>
      <c r="O197" s="36">
        <f>1/M197-(G197/100-(((E197/E77)^(1/10))-1))</f>
        <v>-4.920784000872494E-3</v>
      </c>
      <c r="R197" s="30"/>
      <c r="S197" s="30"/>
    </row>
    <row r="198" spans="1:19" ht="13" x14ac:dyDescent="0.3">
      <c r="A198" s="52" t="s">
        <v>214</v>
      </c>
      <c r="B198" s="6">
        <v>5.9</v>
      </c>
      <c r="C198" s="1">
        <v>0.23250000000000001</v>
      </c>
      <c r="D198" s="6">
        <v>0.34250000000000003</v>
      </c>
      <c r="E198" s="6">
        <v>8.0873811569999994</v>
      </c>
      <c r="F198" s="1">
        <f t="shared" si="17"/>
        <v>1887.3749999999852</v>
      </c>
      <c r="G198" s="17">
        <f>G194*8/12+G206*4/12</f>
        <v>3.5700000000000003</v>
      </c>
      <c r="H198" s="1">
        <f>B198*$E$1867/E198</f>
        <v>244.48445505608561</v>
      </c>
      <c r="I198" s="1">
        <f>C198*$E$1867/E198</f>
        <v>9.6343450509389683</v>
      </c>
      <c r="J198" s="26">
        <f t="shared" si="18"/>
        <v>636.37456675171768</v>
      </c>
      <c r="K198" s="1">
        <f>D198*$E$1867/E198</f>
        <v>14.19252980622192</v>
      </c>
      <c r="L198" s="26">
        <f t="shared" si="16"/>
        <v>36.94208290041751</v>
      </c>
      <c r="M198" s="10">
        <f t="shared" si="14"/>
        <v>18.075445427458238</v>
      </c>
      <c r="N198" s="4">
        <f t="shared" si="15"/>
        <v>23.264710044683614</v>
      </c>
      <c r="O198" s="36">
        <f>1/M198-(G198/100-(((E198/E78)^(1/10))-1))</f>
        <v>-7.5842111504657306E-3</v>
      </c>
      <c r="R198" s="30"/>
      <c r="S198" s="30"/>
    </row>
    <row r="199" spans="1:19" ht="13" x14ac:dyDescent="0.3">
      <c r="A199" s="52" t="s">
        <v>215</v>
      </c>
      <c r="B199" s="6">
        <v>5.73</v>
      </c>
      <c r="C199" s="1">
        <v>0.23499999999999999</v>
      </c>
      <c r="D199" s="6">
        <v>0.34499999999999997</v>
      </c>
      <c r="E199" s="6">
        <v>7.9922320659999997</v>
      </c>
      <c r="F199" s="1">
        <f t="shared" si="17"/>
        <v>1887.4583333333185</v>
      </c>
      <c r="G199" s="17">
        <f>G194*7/12+G206*5/12</f>
        <v>3.5825</v>
      </c>
      <c r="H199" s="1">
        <f>B199*$E$1867/E199</f>
        <v>240.26675735168777</v>
      </c>
      <c r="I199" s="1">
        <f>C199*$E$1867/E199</f>
        <v>9.8538722474077858</v>
      </c>
      <c r="J199" s="26">
        <f t="shared" si="18"/>
        <v>627.53362534309463</v>
      </c>
      <c r="K199" s="1">
        <f>D199*$E$1867/E199</f>
        <v>14.466323086619942</v>
      </c>
      <c r="L199" s="26">
        <f t="shared" si="16"/>
        <v>37.783438175107783</v>
      </c>
      <c r="M199" s="10">
        <f t="shared" si="14"/>
        <v>17.707695663272983</v>
      </c>
      <c r="N199" s="4">
        <f t="shared" si="15"/>
        <v>22.781332053852886</v>
      </c>
      <c r="O199" s="36">
        <f>1/M199-(G199/100-(((E199/E79)^(1/10))-1))</f>
        <v>-2.3459262036217704E-3</v>
      </c>
      <c r="R199" s="30"/>
      <c r="S199" s="30"/>
    </row>
    <row r="200" spans="1:19" ht="13" x14ac:dyDescent="0.3">
      <c r="A200" s="52" t="s">
        <v>216</v>
      </c>
      <c r="B200" s="6">
        <v>5.59</v>
      </c>
      <c r="C200" s="1">
        <v>0.23749999999999999</v>
      </c>
      <c r="D200" s="6">
        <v>0.34749999999999998</v>
      </c>
      <c r="E200" s="6">
        <v>7.8970910740000004</v>
      </c>
      <c r="F200" s="1">
        <f t="shared" si="17"/>
        <v>1887.5416666666517</v>
      </c>
      <c r="G200" s="17">
        <f>G194*6/12+G206*6/12</f>
        <v>3.5949999999999998</v>
      </c>
      <c r="H200" s="1">
        <f>B200*$E$1867/E200</f>
        <v>237.22027895407297</v>
      </c>
      <c r="I200" s="1">
        <f>C200*$E$1867/E200</f>
        <v>10.078679114775015</v>
      </c>
      <c r="J200" s="26">
        <f t="shared" si="18"/>
        <v>621.77041249438275</v>
      </c>
      <c r="K200" s="1">
        <f>D200*$E$1867/E200</f>
        <v>14.746698915302389</v>
      </c>
      <c r="L200" s="26">
        <f t="shared" si="16"/>
        <v>38.652096304436135</v>
      </c>
      <c r="M200" s="10">
        <f t="shared" si="14"/>
        <v>17.431460535613063</v>
      </c>
      <c r="N200" s="4">
        <f t="shared" si="15"/>
        <v>22.416555953423323</v>
      </c>
      <c r="O200" s="36">
        <f>1/M200-(G200/100-(((E200/E80)^(1/10))-1))</f>
        <v>-3.6613784970699614E-3</v>
      </c>
      <c r="R200" s="30"/>
      <c r="S200" s="30"/>
    </row>
    <row r="201" spans="1:19" ht="13" x14ac:dyDescent="0.3">
      <c r="A201" s="52" t="s">
        <v>217</v>
      </c>
      <c r="B201" s="6">
        <v>5.45</v>
      </c>
      <c r="C201" s="1">
        <v>0.24</v>
      </c>
      <c r="D201" s="6">
        <v>0.35</v>
      </c>
      <c r="E201" s="6">
        <v>7.9922320659999997</v>
      </c>
      <c r="F201" s="1">
        <f t="shared" si="17"/>
        <v>1887.624999999985</v>
      </c>
      <c r="G201" s="17">
        <f>G194*5/12+G206*7/12</f>
        <v>3.6074999999999999</v>
      </c>
      <c r="H201" s="1">
        <f>B201*$E$1867/E201</f>
        <v>228.52597339732952</v>
      </c>
      <c r="I201" s="1">
        <f>C201*$E$1867/E201</f>
        <v>10.063529103735613</v>
      </c>
      <c r="J201" s="26">
        <f t="shared" si="18"/>
        <v>601.18014823139663</v>
      </c>
      <c r="K201" s="1">
        <f>D201*$E$1867/E201</f>
        <v>14.675979942947768</v>
      </c>
      <c r="L201" s="26">
        <f t="shared" si="16"/>
        <v>38.607899427704375</v>
      </c>
      <c r="M201" s="10">
        <f t="shared" si="14"/>
        <v>16.739849614820699</v>
      </c>
      <c r="N201" s="4">
        <f t="shared" si="15"/>
        <v>21.520614675737029</v>
      </c>
      <c r="O201" s="36">
        <f>1/M201-(G201/100-(((E201/E81)^(1/10))-1))</f>
        <v>3.477957623553074E-3</v>
      </c>
      <c r="R201" s="30"/>
      <c r="S201" s="30"/>
    </row>
    <row r="202" spans="1:19" ht="13" x14ac:dyDescent="0.3">
      <c r="A202" s="52" t="s">
        <v>218</v>
      </c>
      <c r="B202" s="6">
        <v>5.38</v>
      </c>
      <c r="C202" s="1">
        <v>0.24249999999999999</v>
      </c>
      <c r="D202" s="6">
        <v>0.35249999999999998</v>
      </c>
      <c r="E202" s="6">
        <v>7.8970910740000004</v>
      </c>
      <c r="F202" s="1">
        <f t="shared" si="17"/>
        <v>1887.7083333333183</v>
      </c>
      <c r="G202" s="17">
        <f>G194*4/12+G206*8/12</f>
        <v>3.62</v>
      </c>
      <c r="H202" s="1">
        <f>B202*$E$1867/E202</f>
        <v>228.30860478942981</v>
      </c>
      <c r="I202" s="1">
        <f>C202*$E$1867/E202</f>
        <v>10.290861832980804</v>
      </c>
      <c r="J202" s="26">
        <f t="shared" si="18"/>
        <v>602.8643220514457</v>
      </c>
      <c r="K202" s="1">
        <f>D202*$E$1867/E202</f>
        <v>14.958881633508179</v>
      </c>
      <c r="L202" s="26">
        <f t="shared" si="16"/>
        <v>39.499939316567769</v>
      </c>
      <c r="M202" s="10">
        <f t="shared" si="14"/>
        <v>16.676629667380134</v>
      </c>
      <c r="N202" s="4">
        <f t="shared" si="15"/>
        <v>21.434140136239705</v>
      </c>
      <c r="O202" s="36">
        <f>1/M202-(G202/100-(((E202/E82)^(1/10))-1))</f>
        <v>3.3621784870727298E-3</v>
      </c>
      <c r="R202" s="30"/>
      <c r="S202" s="30"/>
    </row>
    <row r="203" spans="1:19" ht="13" x14ac:dyDescent="0.3">
      <c r="A203" s="52" t="s">
        <v>219</v>
      </c>
      <c r="B203" s="6">
        <v>5.2</v>
      </c>
      <c r="C203" s="1">
        <v>0.245</v>
      </c>
      <c r="D203" s="6">
        <v>0.35499999999999998</v>
      </c>
      <c r="E203" s="6">
        <v>7.9922320659999997</v>
      </c>
      <c r="F203" s="1">
        <f t="shared" si="17"/>
        <v>1887.7916666666515</v>
      </c>
      <c r="G203" s="17">
        <f>G194*3/12+G206*9/12</f>
        <v>3.6324999999999998</v>
      </c>
      <c r="H203" s="1">
        <f>B203*$E$1867/E203</f>
        <v>218.04313058093828</v>
      </c>
      <c r="I203" s="1">
        <f>C203*$E$1867/E203</f>
        <v>10.273185960063437</v>
      </c>
      <c r="J203" s="26">
        <f t="shared" si="18"/>
        <v>578.01822957188051</v>
      </c>
      <c r="K203" s="1">
        <f>D203*$E$1867/E203</f>
        <v>14.885636799275591</v>
      </c>
      <c r="L203" s="26">
        <f t="shared" si="16"/>
        <v>39.460859903464915</v>
      </c>
      <c r="M203" s="10">
        <f t="shared" si="14"/>
        <v>15.880666812517305</v>
      </c>
      <c r="N203" s="4">
        <f t="shared" si="15"/>
        <v>20.408601387649554</v>
      </c>
      <c r="O203" s="36">
        <f>1/M203-(G203/100-(((E203/E83)^(1/10))-1))</f>
        <v>7.4165025414431596E-3</v>
      </c>
      <c r="R203" s="30"/>
      <c r="S203" s="30"/>
    </row>
    <row r="204" spans="1:19" ht="13" x14ac:dyDescent="0.3">
      <c r="A204" s="52" t="s">
        <v>220</v>
      </c>
      <c r="B204" s="6">
        <v>5.3</v>
      </c>
      <c r="C204" s="1">
        <v>0.2475</v>
      </c>
      <c r="D204" s="6">
        <v>0.35749999999999998</v>
      </c>
      <c r="E204" s="6">
        <v>8.0873811569999994</v>
      </c>
      <c r="F204" s="1">
        <f t="shared" si="17"/>
        <v>1887.8749999999848</v>
      </c>
      <c r="G204" s="17">
        <f>G194*2/12+G206*10/12</f>
        <v>3.6450000000000005</v>
      </c>
      <c r="H204" s="1">
        <f>B204*$E$1867/E204</f>
        <v>219.62162911817859</v>
      </c>
      <c r="I204" s="1">
        <f>C204*$E$1867/E204</f>
        <v>10.255915699386643</v>
      </c>
      <c r="J204" s="26">
        <f t="shared" si="18"/>
        <v>584.46837445405811</v>
      </c>
      <c r="K204" s="1">
        <f>D204*$E$1867/E204</f>
        <v>14.814100454669594</v>
      </c>
      <c r="L204" s="26">
        <f t="shared" si="16"/>
        <v>39.424046012702973</v>
      </c>
      <c r="M204" s="10">
        <f t="shared" si="14"/>
        <v>15.950712201066768</v>
      </c>
      <c r="N204" s="4">
        <f t="shared" si="15"/>
        <v>20.495857279505188</v>
      </c>
      <c r="O204" s="36">
        <f>1/M204-(G204/100-(((E204/E84)^(1/10))-1))</f>
        <v>1.0122384862189353E-2</v>
      </c>
      <c r="R204" s="30"/>
      <c r="S204" s="30"/>
    </row>
    <row r="205" spans="1:19" ht="13" x14ac:dyDescent="0.3">
      <c r="A205" s="52" t="s">
        <v>221</v>
      </c>
      <c r="B205" s="6">
        <v>5.27</v>
      </c>
      <c r="C205" s="1">
        <v>0.25</v>
      </c>
      <c r="D205" s="6">
        <v>0.36</v>
      </c>
      <c r="E205" s="6">
        <v>8.2776793390000005</v>
      </c>
      <c r="F205" s="1">
        <f t="shared" si="17"/>
        <v>1887.958333333318</v>
      </c>
      <c r="G205" s="17">
        <f>G194*1/12+G206*11/12</f>
        <v>3.6574999999999998</v>
      </c>
      <c r="H205" s="1">
        <f>B205*$E$1867/E205</f>
        <v>213.35811586455557</v>
      </c>
      <c r="I205" s="1">
        <f>C205*$E$1867/E205</f>
        <v>10.121352744997893</v>
      </c>
      <c r="J205" s="26">
        <f t="shared" si="18"/>
        <v>570.04421289223649</v>
      </c>
      <c r="K205" s="1">
        <f>D205*$E$1867/E205</f>
        <v>14.574747952796965</v>
      </c>
      <c r="L205" s="26">
        <f t="shared" si="16"/>
        <v>38.94040163969737</v>
      </c>
      <c r="M205" s="10">
        <f t="shared" si="14"/>
        <v>15.455513454469937</v>
      </c>
      <c r="N205" s="4">
        <f t="shared" si="15"/>
        <v>19.8579468750582</v>
      </c>
      <c r="O205" s="36">
        <f>1/M205-(G205/100-(((E205/E85)^(1/10))-1))</f>
        <v>1.4297028255089161E-2</v>
      </c>
      <c r="R205" s="30"/>
      <c r="S205" s="30"/>
    </row>
    <row r="206" spans="1:19" ht="13" x14ac:dyDescent="0.3">
      <c r="A206" s="52" t="s">
        <v>222</v>
      </c>
      <c r="B206" s="6">
        <v>5.31</v>
      </c>
      <c r="C206" s="1">
        <v>0.24829999999999999</v>
      </c>
      <c r="D206" s="6">
        <v>0.35170000000000001</v>
      </c>
      <c r="E206" s="6">
        <v>8.3728446279999993</v>
      </c>
      <c r="F206" s="1">
        <f t="shared" si="17"/>
        <v>1888.0416666666513</v>
      </c>
      <c r="G206" s="17">
        <v>3.67</v>
      </c>
      <c r="H206" s="1">
        <f>B206*$E$1867/E206</f>
        <v>212.53410956045272</v>
      </c>
      <c r="I206" s="1">
        <f>C206*$E$1867/E206</f>
        <v>9.9382710741733362</v>
      </c>
      <c r="J206" s="26">
        <f t="shared" si="18"/>
        <v>570.05538878594632</v>
      </c>
      <c r="K206" s="1">
        <f>D206*$E$1867/E206</f>
        <v>14.076882548476691</v>
      </c>
      <c r="L206" s="26">
        <f t="shared" si="16"/>
        <v>37.756775938986316</v>
      </c>
      <c r="M206" s="10">
        <f t="shared" si="14"/>
        <v>15.358662514259896</v>
      </c>
      <c r="N206" s="4">
        <f t="shared" si="15"/>
        <v>19.731734100274632</v>
      </c>
      <c r="O206" s="36">
        <f>1/M206-(G206/100-(((E206/E86)^(1/10))-1))</f>
        <v>1.8720415575164739E-2</v>
      </c>
      <c r="R206" s="30"/>
      <c r="S206" s="30"/>
    </row>
    <row r="207" spans="1:19" ht="13" x14ac:dyDescent="0.3">
      <c r="A207" s="52" t="s">
        <v>223</v>
      </c>
      <c r="B207" s="6">
        <v>5.28</v>
      </c>
      <c r="C207" s="1">
        <v>0.2467</v>
      </c>
      <c r="D207" s="6">
        <v>0.34329999999999999</v>
      </c>
      <c r="E207" s="6">
        <v>8.2776793390000005</v>
      </c>
      <c r="F207" s="1">
        <f t="shared" si="17"/>
        <v>1888.1249999999845</v>
      </c>
      <c r="G207" s="17">
        <f>G206*11/12+G218*1/12</f>
        <v>3.6516666666666664</v>
      </c>
      <c r="H207" s="1">
        <f>B207*$E$1867/E207</f>
        <v>213.76296997435551</v>
      </c>
      <c r="I207" s="1">
        <f>C207*$E$1867/E207</f>
        <v>9.9877508887639195</v>
      </c>
      <c r="J207" s="26">
        <f t="shared" si="18"/>
        <v>575.58383206237056</v>
      </c>
      <c r="K207" s="1">
        <f>D207*$E$1867/E207</f>
        <v>13.898641589431106</v>
      </c>
      <c r="L207" s="26">
        <f t="shared" si="16"/>
        <v>37.423850292994658</v>
      </c>
      <c r="M207" s="10">
        <f t="shared" si="14"/>
        <v>15.418178318820528</v>
      </c>
      <c r="N207" s="4">
        <f t="shared" si="15"/>
        <v>19.807302727374442</v>
      </c>
      <c r="O207" s="36">
        <f>1/M207-(G207/100-(((E207/E87)^(1/10))-1))</f>
        <v>1.8545973596228955E-2</v>
      </c>
      <c r="R207" s="30"/>
      <c r="S207" s="30"/>
    </row>
    <row r="208" spans="1:19" ht="13" x14ac:dyDescent="0.3">
      <c r="A208" s="52" t="s">
        <v>224</v>
      </c>
      <c r="B208" s="6">
        <v>5.08</v>
      </c>
      <c r="C208" s="1">
        <v>0.245</v>
      </c>
      <c r="D208" s="6">
        <v>0.33500000000000002</v>
      </c>
      <c r="E208" s="6">
        <v>8.2776793390000005</v>
      </c>
      <c r="F208" s="1">
        <f t="shared" si="17"/>
        <v>1888.2083333333178</v>
      </c>
      <c r="G208" s="17">
        <f>G206*10/12+G218*2/12</f>
        <v>3.6333333333333337</v>
      </c>
      <c r="H208" s="1">
        <f>B208*$E$1867/E208</f>
        <v>205.66588777835719</v>
      </c>
      <c r="I208" s="1">
        <f>C208*$E$1867/E208</f>
        <v>9.9189256900979341</v>
      </c>
      <c r="J208" s="26">
        <f t="shared" si="18"/>
        <v>556.00707767325423</v>
      </c>
      <c r="K208" s="1">
        <f>D208*$E$1867/E208</f>
        <v>13.562612678297176</v>
      </c>
      <c r="L208" s="26">
        <f t="shared" si="16"/>
        <v>36.665821067035466</v>
      </c>
      <c r="M208" s="10">
        <f t="shared" si="14"/>
        <v>14.808972366946557</v>
      </c>
      <c r="N208" s="4">
        <f t="shared" si="15"/>
        <v>19.026611493191691</v>
      </c>
      <c r="O208" s="36">
        <f>1/M208-(G208/100-(((E208/E88)^(1/10))-1))</f>
        <v>2.3484775724689703E-2</v>
      </c>
      <c r="R208" s="30"/>
      <c r="S208" s="30"/>
    </row>
    <row r="209" spans="1:19" ht="13" x14ac:dyDescent="0.3">
      <c r="A209" s="52" t="s">
        <v>225</v>
      </c>
      <c r="B209" s="6">
        <v>5.0999999999999996</v>
      </c>
      <c r="C209" s="1">
        <v>0.24329999999999999</v>
      </c>
      <c r="D209" s="6">
        <v>0.32669999999999999</v>
      </c>
      <c r="E209" s="6">
        <v>8.18251405</v>
      </c>
      <c r="F209" s="1">
        <f t="shared" si="17"/>
        <v>1888.2916666666511</v>
      </c>
      <c r="G209" s="17">
        <f>G206*9/12+G218*3/12</f>
        <v>3.6150000000000002</v>
      </c>
      <c r="H209" s="1">
        <f>B209*$E$1867/E209</f>
        <v>208.87697406397976</v>
      </c>
      <c r="I209" s="1">
        <f>C209*$E$1867/E209</f>
        <v>9.9646603509345635</v>
      </c>
      <c r="J209" s="26">
        <f t="shared" si="18"/>
        <v>566.93299510618374</v>
      </c>
      <c r="K209" s="1">
        <f>D209*$E$1867/E209</f>
        <v>13.380413220921996</v>
      </c>
      <c r="L209" s="26">
        <f t="shared" si="16"/>
        <v>36.317060686507887</v>
      </c>
      <c r="M209" s="10">
        <f t="shared" si="14"/>
        <v>15.020108681844453</v>
      </c>
      <c r="N209" s="4">
        <f t="shared" si="15"/>
        <v>19.299571616567643</v>
      </c>
      <c r="O209" s="36">
        <f>1/M209-(G209/100-(((E209/E89)^(1/10))-1))</f>
        <v>2.2632996042627598E-2</v>
      </c>
      <c r="R209" s="30"/>
      <c r="S209" s="30"/>
    </row>
    <row r="210" spans="1:19" ht="13" x14ac:dyDescent="0.3">
      <c r="A210" s="52" t="s">
        <v>226</v>
      </c>
      <c r="B210" s="6">
        <v>5.17</v>
      </c>
      <c r="C210" s="1">
        <v>0.2417</v>
      </c>
      <c r="D210" s="6">
        <v>0.31830000000000003</v>
      </c>
      <c r="E210" s="6">
        <v>8.0873811569999994</v>
      </c>
      <c r="F210" s="1">
        <f t="shared" si="17"/>
        <v>1888.3749999999843</v>
      </c>
      <c r="G210" s="17">
        <f>G206*8/12+G218*4/12</f>
        <v>3.5966666666666667</v>
      </c>
      <c r="H210" s="1">
        <f>B210*$E$1867/E210</f>
        <v>214.23468349829875</v>
      </c>
      <c r="I210" s="1">
        <f>C210*$E$1867/E210</f>
        <v>10.015575048653542</v>
      </c>
      <c r="J210" s="26">
        <f t="shared" si="18"/>
        <v>583.74021988004574</v>
      </c>
      <c r="K210" s="1">
        <f>D210*$E$1867/E210</f>
        <v>13.18972916005967</v>
      </c>
      <c r="L210" s="26">
        <f t="shared" si="16"/>
        <v>35.938977173659296</v>
      </c>
      <c r="M210" s="10">
        <f t="shared" si="14"/>
        <v>15.387916957229121</v>
      </c>
      <c r="N210" s="4">
        <f t="shared" si="15"/>
        <v>19.77268583969423</v>
      </c>
      <c r="O210" s="36">
        <f>1/M210-(G210/100-(((E210/E90)^(1/10))-1))</f>
        <v>2.3320027160848598E-2</v>
      </c>
      <c r="R210" s="30"/>
      <c r="S210" s="30"/>
    </row>
    <row r="211" spans="1:19" ht="13" x14ac:dyDescent="0.3">
      <c r="A211" s="52" t="s">
        <v>227</v>
      </c>
      <c r="B211" s="6">
        <v>5.01</v>
      </c>
      <c r="C211" s="1">
        <v>0.24</v>
      </c>
      <c r="D211" s="6">
        <v>0.31</v>
      </c>
      <c r="E211" s="6">
        <v>7.9922320659999997</v>
      </c>
      <c r="F211" s="1">
        <f t="shared" si="17"/>
        <v>1888.4583333333176</v>
      </c>
      <c r="G211" s="17">
        <f>G206*7/12+G218*5/12</f>
        <v>3.5783333333333331</v>
      </c>
      <c r="H211" s="1">
        <f>B211*$E$1867/E211</f>
        <v>210.07617004048089</v>
      </c>
      <c r="I211" s="1">
        <f>C211*$E$1867/E211</f>
        <v>10.063529103735613</v>
      </c>
      <c r="J211" s="26">
        <f t="shared" si="18"/>
        <v>574.69429430465937</v>
      </c>
      <c r="K211" s="1">
        <f>D211*$E$1867/E211</f>
        <v>12.998725092325165</v>
      </c>
      <c r="L211" s="26">
        <f t="shared" si="16"/>
        <v>35.559926394100678</v>
      </c>
      <c r="M211" s="10">
        <f t="shared" si="14"/>
        <v>15.077628818434683</v>
      </c>
      <c r="N211" s="4">
        <f t="shared" si="15"/>
        <v>19.375983676114192</v>
      </c>
      <c r="O211" s="36">
        <f>1/M211-(G211/100-(((E211/E91)^(1/10))-1))</f>
        <v>2.5898537334721264E-2</v>
      </c>
      <c r="R211" s="30"/>
      <c r="S211" s="30"/>
    </row>
    <row r="212" spans="1:19" ht="13" x14ac:dyDescent="0.3">
      <c r="A212" s="52" t="s">
        <v>228</v>
      </c>
      <c r="B212" s="6">
        <v>5.14</v>
      </c>
      <c r="C212" s="1">
        <v>0.23830000000000001</v>
      </c>
      <c r="D212" s="6">
        <v>0.30170000000000002</v>
      </c>
      <c r="E212" s="6">
        <v>8.0873811569999994</v>
      </c>
      <c r="F212" s="1">
        <f t="shared" si="17"/>
        <v>1888.5416666666508</v>
      </c>
      <c r="G212" s="17">
        <f>G206*6/12+G218*6/12</f>
        <v>3.5600000000000005</v>
      </c>
      <c r="H212" s="1">
        <f>B212*$E$1867/E212</f>
        <v>212.99154220140338</v>
      </c>
      <c r="I212" s="1">
        <f>C212*$E$1867/E212</f>
        <v>9.8746857016720693</v>
      </c>
      <c r="J212" s="26">
        <f t="shared" si="18"/>
        <v>584.92086215927634</v>
      </c>
      <c r="K212" s="1">
        <f>D212*$E$1867/E212</f>
        <v>12.501857642444243</v>
      </c>
      <c r="L212" s="26">
        <f t="shared" si="16"/>
        <v>34.332806247753638</v>
      </c>
      <c r="M212" s="10">
        <f t="shared" si="14"/>
        <v>15.279642515498164</v>
      </c>
      <c r="N212" s="4">
        <f t="shared" si="15"/>
        <v>19.635009581546452</v>
      </c>
      <c r="O212" s="36">
        <f>1/M212-(G212/100-(((E212/E92)^(1/10))-1))</f>
        <v>2.525901292131684E-2</v>
      </c>
      <c r="R212" s="30"/>
      <c r="S212" s="30"/>
    </row>
    <row r="213" spans="1:19" ht="13" x14ac:dyDescent="0.3">
      <c r="A213" s="52" t="s">
        <v>229</v>
      </c>
      <c r="B213" s="6">
        <v>5.25</v>
      </c>
      <c r="C213" s="1">
        <v>0.23669999999999999</v>
      </c>
      <c r="D213" s="6">
        <v>0.29330000000000001</v>
      </c>
      <c r="E213" s="6">
        <v>8.0873811569999994</v>
      </c>
      <c r="F213" s="1">
        <f t="shared" si="17"/>
        <v>1888.6249999999841</v>
      </c>
      <c r="G213" s="17">
        <f>G206*5/12+G218*7/12</f>
        <v>3.541666666666667</v>
      </c>
      <c r="H213" s="1">
        <f>B213*$E$1867/E213</f>
        <v>217.54972695668636</v>
      </c>
      <c r="I213" s="1">
        <f>C213*$E$1867/E213</f>
        <v>9.8083848325043146</v>
      </c>
      <c r="J213" s="26">
        <f t="shared" si="18"/>
        <v>599.68328605881186</v>
      </c>
      <c r="K213" s="1">
        <f>D213*$E$1867/E213</f>
        <v>12.153778079313545</v>
      </c>
      <c r="L213" s="26">
        <f t="shared" si="16"/>
        <v>33.502306247818957</v>
      </c>
      <c r="M213" s="10">
        <f t="shared" si="14"/>
        <v>15.602911670088799</v>
      </c>
      <c r="N213" s="4">
        <f t="shared" si="15"/>
        <v>20.049771885586601</v>
      </c>
      <c r="O213" s="36">
        <f>1/M213-(G213/100-(((E213/E93)^(1/10))-1))</f>
        <v>2.297457519121119E-2</v>
      </c>
      <c r="R213" s="30"/>
      <c r="S213" s="30"/>
    </row>
    <row r="214" spans="1:19" ht="13" x14ac:dyDescent="0.3">
      <c r="A214" s="52" t="s">
        <v>230</v>
      </c>
      <c r="B214" s="6">
        <v>5.38</v>
      </c>
      <c r="C214" s="1">
        <v>0.23499999999999999</v>
      </c>
      <c r="D214" s="6">
        <v>0.28499999999999998</v>
      </c>
      <c r="E214" s="6">
        <v>8.0873811569999994</v>
      </c>
      <c r="F214" s="1">
        <f t="shared" si="17"/>
        <v>1888.7083333333173</v>
      </c>
      <c r="G214" s="17">
        <f>G206*4/12+G218*8/12</f>
        <v>3.5233333333333334</v>
      </c>
      <c r="H214" s="1">
        <f>B214*$E$1867/E214</f>
        <v>222.9366725765662</v>
      </c>
      <c r="I214" s="1">
        <f>C214*$E$1867/E214</f>
        <v>9.7379401590135775</v>
      </c>
      <c r="J214" s="26">
        <f t="shared" si="18"/>
        <v>616.76950032032869</v>
      </c>
      <c r="K214" s="1">
        <f>D214*$E$1867/E214</f>
        <v>11.80984232050583</v>
      </c>
      <c r="L214" s="26">
        <f t="shared" si="16"/>
        <v>32.672733753028567</v>
      </c>
      <c r="M214" s="10">
        <f t="shared" si="14"/>
        <v>15.987828821761413</v>
      </c>
      <c r="N214" s="4">
        <f t="shared" si="15"/>
        <v>20.54290254934909</v>
      </c>
      <c r="O214" s="36">
        <f>1/M214-(G214/100-(((E214/E94)^(1/10))-1))</f>
        <v>2.161488650452837E-2</v>
      </c>
      <c r="R214" s="30"/>
      <c r="S214" s="30"/>
    </row>
    <row r="215" spans="1:19" ht="13" x14ac:dyDescent="0.3">
      <c r="A215" s="52" t="s">
        <v>231</v>
      </c>
      <c r="B215" s="6">
        <v>5.35</v>
      </c>
      <c r="C215" s="1">
        <v>0.23330000000000001</v>
      </c>
      <c r="D215" s="6">
        <v>0.2767</v>
      </c>
      <c r="E215" s="6">
        <v>8.18251405</v>
      </c>
      <c r="F215" s="1">
        <f t="shared" si="17"/>
        <v>1888.7916666666506</v>
      </c>
      <c r="G215" s="17">
        <f>G206*3/12+G218*9/12</f>
        <v>3.5049999999999999</v>
      </c>
      <c r="H215" s="1">
        <f>B215*$E$1867/E215</f>
        <v>219.1160414200572</v>
      </c>
      <c r="I215" s="1">
        <f>C215*$E$1867/E215</f>
        <v>9.5550976566914656</v>
      </c>
      <c r="J215" s="26">
        <f t="shared" si="18"/>
        <v>608.40236621980557</v>
      </c>
      <c r="K215" s="1">
        <f>D215*$E$1867/E215</f>
        <v>11.33259974970651</v>
      </c>
      <c r="L215" s="26">
        <f t="shared" si="16"/>
        <v>31.466342940751442</v>
      </c>
      <c r="M215" s="10">
        <f t="shared" si="14"/>
        <v>15.715941874329697</v>
      </c>
      <c r="N215" s="4">
        <f t="shared" si="15"/>
        <v>20.193130565349641</v>
      </c>
      <c r="O215" s="36">
        <f>1/M215-(G215/100-(((E215/E95)^(1/10))-1))</f>
        <v>2.5156877140990935E-2</v>
      </c>
      <c r="R215" s="30"/>
      <c r="S215" s="30"/>
    </row>
    <row r="216" spans="1:19" ht="13" x14ac:dyDescent="0.3">
      <c r="A216" s="52" t="s">
        <v>232</v>
      </c>
      <c r="B216" s="6">
        <v>5.24</v>
      </c>
      <c r="C216" s="1">
        <v>0.23169999999999999</v>
      </c>
      <c r="D216" s="6">
        <v>0.26829999999999998</v>
      </c>
      <c r="E216" s="6">
        <v>8.2776793390000005</v>
      </c>
      <c r="F216" s="1">
        <f t="shared" si="17"/>
        <v>1888.8749999999839</v>
      </c>
      <c r="G216" s="17">
        <f>G206*2/12+G218*10/12</f>
        <v>3.4866666666666668</v>
      </c>
      <c r="H216" s="1">
        <f>B216*$E$1867/E216</f>
        <v>212.14355353515583</v>
      </c>
      <c r="I216" s="1">
        <f>C216*$E$1867/E216</f>
        <v>9.3804697240640476</v>
      </c>
      <c r="J216" s="26">
        <f t="shared" si="18"/>
        <v>591.21290606661421</v>
      </c>
      <c r="K216" s="1">
        <f>D216*$E$1867/E216</f>
        <v>10.862235765931738</v>
      </c>
      <c r="L216" s="26">
        <f t="shared" si="16"/>
        <v>30.271454713296293</v>
      </c>
      <c r="M216" s="10">
        <f t="shared" si="14"/>
        <v>15.223749016946273</v>
      </c>
      <c r="N216" s="4">
        <f t="shared" si="15"/>
        <v>19.56248577384947</v>
      </c>
      <c r="O216" s="36">
        <f>1/M216-(G216/100-(((E216/E96)^(1/10))-1))</f>
        <v>2.9677725599002697E-2</v>
      </c>
      <c r="R216" s="30"/>
      <c r="S216" s="30"/>
    </row>
    <row r="217" spans="1:19" ht="13" x14ac:dyDescent="0.3">
      <c r="A217" s="52" t="s">
        <v>233</v>
      </c>
      <c r="B217" s="6">
        <v>5.14</v>
      </c>
      <c r="C217" s="1">
        <v>0.23</v>
      </c>
      <c r="D217" s="6">
        <v>0.26</v>
      </c>
      <c r="E217" s="6">
        <v>8.2776793390000005</v>
      </c>
      <c r="F217" s="1">
        <f t="shared" si="17"/>
        <v>1888.9583333333171</v>
      </c>
      <c r="G217" s="17">
        <f>G206*1/12+G218*11/12</f>
        <v>3.4683333333333333</v>
      </c>
      <c r="H217" s="1">
        <f>B217*$E$1867/E217</f>
        <v>208.09501243715667</v>
      </c>
      <c r="I217" s="1">
        <f>C217*$E$1867/E217</f>
        <v>9.3116445253980604</v>
      </c>
      <c r="J217" s="26">
        <f t="shared" si="18"/>
        <v>582.09273242023039</v>
      </c>
      <c r="K217" s="1">
        <f>D217*$E$1867/E217</f>
        <v>10.526206854797808</v>
      </c>
      <c r="L217" s="26">
        <f t="shared" si="16"/>
        <v>29.444379460945502</v>
      </c>
      <c r="M217" s="10">
        <f t="shared" si="14"/>
        <v>14.946748301089221</v>
      </c>
      <c r="N217" s="4">
        <f t="shared" si="15"/>
        <v>19.210201901691878</v>
      </c>
      <c r="O217" s="36">
        <f>1/M217-(G217/100-(((E217/E97)^(1/10))-1))</f>
        <v>3.3377840719047092E-2</v>
      </c>
      <c r="R217" s="30"/>
      <c r="S217" s="30"/>
    </row>
    <row r="218" spans="1:19" ht="13" x14ac:dyDescent="0.3">
      <c r="A218" s="52" t="s">
        <v>234</v>
      </c>
      <c r="B218" s="6">
        <v>5.24</v>
      </c>
      <c r="C218" s="1">
        <v>0.22919999999999999</v>
      </c>
      <c r="D218" s="6">
        <v>0.26329999999999998</v>
      </c>
      <c r="E218" s="6">
        <v>7.9922320659999997</v>
      </c>
      <c r="F218" s="1">
        <f t="shared" si="17"/>
        <v>1889.0416666666504</v>
      </c>
      <c r="G218" s="17">
        <v>3.45</v>
      </c>
      <c r="H218" s="1">
        <f>B218*$E$1867/E218</f>
        <v>219.72038543156086</v>
      </c>
      <c r="I218" s="1">
        <f>C218*$E$1867/E218</f>
        <v>9.6106702940675088</v>
      </c>
      <c r="J218" s="26">
        <f t="shared" si="18"/>
        <v>616.8520321490347</v>
      </c>
      <c r="K218" s="1">
        <f>D218*$E$1867/E218</f>
        <v>11.040530054223277</v>
      </c>
      <c r="L218" s="26">
        <f t="shared" si="16"/>
        <v>30.995637416954356</v>
      </c>
      <c r="M218" s="10">
        <f t="shared" si="14"/>
        <v>15.802286071028155</v>
      </c>
      <c r="N218" s="4">
        <f t="shared" si="15"/>
        <v>20.312198653655678</v>
      </c>
      <c r="O218" s="36">
        <f>1/M218-(G218/100-(((E218/E98)^(1/10))-1))</f>
        <v>2.5278875559769487E-2</v>
      </c>
      <c r="R218" s="30"/>
      <c r="S218" s="30"/>
    </row>
    <row r="219" spans="1:19" ht="13" x14ac:dyDescent="0.3">
      <c r="A219" s="52" t="s">
        <v>235</v>
      </c>
      <c r="B219" s="6">
        <v>5.3</v>
      </c>
      <c r="C219" s="1">
        <v>0.2283</v>
      </c>
      <c r="D219" s="6">
        <v>0.26669999999999999</v>
      </c>
      <c r="E219" s="6">
        <v>7.8970910740000004</v>
      </c>
      <c r="F219" s="1">
        <f t="shared" si="17"/>
        <v>1889.1249999999836</v>
      </c>
      <c r="G219" s="17">
        <f>G218*11/12+G230*1/12</f>
        <v>3.4475000000000002</v>
      </c>
      <c r="H219" s="1">
        <f>B219*$E$1867/E219</f>
        <v>224.91368129813716</v>
      </c>
      <c r="I219" s="1">
        <f>C219*$E$1867/E219</f>
        <v>9.6882629132763629</v>
      </c>
      <c r="J219" s="26">
        <f t="shared" si="18"/>
        <v>633.69850647024634</v>
      </c>
      <c r="K219" s="1">
        <f>D219*$E$1867/E219</f>
        <v>11.317826189096827</v>
      </c>
      <c r="L219" s="26">
        <f t="shared" si="16"/>
        <v>31.888187108606548</v>
      </c>
      <c r="M219" s="10">
        <f t="shared" si="14"/>
        <v>16.192720447848988</v>
      </c>
      <c r="N219" s="4">
        <f t="shared" si="15"/>
        <v>20.813307687489541</v>
      </c>
      <c r="O219" s="36">
        <f>1/M219-(G219/100-(((E219/E99)^(1/10))-1))</f>
        <v>2.144830161642973E-2</v>
      </c>
      <c r="R219" s="30"/>
      <c r="S219" s="30"/>
    </row>
    <row r="220" spans="1:19" ht="13" x14ac:dyDescent="0.3">
      <c r="A220" s="52" t="s">
        <v>236</v>
      </c>
      <c r="B220" s="6">
        <v>5.19</v>
      </c>
      <c r="C220" s="1">
        <v>0.22750000000000001</v>
      </c>
      <c r="D220" s="6">
        <v>0.27</v>
      </c>
      <c r="E220" s="6">
        <v>7.8019419829999999</v>
      </c>
      <c r="F220" s="1">
        <f t="shared" si="17"/>
        <v>1889.2083333333169</v>
      </c>
      <c r="G220" s="17">
        <f>G218*10/12+G230*2/12</f>
        <v>3.4449999999999998</v>
      </c>
      <c r="H220" s="1">
        <f>B220*$E$1867/E220</f>
        <v>222.93168179023104</v>
      </c>
      <c r="I220" s="1">
        <f>C220*$E$1867/E220</f>
        <v>9.772053488878143</v>
      </c>
      <c r="J220" s="26">
        <f t="shared" si="18"/>
        <v>630.40859772854594</v>
      </c>
      <c r="K220" s="1">
        <f>D220*$E$1867/E220</f>
        <v>11.597601942844388</v>
      </c>
      <c r="L220" s="26">
        <f t="shared" si="16"/>
        <v>32.795823003219148</v>
      </c>
      <c r="M220" s="10">
        <f t="shared" si="14"/>
        <v>16.065045360769286</v>
      </c>
      <c r="N220" s="4">
        <f t="shared" si="15"/>
        <v>20.648519003321091</v>
      </c>
      <c r="O220" s="36">
        <f>1/M220-(G220/100-(((E220/E100)^(1/10))-1))</f>
        <v>2.1895429954547879E-2</v>
      </c>
      <c r="R220" s="30"/>
      <c r="S220" s="30"/>
    </row>
    <row r="221" spans="1:19" ht="13" x14ac:dyDescent="0.3">
      <c r="A221" s="52" t="s">
        <v>237</v>
      </c>
      <c r="B221" s="6">
        <v>5.18</v>
      </c>
      <c r="C221" s="1">
        <v>0.22670000000000001</v>
      </c>
      <c r="D221" s="6">
        <v>0.27329999999999999</v>
      </c>
      <c r="E221" s="6">
        <v>7.8019419829999999</v>
      </c>
      <c r="F221" s="1">
        <f t="shared" si="17"/>
        <v>1889.2916666666501</v>
      </c>
      <c r="G221" s="17">
        <f>G218*9/12+G230*3/12</f>
        <v>3.4424999999999999</v>
      </c>
      <c r="H221" s="1">
        <f>B221*$E$1867/E221</f>
        <v>222.50214097753306</v>
      </c>
      <c r="I221" s="1">
        <f>C221*$E$1867/E221</f>
        <v>9.7376902238623071</v>
      </c>
      <c r="J221" s="26">
        <f t="shared" si="18"/>
        <v>631.48863301078143</v>
      </c>
      <c r="K221" s="1">
        <f>D221*$E$1867/E221</f>
        <v>11.739350411034707</v>
      </c>
      <c r="L221" s="26">
        <f t="shared" si="16"/>
        <v>33.317730386456859</v>
      </c>
      <c r="M221" s="10">
        <f t="shared" si="14"/>
        <v>16.050104533967477</v>
      </c>
      <c r="N221" s="4">
        <f t="shared" si="15"/>
        <v>20.626458817142193</v>
      </c>
      <c r="O221" s="36">
        <f>1/M221-(G221/100-(((E221/E101)^(1/10))-1))</f>
        <v>2.3128536760698495E-2</v>
      </c>
      <c r="R221" s="30"/>
      <c r="S221" s="30"/>
    </row>
    <row r="222" spans="1:19" ht="13" x14ac:dyDescent="0.3">
      <c r="A222" s="52" t="s">
        <v>238</v>
      </c>
      <c r="B222" s="6">
        <v>5.32</v>
      </c>
      <c r="C222" s="1">
        <v>0.2258</v>
      </c>
      <c r="D222" s="6">
        <v>0.2767</v>
      </c>
      <c r="E222" s="6">
        <v>7.6116519010000001</v>
      </c>
      <c r="F222" s="1">
        <f t="shared" si="17"/>
        <v>1889.3749999999834</v>
      </c>
      <c r="G222" s="17">
        <f>G218*8/12+G230*4/12</f>
        <v>3.4400000000000004</v>
      </c>
      <c r="H222" s="1">
        <f>B222*$E$1867/E222</f>
        <v>234.22856867190308</v>
      </c>
      <c r="I222" s="1">
        <f>C222*$E$1867/E222</f>
        <v>9.9415057906232533</v>
      </c>
      <c r="J222" s="26">
        <f t="shared" si="18"/>
        <v>667.12095585106897</v>
      </c>
      <c r="K222" s="1">
        <f>D222*$E$1867/E222</f>
        <v>12.182527246525485</v>
      </c>
      <c r="L222" s="26">
        <f t="shared" si="16"/>
        <v>34.697813624810301</v>
      </c>
      <c r="M222" s="10">
        <f t="shared" si="14"/>
        <v>16.915421076068373</v>
      </c>
      <c r="N222" s="4">
        <f t="shared" si="15"/>
        <v>21.731410413817347</v>
      </c>
      <c r="O222" s="36">
        <f>1/M222-(G222/100-(((E222/E102)^(1/10))-1))</f>
        <v>1.7511818172382114E-2</v>
      </c>
      <c r="R222" s="30"/>
      <c r="S222" s="30"/>
    </row>
    <row r="223" spans="1:19" ht="13" x14ac:dyDescent="0.3">
      <c r="A223" s="52" t="s">
        <v>239</v>
      </c>
      <c r="B223" s="6">
        <v>5.41</v>
      </c>
      <c r="C223" s="1">
        <v>0.22500000000000001</v>
      </c>
      <c r="D223" s="6">
        <v>0.28000000000000003</v>
      </c>
      <c r="E223" s="6">
        <v>7.6116519010000001</v>
      </c>
      <c r="F223" s="1">
        <f t="shared" si="17"/>
        <v>1889.4583333333167</v>
      </c>
      <c r="G223" s="17">
        <f>G218*7/12+G230*5/12</f>
        <v>3.4375</v>
      </c>
      <c r="H223" s="1">
        <f>B223*$E$1867/E223</f>
        <v>238.1910820516909</v>
      </c>
      <c r="I223" s="1">
        <f>C223*$E$1867/E223</f>
        <v>9.9062834494695853</v>
      </c>
      <c r="J223" s="26">
        <f t="shared" si="18"/>
        <v>680.75806185648321</v>
      </c>
      <c r="K223" s="1">
        <f>D223*$E$1867/E223</f>
        <v>12.327819403784371</v>
      </c>
      <c r="L223" s="26">
        <f t="shared" si="16"/>
        <v>35.233319282775469</v>
      </c>
      <c r="M223" s="10">
        <f t="shared" si="14"/>
        <v>17.219302943947678</v>
      </c>
      <c r="N223" s="4">
        <f t="shared" si="15"/>
        <v>22.110623383995296</v>
      </c>
      <c r="O223" s="36">
        <f>1/M223-(G223/100-(((E223/E103)^(1/10))-1))</f>
        <v>1.7655225131784545E-2</v>
      </c>
      <c r="R223" s="30"/>
      <c r="S223" s="30"/>
    </row>
    <row r="224" spans="1:19" ht="13" x14ac:dyDescent="0.3">
      <c r="A224" s="52" t="s">
        <v>240</v>
      </c>
      <c r="B224" s="6">
        <v>5.3</v>
      </c>
      <c r="C224" s="1">
        <v>0.22420000000000001</v>
      </c>
      <c r="D224" s="6">
        <v>0.2833</v>
      </c>
      <c r="E224" s="6">
        <v>7.6116519010000001</v>
      </c>
      <c r="F224" s="1">
        <f t="shared" si="17"/>
        <v>1889.5416666666499</v>
      </c>
      <c r="G224" s="17">
        <f>G218*6/12+G230*6/12</f>
        <v>3.4350000000000005</v>
      </c>
      <c r="H224" s="1">
        <f>B224*$E$1867/E224</f>
        <v>233.34801014306129</v>
      </c>
      <c r="I224" s="1">
        <f>C224*$E$1867/E224</f>
        <v>9.8710611083159137</v>
      </c>
      <c r="J224" s="26">
        <f t="shared" si="18"/>
        <v>669.2673858832494</v>
      </c>
      <c r="K224" s="1">
        <f>D224*$E$1867/E224</f>
        <v>12.473111561043257</v>
      </c>
      <c r="L224" s="26">
        <f t="shared" si="16"/>
        <v>35.7742359284386</v>
      </c>
      <c r="M224" s="10">
        <f t="shared" si="14"/>
        <v>16.889214491107509</v>
      </c>
      <c r="N224" s="4">
        <f t="shared" si="15"/>
        <v>21.675368705170957</v>
      </c>
      <c r="O224" s="36">
        <f>1/M224-(G224/100-(((E224/E104)^(1/10))-1))</f>
        <v>1.7653549602927941E-2</v>
      </c>
      <c r="R224" s="30"/>
      <c r="S224" s="30"/>
    </row>
    <row r="225" spans="1:19" ht="13" x14ac:dyDescent="0.3">
      <c r="A225" s="52" t="s">
        <v>241</v>
      </c>
      <c r="B225" s="6">
        <v>5.37</v>
      </c>
      <c r="C225" s="1">
        <v>0.2233</v>
      </c>
      <c r="D225" s="6">
        <v>0.28670000000000001</v>
      </c>
      <c r="E225" s="6">
        <v>7.6116519010000001</v>
      </c>
      <c r="F225" s="1">
        <f t="shared" si="17"/>
        <v>1889.6249999999832</v>
      </c>
      <c r="G225" s="17">
        <f>G218*5/12+G230*7/12</f>
        <v>3.4325000000000001</v>
      </c>
      <c r="H225" s="1">
        <f>B225*$E$1867/E225</f>
        <v>236.42996499400743</v>
      </c>
      <c r="I225" s="1">
        <f>C225*$E$1867/E225</f>
        <v>9.8314359745180369</v>
      </c>
      <c r="J225" s="26">
        <f t="shared" si="18"/>
        <v>680.45656845258372</v>
      </c>
      <c r="K225" s="1">
        <f>D225*$E$1867/E225</f>
        <v>12.622806510946354</v>
      </c>
      <c r="L225" s="26">
        <f t="shared" si="16"/>
        <v>36.329031317570902</v>
      </c>
      <c r="M225" s="10">
        <f t="shared" si="14"/>
        <v>17.13185397534572</v>
      </c>
      <c r="N225" s="4">
        <f t="shared" si="15"/>
        <v>21.973135389628155</v>
      </c>
      <c r="O225" s="36">
        <f>1/M225-(G225/100-(((E225/E105)^(1/10))-1))</f>
        <v>1.6839963503965195E-2</v>
      </c>
      <c r="R225" s="30"/>
      <c r="S225" s="30"/>
    </row>
    <row r="226" spans="1:19" ht="13" x14ac:dyDescent="0.3">
      <c r="A226" s="52" t="s">
        <v>242</v>
      </c>
      <c r="B226" s="6">
        <v>5.5</v>
      </c>
      <c r="C226" s="1">
        <v>0.2225</v>
      </c>
      <c r="D226" s="6">
        <v>0.28999999999999998</v>
      </c>
      <c r="E226" s="6">
        <v>7.7067928930000003</v>
      </c>
      <c r="F226" s="1">
        <f t="shared" si="17"/>
        <v>1889.7083333333164</v>
      </c>
      <c r="G226" s="17">
        <f>G218*4/12+G230*8/12</f>
        <v>3.4299999999999997</v>
      </c>
      <c r="H226" s="1">
        <f>B226*$E$1867/E226</f>
        <v>239.16418938338791</v>
      </c>
      <c r="I226" s="1">
        <f>C226*$E$1867/E226</f>
        <v>9.6752785705097839</v>
      </c>
      <c r="J226" s="26">
        <f t="shared" si="18"/>
        <v>690.64628721354632</v>
      </c>
      <c r="K226" s="1">
        <f>D226*$E$1867/E226</f>
        <v>12.610475440214998</v>
      </c>
      <c r="L226" s="26">
        <f t="shared" si="16"/>
        <v>36.415895143986987</v>
      </c>
      <c r="M226" s="10">
        <f t="shared" si="14"/>
        <v>17.350788026348592</v>
      </c>
      <c r="N226" s="4">
        <f t="shared" si="15"/>
        <v>22.236764738619264</v>
      </c>
      <c r="O226" s="36">
        <f>1/M226-(G226/100-(((E226/E106)^(1/10))-1))</f>
        <v>1.3960101329211411E-2</v>
      </c>
      <c r="R226" s="30"/>
      <c r="S226" s="30"/>
    </row>
    <row r="227" spans="1:19" ht="13" x14ac:dyDescent="0.3">
      <c r="A227" s="52" t="s">
        <v>243</v>
      </c>
      <c r="B227" s="6">
        <v>5.4</v>
      </c>
      <c r="C227" s="1">
        <v>0.22170000000000001</v>
      </c>
      <c r="D227" s="6">
        <v>0.29330000000000001</v>
      </c>
      <c r="E227" s="6">
        <v>7.7067928930000003</v>
      </c>
      <c r="F227" s="1">
        <f t="shared" si="17"/>
        <v>1889.7916666666497</v>
      </c>
      <c r="G227" s="17">
        <f>G218*3/12+G230*9/12</f>
        <v>3.4275000000000002</v>
      </c>
      <c r="H227" s="1">
        <f>B227*$E$1867/E227</f>
        <v>234.81574957641723</v>
      </c>
      <c r="I227" s="1">
        <f>C227*$E$1867/E227</f>
        <v>9.640491052054017</v>
      </c>
      <c r="J227" s="26">
        <f t="shared" si="18"/>
        <v>680.40902565625822</v>
      </c>
      <c r="K227" s="1">
        <f>D227*$E$1867/E227</f>
        <v>12.753973953845032</v>
      </c>
      <c r="L227" s="26">
        <f t="shared" si="16"/>
        <v>36.956290226848246</v>
      </c>
      <c r="M227" s="10">
        <f t="shared" si="14"/>
        <v>17.053214402955486</v>
      </c>
      <c r="N227" s="4">
        <f t="shared" si="15"/>
        <v>21.840470810168483</v>
      </c>
      <c r="O227" s="36">
        <f>1/M227-(G227/100-(((E227/E107)^(1/10))-1))</f>
        <v>9.5907592579842146E-3</v>
      </c>
      <c r="R227" s="30"/>
      <c r="S227" s="30"/>
    </row>
    <row r="228" spans="1:19" ht="13" x14ac:dyDescent="0.3">
      <c r="A228" s="52" t="s">
        <v>244</v>
      </c>
      <c r="B228" s="6">
        <v>5.35</v>
      </c>
      <c r="C228" s="1">
        <v>0.2208</v>
      </c>
      <c r="D228" s="6">
        <v>0.29670000000000002</v>
      </c>
      <c r="E228" s="6">
        <v>7.7067928930000003</v>
      </c>
      <c r="F228" s="1">
        <f t="shared" si="17"/>
        <v>1889.8749999999829</v>
      </c>
      <c r="G228" s="17">
        <f>G218*2/12+G230*10/12</f>
        <v>3.4250000000000003</v>
      </c>
      <c r="H228" s="1">
        <f>B228*$E$1867/E228</f>
        <v>232.64152967293185</v>
      </c>
      <c r="I228" s="1">
        <f>C228*$E$1867/E228</f>
        <v>9.6013550937912822</v>
      </c>
      <c r="J228" s="26">
        <f t="shared" si="18"/>
        <v>676.42737283945485</v>
      </c>
      <c r="K228" s="1">
        <f>D228*$E$1867/E228</f>
        <v>12.901820907282035</v>
      </c>
      <c r="L228" s="26">
        <f t="shared" si="16"/>
        <v>37.513271312423605</v>
      </c>
      <c r="M228" s="10">
        <f t="shared" si="14"/>
        <v>16.906021170249367</v>
      </c>
      <c r="N228" s="4">
        <f t="shared" si="15"/>
        <v>21.638643677166293</v>
      </c>
      <c r="O228" s="36">
        <f>1/M228-(G228/100-(((E228/E108)^(1/10))-1))</f>
        <v>5.0333918368153652E-3</v>
      </c>
      <c r="R228" s="30"/>
      <c r="S228" s="30"/>
    </row>
    <row r="229" spans="1:19" ht="13" x14ac:dyDescent="0.3">
      <c r="A229" s="52" t="s">
        <v>245</v>
      </c>
      <c r="B229" s="6">
        <v>5.32</v>
      </c>
      <c r="C229" s="1">
        <v>0.22</v>
      </c>
      <c r="D229" s="6">
        <v>0.3</v>
      </c>
      <c r="E229" s="6">
        <v>7.8019419829999999</v>
      </c>
      <c r="F229" s="1">
        <f t="shared" si="17"/>
        <v>1889.9583333333162</v>
      </c>
      <c r="G229" s="17">
        <f>G218*1/12+G230*11/12</f>
        <v>3.4224999999999999</v>
      </c>
      <c r="H229" s="1">
        <f>B229*$E$1867/E229</f>
        <v>228.51571235530426</v>
      </c>
      <c r="I229" s="1">
        <f>C229*$E$1867/E229</f>
        <v>9.4498978793546868</v>
      </c>
      <c r="J229" s="26">
        <f t="shared" si="18"/>
        <v>666.7208730048153</v>
      </c>
      <c r="K229" s="1">
        <f>D229*$E$1867/E229</f>
        <v>12.886224380938208</v>
      </c>
      <c r="L229" s="26">
        <f t="shared" si="16"/>
        <v>37.597041710797853</v>
      </c>
      <c r="M229" s="10">
        <f t="shared" si="14"/>
        <v>16.610338076603391</v>
      </c>
      <c r="N229" s="4">
        <f t="shared" si="15"/>
        <v>21.248155988127635</v>
      </c>
      <c r="O229" s="36">
        <f>1/M229-(G229/100-(((E229/E109)^(1/10))-1))</f>
        <v>4.3897649033883962E-3</v>
      </c>
      <c r="R229" s="30"/>
      <c r="S229" s="30"/>
    </row>
    <row r="230" spans="1:19" ht="13" x14ac:dyDescent="0.3">
      <c r="A230" s="52" t="s">
        <v>246</v>
      </c>
      <c r="B230" s="6">
        <v>5.38</v>
      </c>
      <c r="C230" s="1">
        <v>0.22</v>
      </c>
      <c r="D230" s="6">
        <v>0.29920000000000002</v>
      </c>
      <c r="E230" s="6">
        <v>7.6116519010000001</v>
      </c>
      <c r="F230" s="1">
        <f t="shared" si="17"/>
        <v>1890.0416666666495</v>
      </c>
      <c r="G230" s="17">
        <v>3.42</v>
      </c>
      <c r="H230" s="1">
        <f>B230*$E$1867/E230</f>
        <v>236.87024425842827</v>
      </c>
      <c r="I230" s="1">
        <f>C230*$E$1867/E230</f>
        <v>9.6861438172591487</v>
      </c>
      <c r="J230" s="26">
        <f t="shared" si="18"/>
        <v>693.45121726078389</v>
      </c>
      <c r="K230" s="1">
        <f>D230*$E$1867/E230</f>
        <v>13.173155591472444</v>
      </c>
      <c r="L230" s="26">
        <f t="shared" si="16"/>
        <v>38.565168067737275</v>
      </c>
      <c r="M230" s="10">
        <f t="shared" si="14"/>
        <v>17.220071982181899</v>
      </c>
      <c r="N230" s="4">
        <f t="shared" si="15"/>
        <v>22.015486326741609</v>
      </c>
      <c r="O230" s="36">
        <f>1/M230-(G230/100-(((E230/E110)^(1/10))-1))</f>
        <v>-2.9555589998916526E-3</v>
      </c>
      <c r="R230" s="30"/>
      <c r="S230" s="30"/>
    </row>
    <row r="231" spans="1:19" ht="13" x14ac:dyDescent="0.3">
      <c r="A231" s="52" t="s">
        <v>247</v>
      </c>
      <c r="B231" s="6">
        <v>5.32</v>
      </c>
      <c r="C231" s="1">
        <v>0.22</v>
      </c>
      <c r="D231" s="6">
        <v>0.29830000000000001</v>
      </c>
      <c r="E231" s="6">
        <v>7.6116519010000001</v>
      </c>
      <c r="F231" s="1">
        <f t="shared" si="17"/>
        <v>1890.1249999999827</v>
      </c>
      <c r="G231" s="17">
        <f>G230*11/12+G242*1/12</f>
        <v>3.4366666666666665</v>
      </c>
      <c r="H231" s="1">
        <f>B231*$E$1867/E231</f>
        <v>234.22856867190308</v>
      </c>
      <c r="I231" s="1">
        <f>C231*$E$1867/E231</f>
        <v>9.6861438172591487</v>
      </c>
      <c r="J231" s="26">
        <f t="shared" si="18"/>
        <v>688.08062233156465</v>
      </c>
      <c r="K231" s="1">
        <f>D231*$E$1867/E231</f>
        <v>13.133530457674564</v>
      </c>
      <c r="L231" s="26">
        <f t="shared" si="16"/>
        <v>38.58166346644844</v>
      </c>
      <c r="M231" s="10">
        <f t="shared" si="14"/>
        <v>17.026814982671407</v>
      </c>
      <c r="N231" s="4">
        <f t="shared" si="15"/>
        <v>21.755939559525377</v>
      </c>
      <c r="O231" s="36">
        <f>1/M231-(G231/100-(((E231/E111)^(1/10))-1))</f>
        <v>-2.4631020800412323E-3</v>
      </c>
      <c r="R231" s="30"/>
      <c r="S231" s="30"/>
    </row>
    <row r="232" spans="1:19" ht="13" x14ac:dyDescent="0.3">
      <c r="A232" s="52" t="s">
        <v>248</v>
      </c>
      <c r="B232" s="6">
        <v>5.28</v>
      </c>
      <c r="C232" s="1">
        <v>0.22</v>
      </c>
      <c r="D232" s="6">
        <v>0.29749999999999999</v>
      </c>
      <c r="E232" s="6">
        <v>7.6116519010000001</v>
      </c>
      <c r="F232" s="1">
        <f t="shared" si="17"/>
        <v>1890.208333333316</v>
      </c>
      <c r="G232" s="17">
        <f>G230*10/12+G242*2/12</f>
        <v>3.4533333333333336</v>
      </c>
      <c r="H232" s="1">
        <f>B232*$E$1867/E232</f>
        <v>232.46745161421958</v>
      </c>
      <c r="I232" s="1">
        <f>C232*$E$1867/E232</f>
        <v>9.6861438172591487</v>
      </c>
      <c r="J232" s="26">
        <f t="shared" si="18"/>
        <v>685.27828896993856</v>
      </c>
      <c r="K232" s="1">
        <f>D232*$E$1867/E232</f>
        <v>13.098308116520894</v>
      </c>
      <c r="L232" s="26">
        <f t="shared" si="16"/>
        <v>38.611797531923621</v>
      </c>
      <c r="M232" s="10">
        <f t="shared" si="14"/>
        <v>16.9011222885899</v>
      </c>
      <c r="N232" s="4">
        <f t="shared" si="15"/>
        <v>21.582789932235588</v>
      </c>
      <c r="O232" s="36">
        <f>1/M232-(G232/100-(((E232/E112)^(1/10))-1))</f>
        <v>-3.114404003578812E-3</v>
      </c>
      <c r="R232" s="30"/>
      <c r="S232" s="30"/>
    </row>
    <row r="233" spans="1:19" ht="13" x14ac:dyDescent="0.3">
      <c r="A233" s="52" t="s">
        <v>249</v>
      </c>
      <c r="B233" s="6">
        <v>5.39</v>
      </c>
      <c r="C233" s="1">
        <v>0.22</v>
      </c>
      <c r="D233" s="6">
        <v>0.29670000000000002</v>
      </c>
      <c r="E233" s="6">
        <v>7.6116519010000001</v>
      </c>
      <c r="F233" s="1">
        <f t="shared" si="17"/>
        <v>1890.2916666666492</v>
      </c>
      <c r="G233" s="17">
        <f>G230*9/12+G242*3/12</f>
        <v>3.4699999999999998</v>
      </c>
      <c r="H233" s="1">
        <f>B233*$E$1867/E233</f>
        <v>237.31052352284914</v>
      </c>
      <c r="I233" s="1">
        <f>C233*$E$1867/E233</f>
        <v>9.6861438172591487</v>
      </c>
      <c r="J233" s="26">
        <f t="shared" si="18"/>
        <v>701.93435849351329</v>
      </c>
      <c r="K233" s="1">
        <f>D233*$E$1867/E233</f>
        <v>13.063085775367226</v>
      </c>
      <c r="L233" s="26">
        <f t="shared" si="16"/>
        <v>38.638946969392471</v>
      </c>
      <c r="M233" s="10">
        <f t="shared" si="14"/>
        <v>17.257854542603191</v>
      </c>
      <c r="N233" s="4">
        <f t="shared" si="15"/>
        <v>22.023576461344501</v>
      </c>
      <c r="O233" s="36">
        <f>1/M233-(G233/100-(((E233/E113)^(1/10))-1))</f>
        <v>-7.570330080329743E-4</v>
      </c>
      <c r="R233" s="30"/>
      <c r="S233" s="30"/>
    </row>
    <row r="234" spans="1:19" ht="13" x14ac:dyDescent="0.3">
      <c r="A234" s="52" t="s">
        <v>250</v>
      </c>
      <c r="B234" s="6">
        <v>5.62</v>
      </c>
      <c r="C234" s="1">
        <v>0.22</v>
      </c>
      <c r="D234" s="6">
        <v>0.29580000000000001</v>
      </c>
      <c r="E234" s="6">
        <v>7.7067928930000003</v>
      </c>
      <c r="F234" s="1">
        <f t="shared" si="17"/>
        <v>1890.3749999999825</v>
      </c>
      <c r="G234" s="17">
        <f>G230*8/12+G242*4/12</f>
        <v>3.4866666666666664</v>
      </c>
      <c r="H234" s="1">
        <f>B234*$E$1867/E234</f>
        <v>244.38231715175272</v>
      </c>
      <c r="I234" s="1">
        <f>C234*$E$1867/E234</f>
        <v>9.5665675753355153</v>
      </c>
      <c r="J234" s="26">
        <f t="shared" si="18"/>
        <v>725.20988254166048</v>
      </c>
      <c r="K234" s="1">
        <f>D234*$E$1867/E234</f>
        <v>12.862684949019298</v>
      </c>
      <c r="L234" s="26">
        <f t="shared" si="16"/>
        <v>38.170299511712308</v>
      </c>
      <c r="M234" s="10">
        <f t="shared" si="14"/>
        <v>17.786430487858617</v>
      </c>
      <c r="N234" s="4">
        <f t="shared" si="15"/>
        <v>22.677242329476787</v>
      </c>
      <c r="O234" s="36">
        <f>1/M234-(G234/100-(((E234/E114)^(1/10))-1))</f>
        <v>1.4888374225166603E-3</v>
      </c>
      <c r="R234" s="30"/>
      <c r="S234" s="30"/>
    </row>
    <row r="235" spans="1:19" ht="13" x14ac:dyDescent="0.3">
      <c r="A235" s="52" t="s">
        <v>251</v>
      </c>
      <c r="B235" s="6">
        <v>5.58</v>
      </c>
      <c r="C235" s="1">
        <v>0.22</v>
      </c>
      <c r="D235" s="6">
        <v>0.29499999999999998</v>
      </c>
      <c r="E235" s="6">
        <v>7.7067928930000003</v>
      </c>
      <c r="F235" s="1">
        <f t="shared" si="17"/>
        <v>1890.4583333333157</v>
      </c>
      <c r="G235" s="17">
        <f>G230*7/12+G242*5/12</f>
        <v>3.5033333333333334</v>
      </c>
      <c r="H235" s="1">
        <f>B235*$E$1867/E235</f>
        <v>242.64294122896445</v>
      </c>
      <c r="I235" s="1">
        <f>C235*$E$1867/E235</f>
        <v>9.5665675753355153</v>
      </c>
      <c r="J235" s="26">
        <f t="shared" si="18"/>
        <v>722.41399628037891</v>
      </c>
      <c r="K235" s="1">
        <f>D235*$E$1867/E235</f>
        <v>12.827897430563532</v>
      </c>
      <c r="L235" s="26">
        <f t="shared" si="16"/>
        <v>38.192137796184902</v>
      </c>
      <c r="M235" s="10">
        <f t="shared" si="14"/>
        <v>17.684360844450161</v>
      </c>
      <c r="N235" s="4">
        <f t="shared" si="15"/>
        <v>22.525314186078031</v>
      </c>
      <c r="O235" s="36">
        <f>1/M235-(G235/100-(((E235/E115)^(1/10))-1))</f>
        <v>3.649474647291602E-3</v>
      </c>
      <c r="R235" s="30"/>
      <c r="S235" s="30"/>
    </row>
    <row r="236" spans="1:19" ht="13" x14ac:dyDescent="0.3">
      <c r="A236" s="52" t="s">
        <v>252</v>
      </c>
      <c r="B236" s="6">
        <v>5.54</v>
      </c>
      <c r="C236" s="1">
        <v>0.22</v>
      </c>
      <c r="D236" s="6">
        <v>0.29420000000000002</v>
      </c>
      <c r="E236" s="6">
        <v>7.7067928930000003</v>
      </c>
      <c r="F236" s="1">
        <f t="shared" si="17"/>
        <v>1890.541666666649</v>
      </c>
      <c r="G236" s="17">
        <f>G230*6/12+G242*6/12</f>
        <v>3.5199999999999996</v>
      </c>
      <c r="H236" s="1">
        <f>B236*$E$1867/E236</f>
        <v>240.90356530617618</v>
      </c>
      <c r="I236" s="1">
        <f>C236*$E$1867/E236</f>
        <v>9.5665675753355153</v>
      </c>
      <c r="J236" s="26">
        <f t="shared" si="18"/>
        <v>719.60892401286253</v>
      </c>
      <c r="K236" s="1">
        <f>D236*$E$1867/E236</f>
        <v>12.793109912107768</v>
      </c>
      <c r="L236" s="26">
        <f t="shared" si="16"/>
        <v>38.214611091080172</v>
      </c>
      <c r="M236" s="10">
        <f t="shared" si="14"/>
        <v>17.589295440864859</v>
      </c>
      <c r="N236" s="4">
        <f t="shared" si="15"/>
        <v>22.381223142941963</v>
      </c>
      <c r="O236" s="36">
        <f>1/M236-(G236/100-(((E236/E116)^(1/10))-1))</f>
        <v>3.7884300307326063E-3</v>
      </c>
      <c r="R236" s="30"/>
      <c r="S236" s="30"/>
    </row>
    <row r="237" spans="1:19" ht="13" x14ac:dyDescent="0.3">
      <c r="A237" s="52" t="s">
        <v>253</v>
      </c>
      <c r="B237" s="6">
        <v>5.41</v>
      </c>
      <c r="C237" s="1">
        <v>0.22</v>
      </c>
      <c r="D237" s="6">
        <v>0.29330000000000001</v>
      </c>
      <c r="E237" s="6">
        <v>7.9922320659999997</v>
      </c>
      <c r="F237" s="1">
        <f t="shared" si="17"/>
        <v>1890.6249999999823</v>
      </c>
      <c r="G237" s="17">
        <f>G230*5/12+G242*7/12</f>
        <v>3.5366666666666671</v>
      </c>
      <c r="H237" s="1">
        <f>B237*$E$1867/E237</f>
        <v>226.84871854670695</v>
      </c>
      <c r="I237" s="1">
        <f>C237*$E$1867/E237</f>
        <v>9.2249016784243114</v>
      </c>
      <c r="J237" s="26">
        <f t="shared" si="18"/>
        <v>679.92167539389163</v>
      </c>
      <c r="K237" s="1">
        <f>D237*$E$1867/E237</f>
        <v>12.298471192190231</v>
      </c>
      <c r="L237" s="26">
        <f t="shared" si="16"/>
        <v>36.861557743628168</v>
      </c>
      <c r="M237" s="10">
        <f t="shared" si="14"/>
        <v>16.596791133979096</v>
      </c>
      <c r="N237" s="4">
        <f t="shared" si="15"/>
        <v>21.097417913470899</v>
      </c>
      <c r="O237" s="36">
        <f>1/M237-(G237/100-(((E237/E117)^(1/10))-1))</f>
        <v>1.059994233893298E-2</v>
      </c>
      <c r="R237" s="30"/>
      <c r="S237" s="30"/>
    </row>
    <row r="238" spans="1:19" ht="13" x14ac:dyDescent="0.3">
      <c r="A238" s="52" t="s">
        <v>254</v>
      </c>
      <c r="B238" s="6">
        <v>5.32</v>
      </c>
      <c r="C238" s="1">
        <v>0.22</v>
      </c>
      <c r="D238" s="6">
        <v>0.29249999999999998</v>
      </c>
      <c r="E238" s="6">
        <v>8.0873811569999994</v>
      </c>
      <c r="F238" s="1">
        <f t="shared" si="17"/>
        <v>1890.7083333333155</v>
      </c>
      <c r="G238" s="17">
        <f>G230*4/12+G242*8/12</f>
        <v>3.5533333333333337</v>
      </c>
      <c r="H238" s="1">
        <f>B238*$E$1867/E238</f>
        <v>220.4503899827755</v>
      </c>
      <c r="I238" s="1">
        <f>C238*$E$1867/E238</f>
        <v>9.1163695105659031</v>
      </c>
      <c r="J238" s="26">
        <f t="shared" si="18"/>
        <v>663.02130437919561</v>
      </c>
      <c r="K238" s="1">
        <f>D238*$E$1867/E238</f>
        <v>12.120627644729666</v>
      </c>
      <c r="L238" s="26">
        <f t="shared" si="16"/>
        <v>36.453708934382462</v>
      </c>
      <c r="M238" s="10">
        <f t="shared" si="14"/>
        <v>16.169702000615299</v>
      </c>
      <c r="N238" s="4">
        <f t="shared" si="15"/>
        <v>20.535953743709662</v>
      </c>
      <c r="O238" s="36">
        <f>1/M238-(G238/100-(((E238/E118)^(1/10))-1))</f>
        <v>1.218010758330635E-2</v>
      </c>
      <c r="R238" s="30"/>
      <c r="S238" s="30"/>
    </row>
    <row r="239" spans="1:19" ht="13" x14ac:dyDescent="0.3">
      <c r="A239" s="52" t="s">
        <v>255</v>
      </c>
      <c r="B239" s="6">
        <v>5.08</v>
      </c>
      <c r="C239" s="1">
        <v>0.22</v>
      </c>
      <c r="D239" s="6">
        <v>0.29170000000000001</v>
      </c>
      <c r="E239" s="6">
        <v>8.0873811569999994</v>
      </c>
      <c r="F239" s="1">
        <f t="shared" si="17"/>
        <v>1890.7916666666488</v>
      </c>
      <c r="G239" s="17">
        <f>G230*3/12+G242*9/12</f>
        <v>3.57</v>
      </c>
      <c r="H239" s="1">
        <f>B239*$E$1867/E239</f>
        <v>210.50525960761269</v>
      </c>
      <c r="I239" s="1">
        <f>C239*$E$1867/E239</f>
        <v>9.1163695105659031</v>
      </c>
      <c r="J239" s="26">
        <f t="shared" si="18"/>
        <v>635.39541669672917</v>
      </c>
      <c r="K239" s="1">
        <f>D239*$E$1867/E239</f>
        <v>12.087477210145792</v>
      </c>
      <c r="L239" s="26">
        <f t="shared" si="16"/>
        <v>36.485205324888959</v>
      </c>
      <c r="M239" s="10">
        <f t="shared" si="14"/>
        <v>15.482849163344435</v>
      </c>
      <c r="N239" s="4">
        <f t="shared" si="15"/>
        <v>19.649063391074282</v>
      </c>
      <c r="O239" s="36">
        <f>1/M239-(G239/100-(((E239/E119)^(1/10))-1))</f>
        <v>1.475697776515969E-2</v>
      </c>
      <c r="R239" s="30"/>
      <c r="S239" s="30"/>
    </row>
    <row r="240" spans="1:19" ht="13" x14ac:dyDescent="0.3">
      <c r="A240" s="52" t="s">
        <v>256</v>
      </c>
      <c r="B240" s="6">
        <v>4.71</v>
      </c>
      <c r="C240" s="1">
        <v>0.22</v>
      </c>
      <c r="D240" s="6">
        <v>0.2908</v>
      </c>
      <c r="E240" s="6">
        <v>7.8970910740000004</v>
      </c>
      <c r="F240" s="1">
        <f t="shared" si="17"/>
        <v>1890.874999999982</v>
      </c>
      <c r="G240" s="17">
        <f>G230*2/12+G242*10/12</f>
        <v>3.5866666666666669</v>
      </c>
      <c r="H240" s="1">
        <f>B240*$E$1867/E240</f>
        <v>199.87612054985399</v>
      </c>
      <c r="I240" s="1">
        <f>C240*$E$1867/E240</f>
        <v>9.3360396010547504</v>
      </c>
      <c r="J240" s="26">
        <f t="shared" si="18"/>
        <v>605.66045177780552</v>
      </c>
      <c r="K240" s="1">
        <f>D240*$E$1867/E240</f>
        <v>12.340546890848733</v>
      </c>
      <c r="L240" s="26">
        <f t="shared" si="16"/>
        <v>37.394067808277242</v>
      </c>
      <c r="M240" s="10">
        <f t="shared" si="14"/>
        <v>14.745043493292801</v>
      </c>
      <c r="N240" s="4">
        <f t="shared" si="15"/>
        <v>18.70319459445366</v>
      </c>
      <c r="O240" s="36">
        <f>1/M240-(G240/100-(((E240/E120)^(1/10))-1))</f>
        <v>1.4479293188767409E-2</v>
      </c>
      <c r="R240" s="30"/>
      <c r="S240" s="30"/>
    </row>
    <row r="241" spans="1:19" ht="13" x14ac:dyDescent="0.3">
      <c r="A241" s="52" t="s">
        <v>257</v>
      </c>
      <c r="B241" s="6">
        <v>4.5999999999999996</v>
      </c>
      <c r="C241" s="1">
        <v>0.22</v>
      </c>
      <c r="D241" s="6">
        <v>0.28999999999999998</v>
      </c>
      <c r="E241" s="6">
        <v>7.8970910740000004</v>
      </c>
      <c r="F241" s="1">
        <f t="shared" si="17"/>
        <v>1890.9583333333153</v>
      </c>
      <c r="G241" s="17">
        <f>G230*1/12+G242*11/12</f>
        <v>3.6033333333333335</v>
      </c>
      <c r="H241" s="1">
        <f>B241*$E$1867/E241</f>
        <v>195.2081007493266</v>
      </c>
      <c r="I241" s="1">
        <f>C241*$E$1867/E241</f>
        <v>9.3360396010547504</v>
      </c>
      <c r="J241" s="26">
        <f t="shared" si="18"/>
        <v>593.87300491022609</v>
      </c>
      <c r="K241" s="1">
        <f>D241*$E$1867/E241</f>
        <v>12.306597655935807</v>
      </c>
      <c r="L241" s="26">
        <f t="shared" si="16"/>
        <v>37.439819874775125</v>
      </c>
      <c r="M241" s="10">
        <f t="shared" si="14"/>
        <v>14.442991231338436</v>
      </c>
      <c r="N241" s="4">
        <f t="shared" si="15"/>
        <v>18.311029377300343</v>
      </c>
      <c r="O241" s="36">
        <f>1/M241-(G241/100-(((E241/E121)^(1/10))-1))</f>
        <v>1.4743783055441009E-2</v>
      </c>
      <c r="R241" s="30"/>
      <c r="S241" s="30"/>
    </row>
    <row r="242" spans="1:19" ht="13" x14ac:dyDescent="0.3">
      <c r="A242" s="52" t="s">
        <v>258</v>
      </c>
      <c r="B242" s="6">
        <v>4.84</v>
      </c>
      <c r="C242" s="1">
        <v>0.22</v>
      </c>
      <c r="D242" s="6">
        <v>0.29420000000000002</v>
      </c>
      <c r="E242" s="6">
        <v>7.8019419829999999</v>
      </c>
      <c r="F242" s="1">
        <f t="shared" si="17"/>
        <v>1891.0416666666486</v>
      </c>
      <c r="G242" s="17">
        <v>3.62</v>
      </c>
      <c r="H242" s="1">
        <f>B242*$E$1867/E242</f>
        <v>207.89775334580312</v>
      </c>
      <c r="I242" s="1">
        <f>C242*$E$1867/E242</f>
        <v>9.4498978793546868</v>
      </c>
      <c r="J242" s="26">
        <f t="shared" si="18"/>
        <v>634.87392662140951</v>
      </c>
      <c r="K242" s="1">
        <f>D242*$E$1867/E242</f>
        <v>12.637090709573405</v>
      </c>
      <c r="L242" s="26">
        <f t="shared" si="16"/>
        <v>38.590890333061708</v>
      </c>
      <c r="M242" s="10">
        <f t="shared" si="14"/>
        <v>15.428980086469092</v>
      </c>
      <c r="N242" s="4">
        <f t="shared" si="15"/>
        <v>19.546976727737331</v>
      </c>
      <c r="O242" s="36">
        <f>1/M242-(G242/100-(((E242/E122)^(1/10))-1))</f>
        <v>9.949380825188793E-3</v>
      </c>
      <c r="R242" s="30"/>
      <c r="S242" s="30"/>
    </row>
    <row r="243" spans="1:19" ht="13" x14ac:dyDescent="0.3">
      <c r="A243" s="52" t="s">
        <v>259</v>
      </c>
      <c r="B243" s="6">
        <v>4.9000000000000004</v>
      </c>
      <c r="C243" s="1">
        <v>0.22</v>
      </c>
      <c r="D243" s="6">
        <v>0.29830000000000001</v>
      </c>
      <c r="E243" s="6">
        <v>7.8970910740000004</v>
      </c>
      <c r="F243" s="1">
        <f t="shared" si="17"/>
        <v>1891.1249999999818</v>
      </c>
      <c r="G243" s="17">
        <f>G242*11/12+G254*1/12</f>
        <v>3.6183333333333332</v>
      </c>
      <c r="H243" s="1">
        <f>B243*$E$1867/E243</f>
        <v>207.93906384167403</v>
      </c>
      <c r="I243" s="1">
        <f>C243*$E$1867/E243</f>
        <v>9.3360396010547504</v>
      </c>
      <c r="J243" s="26">
        <f t="shared" si="18"/>
        <v>637.37593041127377</v>
      </c>
      <c r="K243" s="1">
        <f>D243*$E$1867/E243</f>
        <v>12.65882096815742</v>
      </c>
      <c r="L243" s="26">
        <f t="shared" si="16"/>
        <v>38.801885722792434</v>
      </c>
      <c r="M243" s="10">
        <f t="shared" si="14"/>
        <v>15.476522332432538</v>
      </c>
      <c r="N243" s="4">
        <f t="shared" si="15"/>
        <v>19.590760596774185</v>
      </c>
      <c r="O243" s="36">
        <f>1/M243-(G243/100-(((E243/E123)^(1/10))-1))</f>
        <v>9.9700471158192666E-3</v>
      </c>
      <c r="R243" s="30"/>
      <c r="S243" s="30"/>
    </row>
    <row r="244" spans="1:19" ht="13" x14ac:dyDescent="0.3">
      <c r="A244" s="52" t="s">
        <v>260</v>
      </c>
      <c r="B244" s="6">
        <v>4.8099999999999996</v>
      </c>
      <c r="C244" s="1">
        <v>0.22</v>
      </c>
      <c r="D244" s="6">
        <v>0.30249999999999999</v>
      </c>
      <c r="E244" s="6">
        <v>7.9922320659999997</v>
      </c>
      <c r="F244" s="1">
        <f t="shared" si="17"/>
        <v>1891.2083333333151</v>
      </c>
      <c r="G244" s="17">
        <f>G242*10/12+G254*2/12</f>
        <v>3.6166666666666671</v>
      </c>
      <c r="H244" s="1">
        <f>B244*$E$1867/E244</f>
        <v>201.6898957873679</v>
      </c>
      <c r="I244" s="1">
        <f>C244*$E$1867/E244</f>
        <v>9.2249016784243114</v>
      </c>
      <c r="J244" s="26">
        <f t="shared" si="18"/>
        <v>620.57729857082791</v>
      </c>
      <c r="K244" s="1">
        <f>D244*$E$1867/E244</f>
        <v>12.684239807833428</v>
      </c>
      <c r="L244" s="26">
        <f t="shared" si="16"/>
        <v>39.027990190784919</v>
      </c>
      <c r="M244" s="10">
        <f t="shared" si="14"/>
        <v>15.051623357657382</v>
      </c>
      <c r="N244" s="4">
        <f t="shared" si="15"/>
        <v>19.038836516513697</v>
      </c>
      <c r="O244" s="36">
        <f>1/M244-(G244/100-(((E244/E124)^(1/10))-1))</f>
        <v>1.2986888034787779E-2</v>
      </c>
      <c r="R244" s="30"/>
      <c r="S244" s="30"/>
    </row>
    <row r="245" spans="1:19" ht="13" x14ac:dyDescent="0.3">
      <c r="A245" s="52" t="s">
        <v>261</v>
      </c>
      <c r="B245" s="6">
        <v>4.97</v>
      </c>
      <c r="C245" s="1">
        <v>0.22</v>
      </c>
      <c r="D245" s="6">
        <v>0.30669999999999997</v>
      </c>
      <c r="E245" s="6">
        <v>8.0873811569999994</v>
      </c>
      <c r="F245" s="1">
        <f t="shared" si="17"/>
        <v>1891.2916666666483</v>
      </c>
      <c r="G245" s="17">
        <f>G242*9/12+G254*3/12</f>
        <v>3.6149999999999998</v>
      </c>
      <c r="H245" s="1">
        <f>B245*$E$1867/E245</f>
        <v>205.94707485232973</v>
      </c>
      <c r="I245" s="1">
        <f>C245*$E$1867/E245</f>
        <v>9.1163695105659031</v>
      </c>
      <c r="J245" s="26">
        <f t="shared" si="18"/>
        <v>636.0136676982064</v>
      </c>
      <c r="K245" s="1">
        <f>D245*$E$1867/E245</f>
        <v>12.709047858593467</v>
      </c>
      <c r="L245" s="26">
        <f t="shared" si="16"/>
        <v>39.248569795380263</v>
      </c>
      <c r="M245" s="10">
        <f t="shared" si="14"/>
        <v>15.408945125474121</v>
      </c>
      <c r="N245" s="4">
        <f t="shared" si="15"/>
        <v>19.474152883159565</v>
      </c>
      <c r="O245" s="36">
        <f>1/M245-(G245/100-(((E245/E125)^(1/10))-1))</f>
        <v>1.1648752704439318E-2</v>
      </c>
      <c r="R245" s="30"/>
      <c r="S245" s="30"/>
    </row>
    <row r="246" spans="1:19" ht="13" x14ac:dyDescent="0.3">
      <c r="A246" s="52" t="s">
        <v>262</v>
      </c>
      <c r="B246" s="6">
        <v>4.95</v>
      </c>
      <c r="C246" s="1">
        <v>0.22</v>
      </c>
      <c r="D246" s="6">
        <v>0.31080000000000002</v>
      </c>
      <c r="E246" s="6">
        <v>7.9922320659999997</v>
      </c>
      <c r="F246" s="1">
        <f t="shared" si="17"/>
        <v>1891.3749999999816</v>
      </c>
      <c r="G246" s="17">
        <f>G242*8/12+G254*4/12</f>
        <v>3.6133333333333333</v>
      </c>
      <c r="H246" s="1">
        <f>B246*$E$1867/E246</f>
        <v>207.56028776454701</v>
      </c>
      <c r="I246" s="1">
        <f>C246*$E$1867/E246</f>
        <v>9.2249016784243114</v>
      </c>
      <c r="J246" s="26">
        <f t="shared" si="18"/>
        <v>643.3697117597751</v>
      </c>
      <c r="K246" s="1">
        <f>D246*$E$1867/E246</f>
        <v>13.03227018933762</v>
      </c>
      <c r="L246" s="26">
        <f t="shared" si="16"/>
        <v>40.395819477765279</v>
      </c>
      <c r="M246" s="10">
        <f t="shared" si="14"/>
        <v>15.566495230713253</v>
      </c>
      <c r="N246" s="4">
        <f t="shared" si="15"/>
        <v>19.657392023024784</v>
      </c>
      <c r="O246" s="36">
        <f>1/M246-(G246/100-(((E246/E126)^(1/10))-1))</f>
        <v>1.0822741109611199E-2</v>
      </c>
      <c r="R246" s="30"/>
      <c r="S246" s="30"/>
    </row>
    <row r="247" spans="1:19" ht="13" x14ac:dyDescent="0.3">
      <c r="A247" s="52" t="s">
        <v>263</v>
      </c>
      <c r="B247" s="6">
        <v>4.8499999999999996</v>
      </c>
      <c r="C247" s="1">
        <v>0.22</v>
      </c>
      <c r="D247" s="6">
        <v>0.315</v>
      </c>
      <c r="E247" s="6">
        <v>7.8019419829999999</v>
      </c>
      <c r="F247" s="1">
        <f t="shared" si="17"/>
        <v>1891.4583333333148</v>
      </c>
      <c r="G247" s="17">
        <f>G242*7/12+G254*5/12</f>
        <v>3.6116666666666668</v>
      </c>
      <c r="H247" s="1">
        <f>B247*$E$1867/E247</f>
        <v>208.32729415850105</v>
      </c>
      <c r="I247" s="1">
        <f>C247*$E$1867/E247</f>
        <v>9.4498978793546868</v>
      </c>
      <c r="J247" s="26">
        <f t="shared" si="18"/>
        <v>648.18815206098827</v>
      </c>
      <c r="K247" s="1">
        <f>D247*$E$1867/E247</f>
        <v>13.53053559998512</v>
      </c>
      <c r="L247" s="26">
        <f t="shared" si="16"/>
        <v>42.098818123548725</v>
      </c>
      <c r="M247" s="10">
        <f t="shared" si="14"/>
        <v>15.658211395638146</v>
      </c>
      <c r="N247" s="4">
        <f t="shared" si="15"/>
        <v>19.757483904273546</v>
      </c>
      <c r="O247" s="36">
        <f>1/M247-(G247/100-(((E247/E127)^(1/10))-1))</f>
        <v>8.0978879362577569E-3</v>
      </c>
      <c r="R247" s="30"/>
      <c r="S247" s="30"/>
    </row>
    <row r="248" spans="1:19" ht="13" x14ac:dyDescent="0.3">
      <c r="A248" s="52" t="s">
        <v>264</v>
      </c>
      <c r="B248" s="6">
        <v>4.7699999999999996</v>
      </c>
      <c r="C248" s="1">
        <v>0.22</v>
      </c>
      <c r="D248" s="6">
        <v>0.31919999999999998</v>
      </c>
      <c r="E248" s="6">
        <v>7.7067928930000003</v>
      </c>
      <c r="F248" s="1">
        <f t="shared" si="17"/>
        <v>1891.5416666666481</v>
      </c>
      <c r="G248" s="17">
        <f>G242*6/12+G254*6/12</f>
        <v>3.61</v>
      </c>
      <c r="H248" s="1">
        <f>B248*$E$1867/E248</f>
        <v>207.42057879250183</v>
      </c>
      <c r="I248" s="1">
        <f>C248*$E$1867/E248</f>
        <v>9.5665675753355153</v>
      </c>
      <c r="J248" s="26">
        <f t="shared" si="18"/>
        <v>647.84745013184147</v>
      </c>
      <c r="K248" s="1">
        <f>D248*$E$1867/E248</f>
        <v>13.88021986385044</v>
      </c>
      <c r="L248" s="26">
        <f t="shared" si="16"/>
        <v>43.352810499388646</v>
      </c>
      <c r="M248" s="10">
        <f t="shared" si="14"/>
        <v>15.617919238645985</v>
      </c>
      <c r="N248" s="4">
        <f t="shared" si="15"/>
        <v>19.690897636411623</v>
      </c>
      <c r="O248" s="36">
        <f>1/M248-(G248/100-(((E248/E128)^(1/10))-1))</f>
        <v>6.1039371490866287E-3</v>
      </c>
      <c r="R248" s="30"/>
      <c r="S248" s="30"/>
    </row>
    <row r="249" spans="1:19" ht="13" x14ac:dyDescent="0.3">
      <c r="A249" s="52" t="s">
        <v>265</v>
      </c>
      <c r="B249" s="6">
        <v>4.93</v>
      </c>
      <c r="C249" s="1">
        <v>0.22</v>
      </c>
      <c r="D249" s="6">
        <v>0.32329999999999998</v>
      </c>
      <c r="E249" s="6">
        <v>7.7067928930000003</v>
      </c>
      <c r="F249" s="1">
        <f t="shared" si="17"/>
        <v>1891.6249999999814</v>
      </c>
      <c r="G249" s="17">
        <f>G242*5/12+G254*7/12</f>
        <v>3.6083333333333334</v>
      </c>
      <c r="H249" s="1">
        <f>B249*$E$1867/E249</f>
        <v>214.37808248365494</v>
      </c>
      <c r="I249" s="1">
        <f>C249*$E$1867/E249</f>
        <v>9.5665675753355153</v>
      </c>
      <c r="J249" s="26">
        <f t="shared" si="18"/>
        <v>672.06816192922338</v>
      </c>
      <c r="K249" s="1">
        <f>D249*$E$1867/E249</f>
        <v>14.058505895936237</v>
      </c>
      <c r="L249" s="26">
        <f t="shared" si="16"/>
        <v>44.072948631180111</v>
      </c>
      <c r="M249" s="10">
        <f t="shared" si="14"/>
        <v>16.163998509963029</v>
      </c>
      <c r="N249" s="4">
        <f t="shared" si="15"/>
        <v>20.360263494436538</v>
      </c>
      <c r="O249" s="36">
        <f>1/M249-(G249/100-(((E249/E129)^(1/10))-1))</f>
        <v>2.0408967091835387E-3</v>
      </c>
      <c r="R249" s="30"/>
      <c r="S249" s="30"/>
    </row>
    <row r="250" spans="1:19" ht="13" x14ac:dyDescent="0.3">
      <c r="A250" s="52" t="s">
        <v>266</v>
      </c>
      <c r="B250" s="6">
        <v>5.33</v>
      </c>
      <c r="C250" s="1">
        <v>0.22</v>
      </c>
      <c r="D250" s="6">
        <v>0.32750000000000001</v>
      </c>
      <c r="E250" s="6">
        <v>7.6116519010000001</v>
      </c>
      <c r="F250" s="1">
        <f t="shared" si="17"/>
        <v>1891.7083333333146</v>
      </c>
      <c r="G250" s="17">
        <f>G242*4/12+G254*8/12</f>
        <v>3.6066666666666665</v>
      </c>
      <c r="H250" s="1">
        <f>B250*$E$1867/E250</f>
        <v>234.66884793632391</v>
      </c>
      <c r="I250" s="1">
        <f>C250*$E$1867/E250</f>
        <v>9.6861438172591487</v>
      </c>
      <c r="J250" s="26">
        <f t="shared" si="18"/>
        <v>738.20951532813683</v>
      </c>
      <c r="K250" s="1">
        <f>D250*$E$1867/E250</f>
        <v>14.419145909783506</v>
      </c>
      <c r="L250" s="26">
        <f t="shared" si="16"/>
        <v>45.359027442770135</v>
      </c>
      <c r="M250" s="10">
        <f t="shared" ref="M250:M313" si="19">H250/AVERAGE(K130:K249)</f>
        <v>17.711261413256523</v>
      </c>
      <c r="N250" s="4">
        <f t="shared" ref="N250:N313" si="20">J250/AVERAGE(L130:L249)</f>
        <v>22.282941160980997</v>
      </c>
      <c r="O250" s="36">
        <f>1/M250-(G250/100-(((E250/E130)^(1/10))-1))</f>
        <v>-8.2668332111861392E-3</v>
      </c>
      <c r="R250" s="30"/>
      <c r="S250" s="30"/>
    </row>
    <row r="251" spans="1:19" ht="13" x14ac:dyDescent="0.3">
      <c r="A251" s="52" t="s">
        <v>267</v>
      </c>
      <c r="B251" s="6">
        <v>5.33</v>
      </c>
      <c r="C251" s="1">
        <v>0.22</v>
      </c>
      <c r="D251" s="6">
        <v>0.33169999999999999</v>
      </c>
      <c r="E251" s="6">
        <v>7.6116519010000001</v>
      </c>
      <c r="F251" s="1">
        <f t="shared" si="17"/>
        <v>1891.7916666666479</v>
      </c>
      <c r="G251" s="17">
        <f>G242*3/12+G254*9/12</f>
        <v>3.6049999999999995</v>
      </c>
      <c r="H251" s="1">
        <f>B251*$E$1867/E251</f>
        <v>234.66884793632391</v>
      </c>
      <c r="I251" s="1">
        <f>C251*$E$1867/E251</f>
        <v>9.6861438172591487</v>
      </c>
      <c r="J251" s="26">
        <f t="shared" si="18"/>
        <v>740.74869752595089</v>
      </c>
      <c r="K251" s="1">
        <f>D251*$E$1867/E251</f>
        <v>14.604063200840271</v>
      </c>
      <c r="L251" s="26">
        <f t="shared" si="16"/>
        <v>46.098751026145955</v>
      </c>
      <c r="M251" s="10">
        <f t="shared" si="19"/>
        <v>17.716568589826363</v>
      </c>
      <c r="N251" s="4">
        <f t="shared" si="20"/>
        <v>22.264637311753678</v>
      </c>
      <c r="O251" s="36">
        <f>1/M251-(G251/100-(((E251/E131)^(1/10))-1))</f>
        <v>-9.1704230003878881E-3</v>
      </c>
      <c r="R251" s="30"/>
      <c r="S251" s="30"/>
    </row>
    <row r="252" spans="1:19" ht="13" x14ac:dyDescent="0.3">
      <c r="A252" s="52" t="s">
        <v>268</v>
      </c>
      <c r="B252" s="6">
        <v>5.25</v>
      </c>
      <c r="C252" s="1">
        <v>0.22</v>
      </c>
      <c r="D252" s="6">
        <v>0.33579999999999999</v>
      </c>
      <c r="E252" s="6">
        <v>7.5165028100000004</v>
      </c>
      <c r="F252" s="1">
        <f t="shared" si="17"/>
        <v>1891.8749999999811</v>
      </c>
      <c r="G252" s="17">
        <f>G242*2/12+G254*10/12</f>
        <v>3.6033333333333335</v>
      </c>
      <c r="H252" s="1">
        <f>B252*$E$1867/E252</f>
        <v>234.07262752024434</v>
      </c>
      <c r="I252" s="1">
        <f>C252*$E$1867/E252</f>
        <v>9.8087577246578572</v>
      </c>
      <c r="J252" s="26">
        <f t="shared" si="18"/>
        <v>741.44685529393792</v>
      </c>
      <c r="K252" s="1">
        <f>D252*$E$1867/E252</f>
        <v>14.971731108818675</v>
      </c>
      <c r="L252" s="26">
        <f t="shared" si="16"/>
        <v>47.424353144324634</v>
      </c>
      <c r="M252" s="10">
        <f t="shared" si="19"/>
        <v>17.671739174763999</v>
      </c>
      <c r="N252" s="4">
        <f t="shared" si="20"/>
        <v>22.185040648627986</v>
      </c>
      <c r="O252" s="36">
        <f>1/M252-(G252/100-(((E252/E132)^(1/10))-1))</f>
        <v>-9.3283281651973457E-3</v>
      </c>
      <c r="R252" s="30"/>
      <c r="S252" s="30"/>
    </row>
    <row r="253" spans="1:19" ht="13" x14ac:dyDescent="0.3">
      <c r="A253" s="52" t="s">
        <v>269</v>
      </c>
      <c r="B253" s="6">
        <v>5.41</v>
      </c>
      <c r="C253" s="1">
        <v>0.22</v>
      </c>
      <c r="D253" s="6">
        <v>0.34</v>
      </c>
      <c r="E253" s="6">
        <v>7.5165028100000004</v>
      </c>
      <c r="F253" s="1">
        <f t="shared" si="17"/>
        <v>1891.9583333333144</v>
      </c>
      <c r="G253" s="17">
        <f>G242*1/12+G254*11/12</f>
        <v>3.601666666666667</v>
      </c>
      <c r="H253" s="1">
        <f>B253*$E$1867/E253</f>
        <v>241.20626950181369</v>
      </c>
      <c r="I253" s="1">
        <f>C253*$E$1867/E253</f>
        <v>9.8087577246578572</v>
      </c>
      <c r="J253" s="26">
        <f t="shared" si="18"/>
        <v>766.63251037852569</v>
      </c>
      <c r="K253" s="1">
        <f>D253*$E$1867/E253</f>
        <v>15.158989210834873</v>
      </c>
      <c r="L253" s="26">
        <f t="shared" si="16"/>
        <v>48.180231705859292</v>
      </c>
      <c r="M253" s="10">
        <f t="shared" si="19"/>
        <v>18.206303000209932</v>
      </c>
      <c r="N253" s="4">
        <f t="shared" si="20"/>
        <v>22.828744233682688</v>
      </c>
      <c r="O253" s="36">
        <f>1/M253-(G253/100-(((E253/E133)^(1/10))-1))</f>
        <v>-1.0973154464467415E-2</v>
      </c>
      <c r="R253" s="30"/>
      <c r="S253" s="30"/>
    </row>
    <row r="254" spans="1:19" ht="13" x14ac:dyDescent="0.3">
      <c r="A254" s="52" t="s">
        <v>270</v>
      </c>
      <c r="B254" s="6">
        <v>5.51</v>
      </c>
      <c r="C254" s="1">
        <v>0.22170000000000001</v>
      </c>
      <c r="D254" s="6">
        <v>0.34250000000000003</v>
      </c>
      <c r="E254" s="6">
        <v>7.3262127269999997</v>
      </c>
      <c r="F254" s="1">
        <f t="shared" si="17"/>
        <v>1892.0416666666476</v>
      </c>
      <c r="G254" s="17">
        <v>3.6</v>
      </c>
      <c r="H254" s="1">
        <f>B254*$E$1867/E254</f>
        <v>252.04566074020306</v>
      </c>
      <c r="I254" s="1">
        <f>C254*$E$1867/E254</f>
        <v>10.141292737949732</v>
      </c>
      <c r="J254" s="26">
        <f t="shared" si="18"/>
        <v>803.76967432432264</v>
      </c>
      <c r="K254" s="1">
        <f>D254*$E$1867/E254</f>
        <v>15.66708508230845</v>
      </c>
      <c r="L254" s="26">
        <f t="shared" si="16"/>
        <v>49.962089556457443</v>
      </c>
      <c r="M254" s="10">
        <f t="shared" si="19"/>
        <v>19.016388404225275</v>
      </c>
      <c r="N254" s="4">
        <f t="shared" si="20"/>
        <v>23.815222199457565</v>
      </c>
      <c r="O254" s="36">
        <f>1/M254-(G254/100-(((E254/E134)^(1/10))-1))</f>
        <v>-1.5780715423090889E-2</v>
      </c>
      <c r="R254" s="30"/>
      <c r="S254" s="30"/>
    </row>
    <row r="255" spans="1:19" ht="13" x14ac:dyDescent="0.3">
      <c r="A255" s="52" t="s">
        <v>271</v>
      </c>
      <c r="B255" s="6">
        <v>5.52</v>
      </c>
      <c r="C255" s="1">
        <v>0.2233</v>
      </c>
      <c r="D255" s="6">
        <v>0.34499999999999997</v>
      </c>
      <c r="E255" s="6">
        <v>7.3262127269999997</v>
      </c>
      <c r="F255" s="1">
        <f t="shared" si="17"/>
        <v>1892.1249999999809</v>
      </c>
      <c r="G255" s="17">
        <f>G254*11/12+G266*1/12</f>
        <v>3.6125000000000003</v>
      </c>
      <c r="H255" s="1">
        <f>B255*$E$1867/E255</f>
        <v>252.50309388129236</v>
      </c>
      <c r="I255" s="1">
        <f>C255*$E$1867/E255</f>
        <v>10.21448204052402</v>
      </c>
      <c r="J255" s="26">
        <f t="shared" si="18"/>
        <v>807.94290676829633</v>
      </c>
      <c r="K255" s="1">
        <f>D255*$E$1867/E255</f>
        <v>15.781443367580772</v>
      </c>
      <c r="L255" s="26">
        <f t="shared" si="16"/>
        <v>50.49643167301852</v>
      </c>
      <c r="M255" s="10">
        <f t="shared" si="19"/>
        <v>19.036425040978433</v>
      </c>
      <c r="N255" s="4">
        <f t="shared" si="20"/>
        <v>23.810068229783081</v>
      </c>
      <c r="O255" s="36">
        <f>1/M255-(G255/100-(((E255/E135)^(1/10))-1))</f>
        <v>-1.6860961424131293E-2</v>
      </c>
      <c r="R255" s="30"/>
      <c r="S255" s="30"/>
    </row>
    <row r="256" spans="1:19" ht="13" x14ac:dyDescent="0.3">
      <c r="A256" s="52" t="s">
        <v>272</v>
      </c>
      <c r="B256" s="6">
        <v>5.58</v>
      </c>
      <c r="C256" s="1">
        <v>0.22500000000000001</v>
      </c>
      <c r="D256" s="6">
        <v>0.34749999999999998</v>
      </c>
      <c r="E256" s="6">
        <v>7.135922645</v>
      </c>
      <c r="F256" s="1">
        <f t="shared" si="17"/>
        <v>1892.2083333333142</v>
      </c>
      <c r="G256" s="17">
        <f>G254*10/12+G266*2/12</f>
        <v>3.625</v>
      </c>
      <c r="H256" s="1">
        <f>B256*$E$1867/E256</f>
        <v>262.05425535410916</v>
      </c>
      <c r="I256" s="1">
        <f>C256*$E$1867/E256</f>
        <v>10.566703844923756</v>
      </c>
      <c r="J256" s="26">
        <f t="shared" si="18"/>
        <v>841.32164344868295</v>
      </c>
      <c r="K256" s="1">
        <f>D256*$E$1867/E256</f>
        <v>16.319687049382242</v>
      </c>
      <c r="L256" s="26">
        <f t="shared" si="16"/>
        <v>52.394134605451121</v>
      </c>
      <c r="M256" s="10">
        <f t="shared" si="19"/>
        <v>19.738054849323014</v>
      </c>
      <c r="N256" s="4">
        <f t="shared" si="20"/>
        <v>24.656692455919984</v>
      </c>
      <c r="O256" s="36">
        <f>1/M256-(G256/100-(((E256/E136)^(1/10))-1))</f>
        <v>-2.1394100412433774E-2</v>
      </c>
      <c r="R256" s="30"/>
      <c r="S256" s="30"/>
    </row>
    <row r="257" spans="1:19" ht="13" x14ac:dyDescent="0.3">
      <c r="A257" s="52" t="s">
        <v>273</v>
      </c>
      <c r="B257" s="6">
        <v>5.57</v>
      </c>
      <c r="C257" s="1">
        <v>0.22670000000000001</v>
      </c>
      <c r="D257" s="6">
        <v>0.35</v>
      </c>
      <c r="E257" s="6">
        <v>7.0407735540000003</v>
      </c>
      <c r="F257" s="1">
        <f t="shared" si="17"/>
        <v>1892.2916666666474</v>
      </c>
      <c r="G257" s="17">
        <f>G254*9/12+G266*3/12</f>
        <v>3.6374999999999997</v>
      </c>
      <c r="H257" s="1">
        <f>B257*$E$1867/E257</f>
        <v>265.11968154969583</v>
      </c>
      <c r="I257" s="1">
        <f>C257*$E$1867/E257</f>
        <v>10.79041863686105</v>
      </c>
      <c r="J257" s="26">
        <f t="shared" si="18"/>
        <v>854.05002722805079</v>
      </c>
      <c r="K257" s="1">
        <f>D257*$E$1867/E257</f>
        <v>16.659225950160419</v>
      </c>
      <c r="L257" s="26">
        <f t="shared" si="16"/>
        <v>53.665621100505881</v>
      </c>
      <c r="M257" s="10">
        <f t="shared" si="19"/>
        <v>19.943265241638645</v>
      </c>
      <c r="N257" s="4">
        <f t="shared" si="20"/>
        <v>24.881133648672144</v>
      </c>
      <c r="O257" s="36">
        <f>1/M257-(G257/100-(((E257/E137)^(1/10))-1))</f>
        <v>-2.4221072749668879E-2</v>
      </c>
      <c r="R257" s="30"/>
      <c r="S257" s="30"/>
    </row>
    <row r="258" spans="1:19" ht="13" x14ac:dyDescent="0.3">
      <c r="A258" s="52" t="s">
        <v>274</v>
      </c>
      <c r="B258" s="6">
        <v>5.57</v>
      </c>
      <c r="C258" s="1">
        <v>0.2283</v>
      </c>
      <c r="D258" s="6">
        <v>0.35249999999999998</v>
      </c>
      <c r="E258" s="6">
        <v>7.0407735540000003</v>
      </c>
      <c r="F258" s="1">
        <f t="shared" si="17"/>
        <v>1892.3749999999807</v>
      </c>
      <c r="G258" s="17">
        <f>G254*8/12+G266*4/12</f>
        <v>3.65</v>
      </c>
      <c r="H258" s="1">
        <f>B258*$E$1867/E258</f>
        <v>265.11968154969583</v>
      </c>
      <c r="I258" s="1">
        <f>C258*$E$1867/E258</f>
        <v>10.866575098347496</v>
      </c>
      <c r="J258" s="26">
        <f t="shared" si="18"/>
        <v>856.96713706072831</v>
      </c>
      <c r="K258" s="1">
        <f>D258*$E$1867/E258</f>
        <v>16.778220421232991</v>
      </c>
      <c r="L258" s="26">
        <f t="shared" si="16"/>
        <v>54.233557596751645</v>
      </c>
      <c r="M258" s="10">
        <f t="shared" si="19"/>
        <v>19.911465213489805</v>
      </c>
      <c r="N258" s="4">
        <f t="shared" si="20"/>
        <v>24.810091390835645</v>
      </c>
      <c r="O258" s="36">
        <f>1/M258-(G258/100-(((E258/E138)^(1/10))-1))</f>
        <v>-2.514358022528148E-2</v>
      </c>
      <c r="R258" s="30"/>
      <c r="S258" s="30"/>
    </row>
    <row r="259" spans="1:19" ht="13" x14ac:dyDescent="0.3">
      <c r="A259" s="52" t="s">
        <v>275</v>
      </c>
      <c r="B259" s="6">
        <v>5.54</v>
      </c>
      <c r="C259" s="1">
        <v>0.23</v>
      </c>
      <c r="D259" s="6">
        <v>0.35499999999999998</v>
      </c>
      <c r="E259" s="6">
        <v>7.0407735540000003</v>
      </c>
      <c r="F259" s="1">
        <f t="shared" si="17"/>
        <v>1892.4583333333139</v>
      </c>
      <c r="G259" s="17">
        <f>G254*7/12+G266*5/12</f>
        <v>3.6625000000000001</v>
      </c>
      <c r="H259" s="1">
        <f>B259*$E$1867/E259</f>
        <v>263.69174789682489</v>
      </c>
      <c r="I259" s="1">
        <f>C259*$E$1867/E259</f>
        <v>10.947491338676846</v>
      </c>
      <c r="J259" s="26">
        <f t="shared" si="18"/>
        <v>855.30038469959868</v>
      </c>
      <c r="K259" s="1">
        <f>D259*$E$1867/E259</f>
        <v>16.897214892305566</v>
      </c>
      <c r="L259" s="26">
        <f t="shared" ref="L259:L322" si="21">K259*(J259/H259)</f>
        <v>54.807154615226985</v>
      </c>
      <c r="M259" s="10">
        <f t="shared" si="19"/>
        <v>19.76928439713674</v>
      </c>
      <c r="N259" s="4">
        <f t="shared" si="20"/>
        <v>24.603632002808602</v>
      </c>
      <c r="O259" s="36">
        <f>1/M259-(G259/100-(((E259/E139)^(1/10))-1))</f>
        <v>-2.5776978828835721E-2</v>
      </c>
      <c r="R259" s="30"/>
      <c r="S259" s="30"/>
    </row>
    <row r="260" spans="1:19" ht="13" x14ac:dyDescent="0.3">
      <c r="A260" s="52" t="s">
        <v>276</v>
      </c>
      <c r="B260" s="6">
        <v>5.54</v>
      </c>
      <c r="C260" s="1">
        <v>0.23169999999999999</v>
      </c>
      <c r="D260" s="6">
        <v>0.35749999999999998</v>
      </c>
      <c r="E260" s="6">
        <v>7.2310717359999996</v>
      </c>
      <c r="F260" s="1">
        <f t="shared" ref="F260:F323" si="22">F259+1/12</f>
        <v>1892.5416666666472</v>
      </c>
      <c r="G260" s="17">
        <f>G254*6/12+G266*6/12</f>
        <v>3.6749999999999998</v>
      </c>
      <c r="H260" s="1">
        <f>B260*$E$1867/E260</f>
        <v>256.75224265262358</v>
      </c>
      <c r="I260" s="1">
        <f>C260*$E$1867/E260</f>
        <v>10.738175924659366</v>
      </c>
      <c r="J260" s="26">
        <f t="shared" ref="J260:J323" si="23">J259*((H260+(I260/12))/H259)</f>
        <v>835.69416754283202</v>
      </c>
      <c r="K260" s="1">
        <f>D260*$E$1867/E260</f>
        <v>16.568398330020386</v>
      </c>
      <c r="L260" s="26">
        <f t="shared" si="21"/>
        <v>53.927917851365066</v>
      </c>
      <c r="M260" s="10">
        <f t="shared" si="19"/>
        <v>19.211886434505551</v>
      </c>
      <c r="N260" s="4">
        <f t="shared" si="20"/>
        <v>23.88278857793307</v>
      </c>
      <c r="O260" s="36">
        <f>1/M260-(G260/100-(((E260/E140)^(1/10))-1))</f>
        <v>-2.0998101755070595E-2</v>
      </c>
      <c r="R260" s="30"/>
      <c r="S260" s="30"/>
    </row>
    <row r="261" spans="1:19" ht="13" x14ac:dyDescent="0.3">
      <c r="A261" s="52" t="s">
        <v>277</v>
      </c>
      <c r="B261" s="6">
        <v>5.62</v>
      </c>
      <c r="C261" s="1">
        <v>0.23330000000000001</v>
      </c>
      <c r="D261" s="6">
        <v>0.36</v>
      </c>
      <c r="E261" s="6">
        <v>7.3262127269999997</v>
      </c>
      <c r="F261" s="1">
        <f t="shared" si="22"/>
        <v>1892.6249999999804</v>
      </c>
      <c r="G261" s="17">
        <f>G254*5/12+G266*7/12</f>
        <v>3.6875</v>
      </c>
      <c r="H261" s="1">
        <f>B261*$E$1867/E261</f>
        <v>257.07742529218535</v>
      </c>
      <c r="I261" s="1">
        <f>C261*$E$1867/E261</f>
        <v>10.671915181613317</v>
      </c>
      <c r="J261" s="26">
        <f t="shared" si="23"/>
        <v>839.64723138989905</v>
      </c>
      <c r="K261" s="1">
        <f>D261*$E$1867/E261</f>
        <v>16.467593079214719</v>
      </c>
      <c r="L261" s="26">
        <f t="shared" si="21"/>
        <v>53.785231903979295</v>
      </c>
      <c r="M261" s="10">
        <f t="shared" si="19"/>
        <v>19.204303803173818</v>
      </c>
      <c r="N261" s="4">
        <f t="shared" si="20"/>
        <v>23.84698501493531</v>
      </c>
      <c r="O261" s="36">
        <f>1/M261-(G261/100-(((E261/E141)^(1/10))-1))</f>
        <v>-2.0715090945244062E-2</v>
      </c>
      <c r="R261" s="30"/>
      <c r="S261" s="30"/>
    </row>
    <row r="262" spans="1:19" ht="13" x14ac:dyDescent="0.3">
      <c r="A262" s="52" t="s">
        <v>278</v>
      </c>
      <c r="B262" s="6">
        <v>5.48</v>
      </c>
      <c r="C262" s="1">
        <v>0.23499999999999999</v>
      </c>
      <c r="D262" s="6">
        <v>0.36249999999999999</v>
      </c>
      <c r="E262" s="6">
        <v>7.3262127269999997</v>
      </c>
      <c r="F262" s="1">
        <f t="shared" si="22"/>
        <v>1892.7083333333137</v>
      </c>
      <c r="G262" s="17">
        <f>G254*4/12+G266*8/12</f>
        <v>3.7</v>
      </c>
      <c r="H262" s="1">
        <f>B262*$E$1867/E262</f>
        <v>250.6733613169352</v>
      </c>
      <c r="I262" s="1">
        <f>C262*$E$1867/E262</f>
        <v>10.749678815598497</v>
      </c>
      <c r="J262" s="26">
        <f t="shared" si="23"/>
        <v>821.65656932942454</v>
      </c>
      <c r="K262" s="1">
        <f>D262*$E$1867/E262</f>
        <v>16.581951364487043</v>
      </c>
      <c r="L262" s="26">
        <f t="shared" si="21"/>
        <v>54.352282186481091</v>
      </c>
      <c r="M262" s="10">
        <f t="shared" si="19"/>
        <v>18.694271809588198</v>
      </c>
      <c r="N262" s="4">
        <f t="shared" si="20"/>
        <v>23.19198491372196</v>
      </c>
      <c r="O262" s="36">
        <f>1/M262-(G262/100-(((E262/E142)^(1/10))-1))</f>
        <v>-1.677451143255991E-2</v>
      </c>
      <c r="R262" s="30"/>
      <c r="S262" s="30"/>
    </row>
    <row r="263" spans="1:19" ht="13" x14ac:dyDescent="0.3">
      <c r="A263" s="52" t="s">
        <v>279</v>
      </c>
      <c r="B263" s="6">
        <v>5.59</v>
      </c>
      <c r="C263" s="1">
        <v>0.23669999999999999</v>
      </c>
      <c r="D263" s="6">
        <v>0.36499999999999999</v>
      </c>
      <c r="E263" s="6">
        <v>7.3262127269999997</v>
      </c>
      <c r="F263" s="1">
        <f t="shared" si="22"/>
        <v>1892.791666666647</v>
      </c>
      <c r="G263" s="17">
        <f>G254*3/12+G266*9/12</f>
        <v>3.7124999999999999</v>
      </c>
      <c r="H263" s="1">
        <f>B263*$E$1867/E263</f>
        <v>255.70512586891743</v>
      </c>
      <c r="I263" s="1">
        <f>C263*$E$1867/E263</f>
        <v>10.827442449583678</v>
      </c>
      <c r="J263" s="26">
        <f t="shared" si="23"/>
        <v>841.10718948567626</v>
      </c>
      <c r="K263" s="1">
        <f>D263*$E$1867/E263</f>
        <v>16.696309649759367</v>
      </c>
      <c r="L263" s="26">
        <f t="shared" si="21"/>
        <v>54.920236880549524</v>
      </c>
      <c r="M263" s="10">
        <f t="shared" si="19"/>
        <v>19.040214915324711</v>
      </c>
      <c r="N263" s="4">
        <f t="shared" si="20"/>
        <v>23.596821279777316</v>
      </c>
      <c r="O263" s="36">
        <f>1/M263-(G263/100-(((E263/E143)^(1/10))-1))</f>
        <v>-1.6971520676857095E-2</v>
      </c>
      <c r="R263" s="30"/>
      <c r="S263" s="30"/>
    </row>
    <row r="264" spans="1:19" ht="13" x14ac:dyDescent="0.3">
      <c r="A264" s="52" t="s">
        <v>280</v>
      </c>
      <c r="B264" s="6">
        <v>5.57</v>
      </c>
      <c r="C264" s="1">
        <v>0.23830000000000001</v>
      </c>
      <c r="D264" s="6">
        <v>0.36749999999999999</v>
      </c>
      <c r="E264" s="6">
        <v>7.5165028100000004</v>
      </c>
      <c r="F264" s="1">
        <f t="shared" si="22"/>
        <v>1892.8749999999802</v>
      </c>
      <c r="G264" s="17">
        <f>G254*2/12+G266*10/12</f>
        <v>3.7250000000000001</v>
      </c>
      <c r="H264" s="1">
        <f>B264*$E$1867/E264</f>
        <v>248.33991148338305</v>
      </c>
      <c r="I264" s="1">
        <f>C264*$E$1867/E264</f>
        <v>10.624668026299853</v>
      </c>
      <c r="J264" s="26">
        <f t="shared" si="23"/>
        <v>819.79268631323964</v>
      </c>
      <c r="K264" s="1">
        <f>D264*$E$1867/E264</f>
        <v>16.385083926417103</v>
      </c>
      <c r="L264" s="26">
        <f t="shared" si="21"/>
        <v>54.088655694814285</v>
      </c>
      <c r="M264" s="10">
        <f t="shared" si="19"/>
        <v>18.463312690799999</v>
      </c>
      <c r="N264" s="4">
        <f t="shared" si="20"/>
        <v>22.858807224266275</v>
      </c>
      <c r="O264" s="36">
        <f>1/M264-(G264/100-(((E264/E144)^(1/10))-1))</f>
        <v>-1.2059526892530655E-2</v>
      </c>
      <c r="R264" s="30"/>
      <c r="S264" s="30"/>
    </row>
    <row r="265" spans="1:19" ht="13" x14ac:dyDescent="0.3">
      <c r="A265" s="52" t="s">
        <v>281</v>
      </c>
      <c r="B265" s="6">
        <v>5.51</v>
      </c>
      <c r="C265" s="1">
        <v>0.24</v>
      </c>
      <c r="D265" s="6">
        <v>0.37</v>
      </c>
      <c r="E265" s="6">
        <v>7.6116519010000001</v>
      </c>
      <c r="F265" s="1">
        <f t="shared" si="22"/>
        <v>1892.9583333333135</v>
      </c>
      <c r="G265" s="17">
        <f>G254*1/12+G266*11/12</f>
        <v>3.7374999999999998</v>
      </c>
      <c r="H265" s="1">
        <f>B265*$E$1867/E265</f>
        <v>242.59387469589959</v>
      </c>
      <c r="I265" s="1">
        <f>C265*$E$1867/E265</f>
        <v>10.56670234610089</v>
      </c>
      <c r="J265" s="26">
        <f t="shared" si="23"/>
        <v>803.7312990475948</v>
      </c>
      <c r="K265" s="1">
        <f>D265*$E$1867/E265</f>
        <v>16.290332783572204</v>
      </c>
      <c r="L265" s="26">
        <f t="shared" si="21"/>
        <v>53.971067268168795</v>
      </c>
      <c r="M265" s="10">
        <f t="shared" si="19"/>
        <v>18.013009251275744</v>
      </c>
      <c r="N265" s="4">
        <f t="shared" si="20"/>
        <v>22.281362092837348</v>
      </c>
      <c r="O265" s="36">
        <f>1/M265-(G265/100-(((E265/E145)^(1/10))-1))</f>
        <v>-8.6868929989243615E-3</v>
      </c>
      <c r="R265" s="30"/>
      <c r="S265" s="30"/>
    </row>
    <row r="266" spans="1:19" ht="13" x14ac:dyDescent="0.3">
      <c r="A266" s="52" t="s">
        <v>282</v>
      </c>
      <c r="B266" s="6">
        <v>5.61</v>
      </c>
      <c r="C266" s="1">
        <v>0.24079999999999999</v>
      </c>
      <c r="D266" s="6">
        <v>0.36080000000000001</v>
      </c>
      <c r="E266" s="6">
        <v>7.8970910740000004</v>
      </c>
      <c r="F266" s="1">
        <f t="shared" si="22"/>
        <v>1893.0416666666467</v>
      </c>
      <c r="G266" s="17">
        <v>3.75</v>
      </c>
      <c r="H266" s="1">
        <f>B266*$E$1867/E266</f>
        <v>238.06900982689615</v>
      </c>
      <c r="I266" s="1">
        <f>C266*$E$1867/E266</f>
        <v>10.218719708790836</v>
      </c>
      <c r="J266" s="26">
        <f t="shared" si="23"/>
        <v>791.56137053077896</v>
      </c>
      <c r="K266" s="1">
        <f>D266*$E$1867/E266</f>
        <v>15.311104945729792</v>
      </c>
      <c r="L266" s="26">
        <f t="shared" si="21"/>
        <v>50.9082606929599</v>
      </c>
      <c r="M266" s="10">
        <f t="shared" si="19"/>
        <v>17.656643708098777</v>
      </c>
      <c r="N266" s="4">
        <f t="shared" si="20"/>
        <v>21.820189744893504</v>
      </c>
      <c r="O266" s="36">
        <f>1/M266-(G266/100-(((E266/E146)^(1/10))-1))</f>
        <v>-4.1021548362557836E-3</v>
      </c>
      <c r="R266" s="30"/>
      <c r="S266" s="30"/>
    </row>
    <row r="267" spans="1:19" ht="13" x14ac:dyDescent="0.3">
      <c r="A267" s="52" t="s">
        <v>283</v>
      </c>
      <c r="B267" s="6">
        <v>5.51</v>
      </c>
      <c r="C267" s="1">
        <v>0.2417</v>
      </c>
      <c r="D267" s="6">
        <v>0.35170000000000001</v>
      </c>
      <c r="E267" s="6">
        <v>7.9922320659999997</v>
      </c>
      <c r="F267" s="1">
        <f t="shared" si="22"/>
        <v>1893.12499999998</v>
      </c>
      <c r="G267" s="17">
        <f>G266*11/12+G278*1/12</f>
        <v>3.7458333333333336</v>
      </c>
      <c r="H267" s="1">
        <f>B267*$E$1867/E267</f>
        <v>231.04185567326343</v>
      </c>
      <c r="I267" s="1">
        <f>C267*$E$1867/E267</f>
        <v>10.134812434887074</v>
      </c>
      <c r="J267" s="26">
        <f t="shared" si="23"/>
        <v>771.00474030024327</v>
      </c>
      <c r="K267" s="1">
        <f>D267*$E$1867/E267</f>
        <v>14.747263274099229</v>
      </c>
      <c r="L267" s="26">
        <f t="shared" si="21"/>
        <v>49.212770810089935</v>
      </c>
      <c r="M267" s="10">
        <f t="shared" si="19"/>
        <v>17.125193854872453</v>
      </c>
      <c r="N267" s="4">
        <f t="shared" si="20"/>
        <v>21.148920730797123</v>
      </c>
      <c r="O267" s="36">
        <f>1/M267-(G267/100-(((E267/E147)^(1/10))-1))</f>
        <v>-2.0583817590019773E-3</v>
      </c>
      <c r="R267" s="30"/>
      <c r="S267" s="30"/>
    </row>
    <row r="268" spans="1:19" ht="13" x14ac:dyDescent="0.3">
      <c r="A268" s="52" t="s">
        <v>284</v>
      </c>
      <c r="B268" s="6">
        <v>5.31</v>
      </c>
      <c r="C268" s="1">
        <v>0.24249999999999999</v>
      </c>
      <c r="D268" s="6">
        <v>0.34250000000000003</v>
      </c>
      <c r="E268" s="6">
        <v>7.8019419829999999</v>
      </c>
      <c r="F268" s="1">
        <f t="shared" si="22"/>
        <v>1893.2083333333132</v>
      </c>
      <c r="G268" s="17">
        <f>G266*10/12+G278*2/12</f>
        <v>3.7416666666666667</v>
      </c>
      <c r="H268" s="1">
        <f>B268*$E$1867/E268</f>
        <v>228.08617154260628</v>
      </c>
      <c r="I268" s="1">
        <f>C268*$E$1867/E268</f>
        <v>10.416364707925052</v>
      </c>
      <c r="J268" s="26">
        <f t="shared" si="23"/>
        <v>764.03807651688851</v>
      </c>
      <c r="K268" s="1">
        <f>D268*$E$1867/E268</f>
        <v>14.711772834904457</v>
      </c>
      <c r="L268" s="26">
        <f t="shared" si="21"/>
        <v>49.281175368556376</v>
      </c>
      <c r="M268" s="10">
        <f t="shared" si="19"/>
        <v>16.899589031582323</v>
      </c>
      <c r="N268" s="4">
        <f t="shared" si="20"/>
        <v>20.8617504506818</v>
      </c>
      <c r="O268" s="36">
        <f>1/M268-(G268/100-(((E268/E148)^(1/10))-1))</f>
        <v>-2.6649839599117986E-3</v>
      </c>
      <c r="R268" s="30"/>
      <c r="S268" s="30"/>
    </row>
    <row r="269" spans="1:19" ht="13" x14ac:dyDescent="0.3">
      <c r="A269" s="52" t="s">
        <v>285</v>
      </c>
      <c r="B269" s="6">
        <v>5.31</v>
      </c>
      <c r="C269" s="1">
        <v>0.24329999999999999</v>
      </c>
      <c r="D269" s="6">
        <v>0.33329999999999999</v>
      </c>
      <c r="E269" s="6">
        <v>7.7067928930000003</v>
      </c>
      <c r="F269" s="1">
        <f t="shared" si="22"/>
        <v>1893.2916666666465</v>
      </c>
      <c r="G269" s="17">
        <f>G266*9/12+G278*3/12</f>
        <v>3.7375000000000003</v>
      </c>
      <c r="H269" s="1">
        <f>B269*$E$1867/E269</f>
        <v>230.90215375014355</v>
      </c>
      <c r="I269" s="1">
        <f>C269*$E$1867/E269</f>
        <v>10.579754050359687</v>
      </c>
      <c r="J269" s="26">
        <f t="shared" si="23"/>
        <v>776.42431131052092</v>
      </c>
      <c r="K269" s="1">
        <f>D269*$E$1867/E269</f>
        <v>14.493349876633307</v>
      </c>
      <c r="L269" s="26">
        <f t="shared" si="21"/>
        <v>48.734881913332707</v>
      </c>
      <c r="M269" s="10">
        <f t="shared" si="19"/>
        <v>17.102541578254915</v>
      </c>
      <c r="N269" s="4">
        <f t="shared" si="20"/>
        <v>21.104034801510561</v>
      </c>
      <c r="O269" s="36">
        <f>1/M269-(G269/100-(((E269/E149)^(1/10))-1))</f>
        <v>-3.5887991634665703E-3</v>
      </c>
      <c r="R269" s="30"/>
      <c r="S269" s="30"/>
    </row>
    <row r="270" spans="1:19" ht="13" x14ac:dyDescent="0.3">
      <c r="A270" s="52" t="s">
        <v>286</v>
      </c>
      <c r="B270" s="6">
        <v>4.84</v>
      </c>
      <c r="C270" s="1">
        <v>0.2442</v>
      </c>
      <c r="D270" s="6">
        <v>0.32419999999999999</v>
      </c>
      <c r="E270" s="6">
        <v>7.6116519010000001</v>
      </c>
      <c r="F270" s="1">
        <f t="shared" si="22"/>
        <v>1893.3749999999798</v>
      </c>
      <c r="G270" s="17">
        <f>G266*8/12+G278*4/12</f>
        <v>3.7333333333333334</v>
      </c>
      <c r="H270" s="1">
        <f>B270*$E$1867/E270</f>
        <v>213.09516397970128</v>
      </c>
      <c r="I270" s="1">
        <f>C270*$E$1867/E270</f>
        <v>10.751619637157656</v>
      </c>
      <c r="J270" s="26">
        <f t="shared" si="23"/>
        <v>719.55984303644266</v>
      </c>
      <c r="K270" s="1">
        <f>D270*$E$1867/E270</f>
        <v>14.273853752524618</v>
      </c>
      <c r="L270" s="26">
        <f t="shared" si="21"/>
        <v>48.198615932317082</v>
      </c>
      <c r="M270" s="10">
        <f t="shared" si="19"/>
        <v>15.780987310776252</v>
      </c>
      <c r="N270" s="4">
        <f t="shared" si="20"/>
        <v>19.473767640169985</v>
      </c>
      <c r="O270" s="36">
        <f>1/M270-(G270/100-(((E270/E150)^(1/10))-1))</f>
        <v>1.0804606415404303E-3</v>
      </c>
      <c r="R270" s="30"/>
      <c r="S270" s="30"/>
    </row>
    <row r="271" spans="1:19" ht="13" x14ac:dyDescent="0.3">
      <c r="A271" s="52" t="s">
        <v>287</v>
      </c>
      <c r="B271" s="6">
        <v>4.6100000000000003</v>
      </c>
      <c r="C271" s="1">
        <v>0.245</v>
      </c>
      <c r="D271" s="6">
        <v>0.315</v>
      </c>
      <c r="E271" s="6">
        <v>7.4213618180000003</v>
      </c>
      <c r="F271" s="1">
        <f t="shared" si="22"/>
        <v>1893.458333333313</v>
      </c>
      <c r="G271" s="17">
        <f>G266*7/12+G278*5/12</f>
        <v>3.729166666666667</v>
      </c>
      <c r="H271" s="1">
        <f>B271*$E$1867/E271</f>
        <v>208.17303351965475</v>
      </c>
      <c r="I271" s="1">
        <f>C271*$E$1867/E271</f>
        <v>11.063425859504427</v>
      </c>
      <c r="J271" s="26">
        <f t="shared" si="23"/>
        <v>706.05241462008985</v>
      </c>
      <c r="K271" s="1">
        <f>D271*$E$1867/E271</f>
        <v>14.224404676505694</v>
      </c>
      <c r="L271" s="26">
        <f t="shared" si="21"/>
        <v>48.24436238727295</v>
      </c>
      <c r="M271" s="10">
        <f t="shared" si="19"/>
        <v>15.416503863597683</v>
      </c>
      <c r="N271" s="4">
        <f t="shared" si="20"/>
        <v>19.029235819010776</v>
      </c>
      <c r="O271" s="36">
        <f>1/M271-(G271/100-(((E271/E151)^(1/10))-1))</f>
        <v>3.0336802960417297E-3</v>
      </c>
      <c r="R271" s="30"/>
      <c r="S271" s="30"/>
    </row>
    <row r="272" spans="1:19" ht="13" x14ac:dyDescent="0.3">
      <c r="A272" s="52" t="s">
        <v>288</v>
      </c>
      <c r="B272" s="6">
        <v>4.18</v>
      </c>
      <c r="C272" s="1">
        <v>0.24579999999999999</v>
      </c>
      <c r="D272" s="6">
        <v>0.30580000000000002</v>
      </c>
      <c r="E272" s="6">
        <v>7.2310717359999996</v>
      </c>
      <c r="F272" s="1">
        <f t="shared" si="22"/>
        <v>1893.5416666666463</v>
      </c>
      <c r="G272" s="17">
        <f>G266*6/12+G278*6/12</f>
        <v>3.7250000000000005</v>
      </c>
      <c r="H272" s="1">
        <f>B272*$E$1867/E272</f>
        <v>193.72281124331528</v>
      </c>
      <c r="I272" s="1">
        <f>C272*$E$1867/E272</f>
        <v>11.3916428238294</v>
      </c>
      <c r="J272" s="26">
        <f t="shared" si="23"/>
        <v>660.26187157046877</v>
      </c>
      <c r="K272" s="1">
        <f>D272*$E$1867/E272</f>
        <v>14.172353033063592</v>
      </c>
      <c r="L272" s="26">
        <f t="shared" si="21"/>
        <v>48.303368499102717</v>
      </c>
      <c r="M272" s="10">
        <f t="shared" si="19"/>
        <v>14.349854182760948</v>
      </c>
      <c r="N272" s="4">
        <f t="shared" si="20"/>
        <v>17.725059871200944</v>
      </c>
      <c r="O272" s="36">
        <f>1/M272-(G272/100-(((E272/E152)^(1/10))-1))</f>
        <v>7.3343907719460866E-3</v>
      </c>
      <c r="R272" s="30"/>
      <c r="S272" s="30"/>
    </row>
    <row r="273" spans="1:19" ht="13" x14ac:dyDescent="0.3">
      <c r="A273" s="52" t="s">
        <v>289</v>
      </c>
      <c r="B273" s="6">
        <v>4.08</v>
      </c>
      <c r="C273" s="1">
        <v>0.2467</v>
      </c>
      <c r="D273" s="6">
        <v>0.29670000000000002</v>
      </c>
      <c r="E273" s="6">
        <v>6.9456325620000001</v>
      </c>
      <c r="F273" s="1">
        <f t="shared" si="22"/>
        <v>1893.6249999999795</v>
      </c>
      <c r="G273" s="17">
        <f>G266*5/12+G278*7/12</f>
        <v>3.7208333333333337</v>
      </c>
      <c r="H273" s="1">
        <f>B273*$E$1867/E273</f>
        <v>196.85910646650763</v>
      </c>
      <c r="I273" s="1">
        <f>C273*$E$1867/E273</f>
        <v>11.903220971884172</v>
      </c>
      <c r="J273" s="26">
        <f t="shared" si="23"/>
        <v>674.33204249881703</v>
      </c>
      <c r="K273" s="1">
        <f>D273*$E$1867/E273</f>
        <v>14.315710021718825</v>
      </c>
      <c r="L273" s="26">
        <f t="shared" si="21"/>
        <v>49.037822796421324</v>
      </c>
      <c r="M273" s="10">
        <f t="shared" si="19"/>
        <v>14.588056535807812</v>
      </c>
      <c r="N273" s="4">
        <f t="shared" si="20"/>
        <v>18.033912740781627</v>
      </c>
      <c r="O273" s="36">
        <f>1/M273-(G273/100-(((E273/E153)^(1/10))-1))</f>
        <v>2.3197397456332647E-3</v>
      </c>
      <c r="R273" s="30"/>
      <c r="S273" s="30"/>
    </row>
    <row r="274" spans="1:19" ht="13" x14ac:dyDescent="0.3">
      <c r="A274" s="52" t="s">
        <v>290</v>
      </c>
      <c r="B274" s="6">
        <v>4.37</v>
      </c>
      <c r="C274" s="1">
        <v>0.2475</v>
      </c>
      <c r="D274" s="6">
        <v>0.28749999999999998</v>
      </c>
      <c r="E274" s="6">
        <v>7.2310717359999996</v>
      </c>
      <c r="F274" s="1">
        <f t="shared" si="22"/>
        <v>1893.7083333333128</v>
      </c>
      <c r="G274" s="17">
        <f>G266*4/12+G278*8/12</f>
        <v>3.7166666666666668</v>
      </c>
      <c r="H274" s="1">
        <f>B274*$E$1867/E274</f>
        <v>202.52839357255689</v>
      </c>
      <c r="I274" s="1">
        <f>C274*$E$1867/E274</f>
        <v>11.470429613091037</v>
      </c>
      <c r="J274" s="26">
        <f t="shared" si="23"/>
        <v>697.02621814403858</v>
      </c>
      <c r="K274" s="1">
        <f>D274*$E$1867/E274</f>
        <v>13.324236419247162</v>
      </c>
      <c r="L274" s="26">
        <f t="shared" si="21"/>
        <v>45.856988035792007</v>
      </c>
      <c r="M274" s="10">
        <f t="shared" si="19"/>
        <v>15.012069079138765</v>
      </c>
      <c r="N274" s="4">
        <f t="shared" si="20"/>
        <v>18.5670145519423</v>
      </c>
      <c r="O274" s="36">
        <f>1/M274-(G274/100-(((E274/E154)^(1/10))-1))</f>
        <v>5.3443003566988195E-3</v>
      </c>
      <c r="R274" s="30"/>
      <c r="S274" s="30"/>
    </row>
    <row r="275" spans="1:19" ht="13" x14ac:dyDescent="0.3">
      <c r="A275" s="52" t="s">
        <v>291</v>
      </c>
      <c r="B275" s="6">
        <v>4.5</v>
      </c>
      <c r="C275" s="1">
        <v>0.24829999999999999</v>
      </c>
      <c r="D275" s="6">
        <v>0.27829999999999999</v>
      </c>
      <c r="E275" s="6">
        <v>7.3262127269999997</v>
      </c>
      <c r="F275" s="1">
        <f t="shared" si="22"/>
        <v>1893.7916666666461</v>
      </c>
      <c r="G275" s="17">
        <f>G266*3/12+G278*9/12</f>
        <v>3.7125000000000004</v>
      </c>
      <c r="H275" s="1">
        <f>B275*$E$1867/E275</f>
        <v>205.84491349018401</v>
      </c>
      <c r="I275" s="1">
        <f>C275*$E$1867/E275</f>
        <v>11.358064893247263</v>
      </c>
      <c r="J275" s="26">
        <f t="shared" si="23"/>
        <v>711.69794079980386</v>
      </c>
      <c r="K275" s="1">
        <f>D275*$E$1867/E275</f>
        <v>12.730364316515157</v>
      </c>
      <c r="L275" s="26">
        <f t="shared" si="21"/>
        <v>44.014563761018977</v>
      </c>
      <c r="M275" s="10">
        <f t="shared" si="19"/>
        <v>15.271794153520185</v>
      </c>
      <c r="N275" s="4">
        <f t="shared" si="20"/>
        <v>18.897533570630852</v>
      </c>
      <c r="O275" s="36">
        <f>1/M275-(G275/100-(((E275/E155)^(1/10))-1))</f>
        <v>5.5295620163699072E-3</v>
      </c>
      <c r="R275" s="30"/>
      <c r="S275" s="30"/>
    </row>
    <row r="276" spans="1:19" ht="13" x14ac:dyDescent="0.3">
      <c r="A276" s="52" t="s">
        <v>292</v>
      </c>
      <c r="B276" s="6">
        <v>4.57</v>
      </c>
      <c r="C276" s="1">
        <v>0.2492</v>
      </c>
      <c r="D276" s="6">
        <v>0.26919999999999999</v>
      </c>
      <c r="E276" s="6">
        <v>7.135922645</v>
      </c>
      <c r="F276" s="1">
        <f t="shared" si="22"/>
        <v>1893.8749999999793</v>
      </c>
      <c r="G276" s="17">
        <f>G266*2/12+G278*10/12</f>
        <v>3.7083333333333335</v>
      </c>
      <c r="H276" s="1">
        <f>B276*$E$1867/E276</f>
        <v>214.62149587245142</v>
      </c>
      <c r="I276" s="1">
        <f>C276*$E$1867/E276</f>
        <v>11.703211547355556</v>
      </c>
      <c r="J276" s="26">
        <f t="shared" si="23"/>
        <v>745.41444831166075</v>
      </c>
      <c r="K276" s="1">
        <f>D276*$E$1867/E276</f>
        <v>12.642474111348777</v>
      </c>
      <c r="L276" s="26">
        <f t="shared" si="21"/>
        <v>43.909314985886006</v>
      </c>
      <c r="M276" s="10">
        <f t="shared" si="19"/>
        <v>15.94241140057167</v>
      </c>
      <c r="N276" s="4">
        <f t="shared" si="20"/>
        <v>19.737917734430308</v>
      </c>
      <c r="O276" s="36">
        <f>1/M276-(G276/100-(((E276/E156)^(1/10))-1))</f>
        <v>1.2583784971808218E-3</v>
      </c>
      <c r="R276" s="30"/>
      <c r="S276" s="30"/>
    </row>
    <row r="277" spans="1:19" ht="13" x14ac:dyDescent="0.3">
      <c r="A277" s="52" t="s">
        <v>293</v>
      </c>
      <c r="B277" s="6">
        <v>4.41</v>
      </c>
      <c r="C277" s="1">
        <v>0.25</v>
      </c>
      <c r="D277" s="6">
        <v>0.26</v>
      </c>
      <c r="E277" s="6">
        <v>7.0407735540000003</v>
      </c>
      <c r="F277" s="1">
        <f t="shared" si="22"/>
        <v>1893.9583333333126</v>
      </c>
      <c r="G277" s="17">
        <f>G266*1/12+G278*11/12</f>
        <v>3.7041666666666671</v>
      </c>
      <c r="H277" s="1">
        <f>B277*$E$1867/E277</f>
        <v>209.90624697202128</v>
      </c>
      <c r="I277" s="1">
        <f>C277*$E$1867/E277</f>
        <v>11.899447107257441</v>
      </c>
      <c r="J277" s="26">
        <f t="shared" si="23"/>
        <v>732.48169742498658</v>
      </c>
      <c r="K277" s="1">
        <f>D277*$E$1867/E277</f>
        <v>12.375424991547739</v>
      </c>
      <c r="L277" s="26">
        <f t="shared" si="21"/>
        <v>43.184861979704422</v>
      </c>
      <c r="M277" s="10">
        <f t="shared" si="19"/>
        <v>15.612694335464937</v>
      </c>
      <c r="N277" s="4">
        <f t="shared" si="20"/>
        <v>19.343520628210005</v>
      </c>
      <c r="O277" s="36">
        <f>1/M277-(G277/100-(((E277/E157)^(1/10))-1))</f>
        <v>3.0749892319138772E-4</v>
      </c>
      <c r="R277" s="30"/>
      <c r="S277" s="30"/>
    </row>
    <row r="278" spans="1:19" ht="13" x14ac:dyDescent="0.3">
      <c r="A278" s="52" t="s">
        <v>294</v>
      </c>
      <c r="B278" s="6">
        <v>4.32</v>
      </c>
      <c r="C278" s="1">
        <v>0.2467</v>
      </c>
      <c r="D278" s="6">
        <v>0.25169999999999998</v>
      </c>
      <c r="E278" s="6">
        <v>6.8504834710000004</v>
      </c>
      <c r="F278" s="1">
        <f t="shared" si="22"/>
        <v>1894.0416666666458</v>
      </c>
      <c r="G278" s="17">
        <v>3.7</v>
      </c>
      <c r="H278" s="1">
        <f>B278*$E$1867/E278</f>
        <v>211.33414687133984</v>
      </c>
      <c r="I278" s="1">
        <f>C278*$E$1867/E278</f>
        <v>12.068549544712855</v>
      </c>
      <c r="J278" s="26">
        <f t="shared" si="23"/>
        <v>740.97394831818735</v>
      </c>
      <c r="K278" s="1">
        <f>D278*$E$1867/E278</f>
        <v>12.313149251739867</v>
      </c>
      <c r="L278" s="26">
        <f t="shared" si="21"/>
        <v>43.172023794372151</v>
      </c>
      <c r="M278" s="10">
        <f t="shared" si="19"/>
        <v>15.739869351948224</v>
      </c>
      <c r="N278" s="4">
        <f t="shared" si="20"/>
        <v>19.517070327772885</v>
      </c>
      <c r="O278" s="36">
        <f>1/M278-(G278/100-(((E278/E158)^(1/10))-1))</f>
        <v>-2.8314224593466719E-3</v>
      </c>
      <c r="R278" s="30"/>
      <c r="S278" s="30"/>
    </row>
    <row r="279" spans="1:19" ht="13" x14ac:dyDescent="0.3">
      <c r="A279" s="52" t="s">
        <v>295</v>
      </c>
      <c r="B279" s="6">
        <v>4.38</v>
      </c>
      <c r="C279" s="1">
        <v>0.24329999999999999</v>
      </c>
      <c r="D279" s="6">
        <v>0.24329999999999999</v>
      </c>
      <c r="E279" s="6">
        <v>6.7553424790000003</v>
      </c>
      <c r="F279" s="1">
        <f t="shared" si="22"/>
        <v>1894.1249999999791</v>
      </c>
      <c r="G279" s="17">
        <f>G278*11/12+G290*1/12</f>
        <v>3.6800000000000006</v>
      </c>
      <c r="H279" s="1">
        <f>B279*$E$1867/E279</f>
        <v>217.28707309259721</v>
      </c>
      <c r="I279" s="1">
        <f>C279*$E$1867/E279</f>
        <v>12.0698504300066</v>
      </c>
      <c r="J279" s="26">
        <f t="shared" si="23"/>
        <v>765.37251515309993</v>
      </c>
      <c r="K279" s="1">
        <f>D279*$E$1867/E279</f>
        <v>12.0698504300066</v>
      </c>
      <c r="L279" s="26">
        <f t="shared" si="21"/>
        <v>42.514870533504393</v>
      </c>
      <c r="M279" s="10">
        <f t="shared" si="19"/>
        <v>16.202736596449927</v>
      </c>
      <c r="N279" s="4">
        <f t="shared" si="20"/>
        <v>20.105790744253227</v>
      </c>
      <c r="O279" s="36">
        <f>1/M279-(G279/100-(((E279/E159)^(1/10))-1))</f>
        <v>-5.802921443880428E-3</v>
      </c>
      <c r="R279" s="30"/>
      <c r="S279" s="30"/>
    </row>
    <row r="280" spans="1:19" ht="13" x14ac:dyDescent="0.3">
      <c r="A280" s="52" t="s">
        <v>296</v>
      </c>
      <c r="B280" s="6">
        <v>4.51</v>
      </c>
      <c r="C280" s="1">
        <v>0.24</v>
      </c>
      <c r="D280" s="6">
        <v>0.23499999999999999</v>
      </c>
      <c r="E280" s="6">
        <v>6.5650523969999997</v>
      </c>
      <c r="F280" s="1">
        <f t="shared" si="22"/>
        <v>1894.2083333333123</v>
      </c>
      <c r="G280" s="17">
        <f>G278*10/12+G290*2/12</f>
        <v>3.66</v>
      </c>
      <c r="H280" s="1">
        <f>B280*$E$1867/E280</f>
        <v>230.22129696796691</v>
      </c>
      <c r="I280" s="1">
        <f>C280*$E$1867/E280</f>
        <v>12.251244184548128</v>
      </c>
      <c r="J280" s="26">
        <f t="shared" si="23"/>
        <v>814.52820784249809</v>
      </c>
      <c r="K280" s="1">
        <f>D280*$E$1867/E280</f>
        <v>11.996009930703375</v>
      </c>
      <c r="L280" s="26">
        <f t="shared" si="21"/>
        <v>42.442157171394022</v>
      </c>
      <c r="M280" s="10">
        <f t="shared" si="19"/>
        <v>17.187622088121934</v>
      </c>
      <c r="N280" s="4">
        <f t="shared" si="20"/>
        <v>21.34101664557582</v>
      </c>
      <c r="O280" s="36">
        <f>1/M280-(G280/100-(((E280/E160)^(1/10))-1))</f>
        <v>-1.1905071655421207E-2</v>
      </c>
      <c r="R280" s="30"/>
      <c r="S280" s="30"/>
    </row>
    <row r="281" spans="1:19" ht="13" x14ac:dyDescent="0.3">
      <c r="A281" s="52" t="s">
        <v>297</v>
      </c>
      <c r="B281" s="6">
        <v>4.57</v>
      </c>
      <c r="C281" s="1">
        <v>0.23669999999999999</v>
      </c>
      <c r="D281" s="6">
        <v>0.22670000000000001</v>
      </c>
      <c r="E281" s="6">
        <v>6.5650523969999997</v>
      </c>
      <c r="F281" s="1">
        <f t="shared" si="22"/>
        <v>1894.2916666666456</v>
      </c>
      <c r="G281" s="17">
        <f>G278*9/12+G290*3/12</f>
        <v>3.64</v>
      </c>
      <c r="H281" s="1">
        <f>B281*$E$1867/E281</f>
        <v>233.28410801410396</v>
      </c>
      <c r="I281" s="1">
        <f>C281*$E$1867/E281</f>
        <v>12.082789577010592</v>
      </c>
      <c r="J281" s="26">
        <f t="shared" si="23"/>
        <v>828.92693541904873</v>
      </c>
      <c r="K281" s="1">
        <f>D281*$E$1867/E281</f>
        <v>11.572321069321088</v>
      </c>
      <c r="L281" s="26">
        <f t="shared" si="21"/>
        <v>41.1198547613782</v>
      </c>
      <c r="M281" s="10">
        <f t="shared" si="19"/>
        <v>17.434849078052455</v>
      </c>
      <c r="N281" s="4">
        <f t="shared" si="20"/>
        <v>21.65977827688905</v>
      </c>
      <c r="O281" s="36">
        <f>1/M281-(G281/100-(((E281/E161)^(1/10))-1))</f>
        <v>-1.0514783387849995E-2</v>
      </c>
      <c r="R281" s="30"/>
      <c r="S281" s="30"/>
    </row>
    <row r="282" spans="1:19" ht="13" x14ac:dyDescent="0.3">
      <c r="A282" s="52" t="s">
        <v>298</v>
      </c>
      <c r="B282" s="6">
        <v>4.4000000000000004</v>
      </c>
      <c r="C282" s="1">
        <v>0.23330000000000001</v>
      </c>
      <c r="D282" s="6">
        <v>0.21829999999999999</v>
      </c>
      <c r="E282" s="6">
        <v>6.5650523969999997</v>
      </c>
      <c r="F282" s="1">
        <f t="shared" si="22"/>
        <v>1894.3749999999789</v>
      </c>
      <c r="G282" s="17">
        <f>G278*8/12+G290*4/12</f>
        <v>3.62</v>
      </c>
      <c r="H282" s="1">
        <f>B282*$E$1867/E282</f>
        <v>224.60614338338237</v>
      </c>
      <c r="I282" s="1">
        <f>C282*$E$1867/E282</f>
        <v>11.909230284396161</v>
      </c>
      <c r="J282" s="26">
        <f t="shared" si="23"/>
        <v>801.61799497007723</v>
      </c>
      <c r="K282" s="1">
        <f>D282*$E$1867/E282</f>
        <v>11.1435275228619</v>
      </c>
      <c r="L282" s="26">
        <f t="shared" si="21"/>
        <v>39.771183704992687</v>
      </c>
      <c r="M282" s="10">
        <f t="shared" si="19"/>
        <v>16.808751920918009</v>
      </c>
      <c r="N282" s="4">
        <f t="shared" si="20"/>
        <v>20.896769439678703</v>
      </c>
      <c r="O282" s="36">
        <f>1/M282-(G282/100-(((E282/E162)^(1/10))-1))</f>
        <v>-6.1149548233006557E-3</v>
      </c>
      <c r="R282" s="30"/>
      <c r="S282" s="30"/>
    </row>
    <row r="283" spans="1:19" ht="13" x14ac:dyDescent="0.3">
      <c r="A283" s="52" t="s">
        <v>299</v>
      </c>
      <c r="B283" s="6">
        <v>4.34</v>
      </c>
      <c r="C283" s="1">
        <v>0.23</v>
      </c>
      <c r="D283" s="6">
        <v>0.21</v>
      </c>
      <c r="E283" s="6">
        <v>6.5650523969999997</v>
      </c>
      <c r="F283" s="1">
        <f t="shared" si="22"/>
        <v>1894.4583333333121</v>
      </c>
      <c r="G283" s="17">
        <f>G278*7/12+G290*5/12</f>
        <v>3.6000000000000005</v>
      </c>
      <c r="H283" s="1">
        <f>B283*$E$1867/E283</f>
        <v>221.54333233724532</v>
      </c>
      <c r="I283" s="1">
        <f>C283*$E$1867/E283</f>
        <v>11.740775676858624</v>
      </c>
      <c r="J283" s="26">
        <f t="shared" si="23"/>
        <v>794.17873706221098</v>
      </c>
      <c r="K283" s="1">
        <f>D283*$E$1867/E283</f>
        <v>10.719838661479612</v>
      </c>
      <c r="L283" s="26">
        <f t="shared" si="21"/>
        <v>38.428003406236016</v>
      </c>
      <c r="M283" s="10">
        <f t="shared" si="19"/>
        <v>16.60631969529253</v>
      </c>
      <c r="N283" s="4">
        <f t="shared" si="20"/>
        <v>20.661031027566573</v>
      </c>
      <c r="O283" s="36">
        <f>1/M283-(G283/100-(((E283/E163)^(1/10))-1))</f>
        <v>-5.1897331275500488E-3</v>
      </c>
      <c r="R283" s="30"/>
      <c r="S283" s="30"/>
    </row>
    <row r="284" spans="1:19" ht="13" x14ac:dyDescent="0.3">
      <c r="A284" s="52" t="s">
        <v>300</v>
      </c>
      <c r="B284" s="6">
        <v>4.25</v>
      </c>
      <c r="C284" s="1">
        <v>0.22670000000000001</v>
      </c>
      <c r="D284" s="6">
        <v>0.20169999999999999</v>
      </c>
      <c r="E284" s="6">
        <v>6.5650523969999997</v>
      </c>
      <c r="F284" s="1">
        <f t="shared" si="22"/>
        <v>1894.5416666666454</v>
      </c>
      <c r="G284" s="17">
        <f>G278*6/12+G290*6/12</f>
        <v>3.58</v>
      </c>
      <c r="H284" s="1">
        <f>B284*$E$1867/E284</f>
        <v>216.94911576803977</v>
      </c>
      <c r="I284" s="1">
        <f>C284*$E$1867/E284</f>
        <v>11.572321069321088</v>
      </c>
      <c r="J284" s="26">
        <f t="shared" si="23"/>
        <v>781.16658813104391</v>
      </c>
      <c r="K284" s="1">
        <f>D284*$E$1867/E284</f>
        <v>10.296149800097323</v>
      </c>
      <c r="L284" s="26">
        <f t="shared" si="21"/>
        <v>37.073247253183894</v>
      </c>
      <c r="M284" s="10">
        <f t="shared" si="19"/>
        <v>16.289679714916954</v>
      </c>
      <c r="N284" s="4">
        <f t="shared" si="20"/>
        <v>20.285465268221337</v>
      </c>
      <c r="O284" s="36">
        <f>1/M284-(G284/100-(((E284/E164)^(1/10))-1))</f>
        <v>-2.7700206733355104E-3</v>
      </c>
      <c r="R284" s="30"/>
      <c r="S284" s="30"/>
    </row>
    <row r="285" spans="1:19" ht="13" x14ac:dyDescent="0.3">
      <c r="A285" s="52" t="s">
        <v>301</v>
      </c>
      <c r="B285" s="6">
        <v>4.41</v>
      </c>
      <c r="C285" s="1">
        <v>0.2233</v>
      </c>
      <c r="D285" s="6">
        <v>0.1933</v>
      </c>
      <c r="E285" s="6">
        <v>6.7553424790000003</v>
      </c>
      <c r="F285" s="1">
        <f t="shared" si="22"/>
        <v>1894.6249999999786</v>
      </c>
      <c r="G285" s="17">
        <f>G278*5/12+G290*7/12</f>
        <v>3.5599999999999996</v>
      </c>
      <c r="H285" s="1">
        <f>B285*$E$1867/E285</f>
        <v>218.77534071651914</v>
      </c>
      <c r="I285" s="1">
        <f>C285*$E$1867/E285</f>
        <v>11.077672014058667</v>
      </c>
      <c r="J285" s="26">
        <f t="shared" si="23"/>
        <v>791.06619758031445</v>
      </c>
      <c r="K285" s="1">
        <f>D285*$E$1867/E285</f>
        <v>9.5894043901367674</v>
      </c>
      <c r="L285" s="26">
        <f t="shared" si="21"/>
        <v>34.674171426819676</v>
      </c>
      <c r="M285" s="10">
        <f t="shared" si="19"/>
        <v>16.457777072998372</v>
      </c>
      <c r="N285" s="4">
        <f t="shared" si="20"/>
        <v>20.510549550602164</v>
      </c>
      <c r="O285" s="36">
        <f>1/M285-(G285/100-(((E285/E165)^(1/10))-1))</f>
        <v>-4.1677578936872434E-4</v>
      </c>
      <c r="R285" s="30"/>
      <c r="S285" s="30"/>
    </row>
    <row r="286" spans="1:19" ht="13" x14ac:dyDescent="0.3">
      <c r="A286" s="52" t="s">
        <v>302</v>
      </c>
      <c r="B286" s="6">
        <v>4.4800000000000004</v>
      </c>
      <c r="C286" s="1">
        <v>0.22</v>
      </c>
      <c r="D286" s="6">
        <v>0.185</v>
      </c>
      <c r="E286" s="6">
        <v>6.8504834710000004</v>
      </c>
      <c r="F286" s="1">
        <f t="shared" si="22"/>
        <v>1894.7083333333119</v>
      </c>
      <c r="G286" s="17">
        <f>G278*4/12+G290*8/12</f>
        <v>3.54</v>
      </c>
      <c r="H286" s="1">
        <f>B286*$E$1867/E286</f>
        <v>219.16133749620428</v>
      </c>
      <c r="I286" s="1">
        <f>C286*$E$1867/E286</f>
        <v>10.762387109188602</v>
      </c>
      <c r="J286" s="26">
        <f t="shared" si="23"/>
        <v>795.70487877448465</v>
      </c>
      <c r="K286" s="1">
        <f>D286*$E$1867/E286</f>
        <v>9.0501891599995066</v>
      </c>
      <c r="L286" s="26">
        <f t="shared" si="21"/>
        <v>32.858348788678491</v>
      </c>
      <c r="M286" s="10">
        <f t="shared" si="19"/>
        <v>16.522315444877218</v>
      </c>
      <c r="N286" s="4">
        <f t="shared" si="20"/>
        <v>20.60726506505565</v>
      </c>
      <c r="O286" s="36">
        <f>1/M286-(G286/100-(((E286/E166)^(1/10))-1))</f>
        <v>1.9768623530273463E-3</v>
      </c>
      <c r="R286" s="30"/>
      <c r="S286" s="30"/>
    </row>
    <row r="287" spans="1:19" ht="13" x14ac:dyDescent="0.3">
      <c r="A287" s="52" t="s">
        <v>303</v>
      </c>
      <c r="B287" s="6">
        <v>4.34</v>
      </c>
      <c r="C287" s="1">
        <v>0.2167</v>
      </c>
      <c r="D287" s="6">
        <v>0.1767</v>
      </c>
      <c r="E287" s="6">
        <v>6.6601933879999997</v>
      </c>
      <c r="F287" s="1">
        <f t="shared" si="22"/>
        <v>1894.7916666666451</v>
      </c>
      <c r="G287" s="17">
        <f>G278*3/12+G290*9/12</f>
        <v>3.5200000000000005</v>
      </c>
      <c r="H287" s="1">
        <f>B287*$E$1867/E287</f>
        <v>218.37858156199232</v>
      </c>
      <c r="I287" s="1">
        <f>C287*$E$1867/E287</f>
        <v>10.903833784443259</v>
      </c>
      <c r="J287" s="26">
        <f t="shared" si="23"/>
        <v>796.16197017438492</v>
      </c>
      <c r="K287" s="1">
        <f>D287*$E$1867/E287</f>
        <v>8.8911279635954017</v>
      </c>
      <c r="L287" s="26">
        <f t="shared" si="21"/>
        <v>32.415165928528531</v>
      </c>
      <c r="M287" s="10">
        <f t="shared" si="19"/>
        <v>16.502904205708429</v>
      </c>
      <c r="N287" s="4">
        <f t="shared" si="20"/>
        <v>20.602914844137334</v>
      </c>
      <c r="O287" s="36">
        <f>1/M287-(G287/100-(((E287/E167)^(1/10))-1))</f>
        <v>5.7724977769441771E-4</v>
      </c>
      <c r="R287" s="30"/>
      <c r="S287" s="30"/>
    </row>
    <row r="288" spans="1:19" ht="13" x14ac:dyDescent="0.3">
      <c r="A288" s="52" t="s">
        <v>304</v>
      </c>
      <c r="B288" s="6">
        <v>4.34</v>
      </c>
      <c r="C288" s="1">
        <v>0.21329999999999999</v>
      </c>
      <c r="D288" s="6">
        <v>0.16830000000000001</v>
      </c>
      <c r="E288" s="6">
        <v>6.6601933879999997</v>
      </c>
      <c r="F288" s="1">
        <f t="shared" si="22"/>
        <v>1894.8749999999784</v>
      </c>
      <c r="G288" s="17">
        <f>G278*2/12+G290*10/12</f>
        <v>3.5</v>
      </c>
      <c r="H288" s="1">
        <f>B288*$E$1867/E288</f>
        <v>218.37858156199232</v>
      </c>
      <c r="I288" s="1">
        <f>C288*$E$1867/E288</f>
        <v>10.73275378967119</v>
      </c>
      <c r="J288" s="26">
        <f t="shared" si="23"/>
        <v>799.42274875038709</v>
      </c>
      <c r="K288" s="1">
        <f>D288*$E$1867/E288</f>
        <v>8.4684597412173517</v>
      </c>
      <c r="L288" s="26">
        <f t="shared" si="21"/>
        <v>31.00065636283183</v>
      </c>
      <c r="M288" s="10">
        <f t="shared" si="19"/>
        <v>16.542784447444561</v>
      </c>
      <c r="N288" s="4">
        <f t="shared" si="20"/>
        <v>20.672276347819018</v>
      </c>
      <c r="O288" s="36">
        <f>1/M288-(G288/100-(((E288/E168)^(1/10))-1))</f>
        <v>2.8246636689232205E-3</v>
      </c>
      <c r="R288" s="30"/>
      <c r="S288" s="30"/>
    </row>
    <row r="289" spans="1:19" ht="13" x14ac:dyDescent="0.3">
      <c r="A289" s="52" t="s">
        <v>305</v>
      </c>
      <c r="B289" s="6">
        <v>4.3</v>
      </c>
      <c r="C289" s="1">
        <v>0.21</v>
      </c>
      <c r="D289" s="6">
        <v>0.16</v>
      </c>
      <c r="E289" s="6">
        <v>6.5650523969999997</v>
      </c>
      <c r="F289" s="1">
        <f t="shared" si="22"/>
        <v>1894.9583333333117</v>
      </c>
      <c r="G289" s="17">
        <f>G278*1/12+G290*11/12</f>
        <v>3.4800000000000004</v>
      </c>
      <c r="H289" s="1">
        <f>B289*$E$1867/E289</f>
        <v>219.50145830648728</v>
      </c>
      <c r="I289" s="1">
        <f>C289*$E$1867/E289</f>
        <v>10.719838661479612</v>
      </c>
      <c r="J289" s="26">
        <f t="shared" si="23"/>
        <v>806.80347923598129</v>
      </c>
      <c r="K289" s="1">
        <f>D289*$E$1867/E289</f>
        <v>8.1674961230320857</v>
      </c>
      <c r="L289" s="26">
        <f t="shared" si="21"/>
        <v>30.02059457622256</v>
      </c>
      <c r="M289" s="10">
        <f t="shared" si="19"/>
        <v>16.67246633376773</v>
      </c>
      <c r="N289" s="4">
        <f t="shared" si="20"/>
        <v>20.855013611174964</v>
      </c>
      <c r="O289" s="36">
        <f>1/M289-(G289/100-(((E289/E169)^(1/10))-1))</f>
        <v>2.265509077856484E-3</v>
      </c>
      <c r="R289" s="30"/>
      <c r="S289" s="30"/>
    </row>
    <row r="290" spans="1:19" ht="13" x14ac:dyDescent="0.3">
      <c r="A290" s="52" t="s">
        <v>306</v>
      </c>
      <c r="B290" s="6">
        <v>4.25</v>
      </c>
      <c r="C290" s="1">
        <v>0.20830000000000001</v>
      </c>
      <c r="D290" s="6">
        <v>0.16750000000000001</v>
      </c>
      <c r="E290" s="6">
        <v>6.5650523969999997</v>
      </c>
      <c r="F290" s="1">
        <f t="shared" si="22"/>
        <v>1895.0416666666449</v>
      </c>
      <c r="G290" s="17">
        <v>3.46</v>
      </c>
      <c r="H290" s="1">
        <f>B290*$E$1867/E290</f>
        <v>216.94911576803977</v>
      </c>
      <c r="I290" s="1">
        <f>C290*$E$1867/E290</f>
        <v>10.633059015172398</v>
      </c>
      <c r="J290" s="26">
        <f t="shared" si="23"/>
        <v>800.67896522790511</v>
      </c>
      <c r="K290" s="1">
        <f>D290*$E$1867/E290</f>
        <v>8.5503475037992143</v>
      </c>
      <c r="L290" s="26">
        <f t="shared" si="21"/>
        <v>31.556170982511553</v>
      </c>
      <c r="M290" s="10">
        <f t="shared" si="19"/>
        <v>16.524443935162715</v>
      </c>
      <c r="N290" s="4">
        <f t="shared" si="20"/>
        <v>20.692167083108188</v>
      </c>
      <c r="O290" s="36">
        <f>1/M290-(G290/100-(((E290/E170)^(1/10))-1))</f>
        <v>3.002789151904238E-3</v>
      </c>
      <c r="R290" s="30"/>
      <c r="S290" s="30"/>
    </row>
    <row r="291" spans="1:19" ht="13" x14ac:dyDescent="0.3">
      <c r="A291" s="52" t="s">
        <v>307</v>
      </c>
      <c r="B291" s="6">
        <v>4.1900000000000004</v>
      </c>
      <c r="C291" s="1">
        <v>0.20669999999999999</v>
      </c>
      <c r="D291" s="6">
        <v>0.17499999999999999</v>
      </c>
      <c r="E291" s="6">
        <v>6.5650523969999997</v>
      </c>
      <c r="F291" s="1">
        <f t="shared" si="22"/>
        <v>1895.1249999999782</v>
      </c>
      <c r="G291" s="17">
        <f>G290*11/12+G302*1/12</f>
        <v>3.4716666666666667</v>
      </c>
      <c r="H291" s="1">
        <f>B291*$E$1867/E291</f>
        <v>213.88630472190277</v>
      </c>
      <c r="I291" s="1">
        <f>C291*$E$1867/E291</f>
        <v>10.551384053942074</v>
      </c>
      <c r="J291" s="26">
        <f t="shared" si="23"/>
        <v>792.62036693669961</v>
      </c>
      <c r="K291" s="1">
        <f>D291*$E$1867/E291</f>
        <v>8.9331988845663428</v>
      </c>
      <c r="L291" s="26">
        <f t="shared" si="21"/>
        <v>33.104669263465965</v>
      </c>
      <c r="M291" s="10">
        <f t="shared" si="19"/>
        <v>16.331237693211413</v>
      </c>
      <c r="N291" s="4">
        <f t="shared" si="20"/>
        <v>20.472046385423731</v>
      </c>
      <c r="O291" s="36">
        <f>1/M291-(G291/100-(((E291/E171)^(1/10))-1))</f>
        <v>2.4857878192883834E-3</v>
      </c>
      <c r="R291" s="30"/>
      <c r="S291" s="30"/>
    </row>
    <row r="292" spans="1:19" ht="13" x14ac:dyDescent="0.3">
      <c r="A292" s="52" t="s">
        <v>308</v>
      </c>
      <c r="B292" s="6">
        <v>4.1900000000000004</v>
      </c>
      <c r="C292" s="1">
        <v>0.20499999999999999</v>
      </c>
      <c r="D292" s="6">
        <v>0.1825</v>
      </c>
      <c r="E292" s="6">
        <v>6.5650523969999997</v>
      </c>
      <c r="F292" s="1">
        <f t="shared" si="22"/>
        <v>1895.2083333333114</v>
      </c>
      <c r="G292" s="17">
        <f>G290*10/12+G302*2/12</f>
        <v>3.4833333333333334</v>
      </c>
      <c r="H292" s="1">
        <f>B292*$E$1867/E292</f>
        <v>213.88630472190277</v>
      </c>
      <c r="I292" s="1">
        <f>C292*$E$1867/E292</f>
        <v>10.464604407634861</v>
      </c>
      <c r="J292" s="26">
        <f t="shared" si="23"/>
        <v>795.85201322194268</v>
      </c>
      <c r="K292" s="1">
        <f>D292*$E$1867/E292</f>
        <v>9.3160502653334731</v>
      </c>
      <c r="L292" s="26">
        <f t="shared" si="21"/>
        <v>34.664198666588192</v>
      </c>
      <c r="M292" s="10">
        <f t="shared" si="19"/>
        <v>16.364625427174801</v>
      </c>
      <c r="N292" s="4">
        <f t="shared" si="20"/>
        <v>20.53464199020349</v>
      </c>
      <c r="O292" s="36">
        <f>1/M292-(G292/100-(((E292/E172)^(1/10))-1))</f>
        <v>4.4909440197234696E-3</v>
      </c>
      <c r="R292" s="30"/>
      <c r="S292" s="30"/>
    </row>
    <row r="293" spans="1:19" ht="13" x14ac:dyDescent="0.3">
      <c r="A293" s="52" t="s">
        <v>309</v>
      </c>
      <c r="B293" s="6">
        <v>4.37</v>
      </c>
      <c r="C293" s="1">
        <v>0.20330000000000001</v>
      </c>
      <c r="D293" s="6">
        <v>0.19</v>
      </c>
      <c r="E293" s="6">
        <v>6.8504834710000004</v>
      </c>
      <c r="F293" s="1">
        <f t="shared" si="22"/>
        <v>1895.2916666666447</v>
      </c>
      <c r="G293" s="17">
        <f>G290*9/12+G302*3/12</f>
        <v>3.4950000000000001</v>
      </c>
      <c r="H293" s="1">
        <f>B293*$E$1867/E293</f>
        <v>213.78014394160999</v>
      </c>
      <c r="I293" s="1">
        <f>C293*$E$1867/E293</f>
        <v>9.9454240877183757</v>
      </c>
      <c r="J293" s="26">
        <f t="shared" si="23"/>
        <v>798.54083526646889</v>
      </c>
      <c r="K293" s="1">
        <f>D293*$E$1867/E293</f>
        <v>9.2947888670265204</v>
      </c>
      <c r="L293" s="26">
        <f t="shared" si="21"/>
        <v>34.719166750716035</v>
      </c>
      <c r="M293" s="10">
        <f t="shared" si="19"/>
        <v>16.387543823686304</v>
      </c>
      <c r="N293" s="4">
        <f t="shared" si="20"/>
        <v>20.578453397959453</v>
      </c>
      <c r="O293" s="36">
        <f>1/M293-(G293/100-(((E293/E173)^(1/10))-1))</f>
        <v>7.325555809035135E-3</v>
      </c>
      <c r="R293" s="30"/>
      <c r="S293" s="30"/>
    </row>
    <row r="294" spans="1:19" ht="13" x14ac:dyDescent="0.3">
      <c r="A294" s="52" t="s">
        <v>310</v>
      </c>
      <c r="B294" s="6">
        <v>4.6100000000000003</v>
      </c>
      <c r="C294" s="1">
        <v>0.20169999999999999</v>
      </c>
      <c r="D294" s="6">
        <v>0.19750000000000001</v>
      </c>
      <c r="E294" s="6">
        <v>6.9456325620000001</v>
      </c>
      <c r="F294" s="1">
        <f t="shared" si="22"/>
        <v>1895.3749999999779</v>
      </c>
      <c r="G294" s="17">
        <f>G290*8/12+G302*4/12</f>
        <v>3.5066666666666668</v>
      </c>
      <c r="H294" s="1">
        <f>B294*$E$1867/E294</f>
        <v>222.43149039475492</v>
      </c>
      <c r="I294" s="1">
        <f>C294*$E$1867/E294</f>
        <v>9.7319808270329862</v>
      </c>
      <c r="J294" s="26">
        <f t="shared" si="23"/>
        <v>833.88588006385862</v>
      </c>
      <c r="K294" s="1">
        <f>D294*$E$1867/E294</f>
        <v>9.529331746846875</v>
      </c>
      <c r="L294" s="26">
        <f t="shared" si="21"/>
        <v>35.725045837876806</v>
      </c>
      <c r="M294" s="10">
        <f t="shared" si="19"/>
        <v>17.080369553382393</v>
      </c>
      <c r="N294" s="4">
        <f t="shared" si="20"/>
        <v>21.460149768676366</v>
      </c>
      <c r="O294" s="36">
        <f>1/M294-(G294/100-(((E294/E174)^(1/10))-1))</f>
        <v>8.3761114079656182E-3</v>
      </c>
      <c r="R294" s="30"/>
      <c r="S294" s="30"/>
    </row>
    <row r="295" spans="1:19" ht="13" x14ac:dyDescent="0.3">
      <c r="A295" s="52" t="s">
        <v>311</v>
      </c>
      <c r="B295" s="6">
        <v>4.7</v>
      </c>
      <c r="C295" s="1">
        <v>0.2</v>
      </c>
      <c r="D295" s="6">
        <v>0.20499999999999999</v>
      </c>
      <c r="E295" s="6">
        <v>7.0407735540000003</v>
      </c>
      <c r="F295" s="1">
        <f t="shared" si="22"/>
        <v>1895.4583333333112</v>
      </c>
      <c r="G295" s="17">
        <f>G290*7/12+G302*5/12</f>
        <v>3.5183333333333331</v>
      </c>
      <c r="H295" s="1">
        <f>B295*$E$1867/E295</f>
        <v>223.70960561643989</v>
      </c>
      <c r="I295" s="1">
        <f>C295*$E$1867/E295</f>
        <v>9.519557685805955</v>
      </c>
      <c r="J295" s="26">
        <f t="shared" si="23"/>
        <v>841.65151145720506</v>
      </c>
      <c r="K295" s="1">
        <f>D295*$E$1867/E295</f>
        <v>9.7575466279511023</v>
      </c>
      <c r="L295" s="26">
        <f t="shared" si="21"/>
        <v>36.710331882707884</v>
      </c>
      <c r="M295" s="10">
        <f t="shared" si="19"/>
        <v>17.207413539783392</v>
      </c>
      <c r="N295" s="4">
        <f t="shared" si="20"/>
        <v>21.628273210067608</v>
      </c>
      <c r="O295" s="36">
        <f>1/M295-(G295/100-(((E295/E175)^(1/10))-1))</f>
        <v>1.1519126998025951E-2</v>
      </c>
      <c r="R295" s="30"/>
      <c r="S295" s="30"/>
    </row>
    <row r="296" spans="1:19" ht="13" x14ac:dyDescent="0.3">
      <c r="A296" s="52" t="s">
        <v>312</v>
      </c>
      <c r="B296" s="6">
        <v>4.72</v>
      </c>
      <c r="C296" s="1">
        <v>0.1983</v>
      </c>
      <c r="D296" s="6">
        <v>0.21249999999999999</v>
      </c>
      <c r="E296" s="6">
        <v>6.9456325620000001</v>
      </c>
      <c r="F296" s="1">
        <f t="shared" si="22"/>
        <v>1895.5416666666445</v>
      </c>
      <c r="G296" s="17">
        <f>G290*6/12+G302*6/12</f>
        <v>3.53</v>
      </c>
      <c r="H296" s="1">
        <f>B296*$E$1867/E296</f>
        <v>227.73896630439114</v>
      </c>
      <c r="I296" s="1">
        <f>C296*$E$1867/E296</f>
        <v>9.5679315716442304</v>
      </c>
      <c r="J296" s="26">
        <f t="shared" si="23"/>
        <v>859.8107206148054</v>
      </c>
      <c r="K296" s="1">
        <f>D296*$E$1867/E296</f>
        <v>10.253078461797269</v>
      </c>
      <c r="L296" s="26">
        <f t="shared" si="21"/>
        <v>38.70969875649282</v>
      </c>
      <c r="M296" s="10">
        <f t="shared" si="19"/>
        <v>17.546014648740559</v>
      </c>
      <c r="N296" s="4">
        <f t="shared" si="20"/>
        <v>22.060403147384218</v>
      </c>
      <c r="O296" s="36">
        <f>1/M296-(G296/100-(((E296/E176)^(1/10))-1))</f>
        <v>7.7553380580635614E-3</v>
      </c>
      <c r="R296" s="30"/>
      <c r="S296" s="30"/>
    </row>
    <row r="297" spans="1:19" ht="13" x14ac:dyDescent="0.3">
      <c r="A297" s="52" t="s">
        <v>313</v>
      </c>
      <c r="B297" s="6">
        <v>4.79</v>
      </c>
      <c r="C297" s="1">
        <v>0.19670000000000001</v>
      </c>
      <c r="D297" s="6">
        <v>0.22</v>
      </c>
      <c r="E297" s="6">
        <v>6.8504834710000004</v>
      </c>
      <c r="F297" s="1">
        <f t="shared" si="22"/>
        <v>1895.6249999999777</v>
      </c>
      <c r="G297" s="17">
        <f>G290*5/12+G302*7/12</f>
        <v>3.541666666666667</v>
      </c>
      <c r="H297" s="1">
        <f>B297*$E$1867/E297</f>
        <v>234.32651933187913</v>
      </c>
      <c r="I297" s="1">
        <f>C297*$E$1867/E297</f>
        <v>9.6225524744427187</v>
      </c>
      <c r="J297" s="26">
        <f t="shared" si="23"/>
        <v>887.70894681731841</v>
      </c>
      <c r="K297" s="1">
        <f>D297*$E$1867/E297</f>
        <v>10.762387109188602</v>
      </c>
      <c r="L297" s="26">
        <f t="shared" si="21"/>
        <v>40.771600897663888</v>
      </c>
      <c r="M297" s="10">
        <f t="shared" si="19"/>
        <v>18.074072547241801</v>
      </c>
      <c r="N297" s="4">
        <f t="shared" si="20"/>
        <v>22.728369644725088</v>
      </c>
      <c r="O297" s="36">
        <f>1/M297-(G297/100-(((E297/E177)^(1/10))-1))</f>
        <v>4.6143262527668857E-3</v>
      </c>
      <c r="R297" s="30"/>
      <c r="S297" s="30"/>
    </row>
    <row r="298" spans="1:19" ht="13" x14ac:dyDescent="0.3">
      <c r="A298" s="52" t="s">
        <v>314</v>
      </c>
      <c r="B298" s="6">
        <v>4.82</v>
      </c>
      <c r="C298" s="1">
        <v>0.19500000000000001</v>
      </c>
      <c r="D298" s="6">
        <v>0.22750000000000001</v>
      </c>
      <c r="E298" s="6">
        <v>6.8504834710000004</v>
      </c>
      <c r="F298" s="1">
        <f t="shared" si="22"/>
        <v>1895.708333333311</v>
      </c>
      <c r="G298" s="17">
        <f>G290*4/12+G302*8/12</f>
        <v>3.5533333333333332</v>
      </c>
      <c r="H298" s="1">
        <f>B298*$E$1867/E298</f>
        <v>235.79411757404122</v>
      </c>
      <c r="I298" s="1">
        <f>C298*$E$1867/E298</f>
        <v>9.5393885740535342</v>
      </c>
      <c r="J298" s="26">
        <f t="shared" si="23"/>
        <v>896.28024927875913</v>
      </c>
      <c r="K298" s="1">
        <f>D298*$E$1867/E298</f>
        <v>11.129286669729122</v>
      </c>
      <c r="L298" s="26">
        <f t="shared" si="21"/>
        <v>42.30368396492068</v>
      </c>
      <c r="M298" s="10">
        <f t="shared" si="19"/>
        <v>18.20033594660547</v>
      </c>
      <c r="N298" s="4">
        <f t="shared" si="20"/>
        <v>22.888669564420336</v>
      </c>
      <c r="O298" s="36">
        <f>1/M298-(G298/100-(((E298/E178)^(1/10))-1))</f>
        <v>5.293774765856428E-3</v>
      </c>
      <c r="R298" s="30"/>
      <c r="S298" s="30"/>
    </row>
    <row r="299" spans="1:19" ht="13" x14ac:dyDescent="0.3">
      <c r="A299" s="52" t="s">
        <v>315</v>
      </c>
      <c r="B299" s="6">
        <v>4.75</v>
      </c>
      <c r="C299" s="1">
        <v>0.1933</v>
      </c>
      <c r="D299" s="6">
        <v>0.23499999999999999</v>
      </c>
      <c r="E299" s="6">
        <v>6.8504834710000004</v>
      </c>
      <c r="F299" s="1">
        <f t="shared" si="22"/>
        <v>1895.7916666666442</v>
      </c>
      <c r="G299" s="17">
        <f>G290*3/12+G302*9/12</f>
        <v>3.5649999999999995</v>
      </c>
      <c r="H299" s="1">
        <f>B299*$E$1867/E299</f>
        <v>232.36972167566302</v>
      </c>
      <c r="I299" s="1">
        <f>C299*$E$1867/E299</f>
        <v>9.456224673664348</v>
      </c>
      <c r="J299" s="26">
        <f t="shared" si="23"/>
        <v>886.25907989410177</v>
      </c>
      <c r="K299" s="1">
        <f>D299*$E$1867/E299</f>
        <v>11.496186230269643</v>
      </c>
      <c r="L299" s="26">
        <f t="shared" si="21"/>
        <v>43.846501847392396</v>
      </c>
      <c r="M299" s="10">
        <f t="shared" si="19"/>
        <v>17.944706622466473</v>
      </c>
      <c r="N299" s="4">
        <f t="shared" si="20"/>
        <v>22.567892520739907</v>
      </c>
      <c r="O299" s="36">
        <f>1/M299-(G299/100-(((E299/E179)^(1/10))-1))</f>
        <v>5.9598073262705636E-3</v>
      </c>
      <c r="R299" s="30"/>
      <c r="S299" s="30"/>
    </row>
    <row r="300" spans="1:19" ht="13" x14ac:dyDescent="0.3">
      <c r="A300" s="52" t="s">
        <v>316</v>
      </c>
      <c r="B300" s="6">
        <v>4.59</v>
      </c>
      <c r="C300" s="1">
        <v>0.19170000000000001</v>
      </c>
      <c r="D300" s="6">
        <v>0.24249999999999999</v>
      </c>
      <c r="E300" s="6">
        <v>6.8504834710000004</v>
      </c>
      <c r="F300" s="1">
        <f t="shared" si="22"/>
        <v>1895.8749999999775</v>
      </c>
      <c r="G300" s="17">
        <f>G290*2/12+G302*10/12</f>
        <v>3.5766666666666667</v>
      </c>
      <c r="H300" s="1">
        <f>B300*$E$1867/E300</f>
        <v>224.54253105079857</v>
      </c>
      <c r="I300" s="1">
        <f>C300*$E$1867/E300</f>
        <v>9.3779527674157048</v>
      </c>
      <c r="J300" s="26">
        <f t="shared" si="23"/>
        <v>859.38677168741788</v>
      </c>
      <c r="K300" s="1">
        <f>D300*$E$1867/E300</f>
        <v>11.863085790810164</v>
      </c>
      <c r="L300" s="26">
        <f t="shared" si="21"/>
        <v>45.403331619651162</v>
      </c>
      <c r="M300" s="10">
        <f t="shared" si="19"/>
        <v>17.342998991921693</v>
      </c>
      <c r="N300" s="4">
        <f t="shared" si="20"/>
        <v>21.812946556051376</v>
      </c>
      <c r="O300" s="36">
        <f>1/M300-(G300/100-(((E300/E180)^(1/10))-1))</f>
        <v>6.5966071475565477E-3</v>
      </c>
      <c r="R300" s="30"/>
      <c r="S300" s="30"/>
    </row>
    <row r="301" spans="1:19" ht="13" x14ac:dyDescent="0.3">
      <c r="A301" s="52" t="s">
        <v>317</v>
      </c>
      <c r="B301" s="6">
        <v>4.32</v>
      </c>
      <c r="C301" s="1">
        <v>0.19</v>
      </c>
      <c r="D301" s="6">
        <v>0.25</v>
      </c>
      <c r="E301" s="6">
        <v>6.7553424790000003</v>
      </c>
      <c r="F301" s="1">
        <f t="shared" si="22"/>
        <v>1895.9583333333107</v>
      </c>
      <c r="G301" s="17">
        <f>G290*1/12+G302*11/12</f>
        <v>3.5883333333333338</v>
      </c>
      <c r="H301" s="1">
        <f>B301*$E$1867/E301</f>
        <v>214.31053784475344</v>
      </c>
      <c r="I301" s="1">
        <f>C301*$E$1867/E301</f>
        <v>9.4256949515053599</v>
      </c>
      <c r="J301" s="26">
        <f t="shared" si="23"/>
        <v>823.2323152985133</v>
      </c>
      <c r="K301" s="1">
        <f>D301*$E$1867/E301</f>
        <v>12.402230199349157</v>
      </c>
      <c r="L301" s="26">
        <f t="shared" si="21"/>
        <v>47.64075898718248</v>
      </c>
      <c r="M301" s="10">
        <f t="shared" si="19"/>
        <v>16.548415156667964</v>
      </c>
      <c r="N301" s="4">
        <f t="shared" si="20"/>
        <v>20.818648077628044</v>
      </c>
      <c r="O301" s="36">
        <f>1/M301-(G301/100-(((E301/E181)^(1/10))-1))</f>
        <v>5.5613476259541855E-3</v>
      </c>
      <c r="R301" s="30"/>
      <c r="S301" s="30"/>
    </row>
    <row r="302" spans="1:19" ht="13" x14ac:dyDescent="0.3">
      <c r="A302" s="52" t="s">
        <v>318</v>
      </c>
      <c r="B302" s="6">
        <v>4.2699999999999996</v>
      </c>
      <c r="C302" s="1">
        <v>0.18920000000000001</v>
      </c>
      <c r="D302" s="6">
        <v>0.2467</v>
      </c>
      <c r="E302" s="6">
        <v>6.6601933879999997</v>
      </c>
      <c r="F302" s="1">
        <f t="shared" si="22"/>
        <v>1896.041666666644</v>
      </c>
      <c r="G302" s="17">
        <v>3.6</v>
      </c>
      <c r="H302" s="1">
        <f>B302*$E$1867/E302</f>
        <v>214.85634637550854</v>
      </c>
      <c r="I302" s="1">
        <f>C302*$E$1867/E302</f>
        <v>9.5200985326103567</v>
      </c>
      <c r="J302" s="26">
        <f t="shared" si="23"/>
        <v>828.37640026967642</v>
      </c>
      <c r="K302" s="1">
        <f>D302*$E$1867/E302</f>
        <v>12.413363150079149</v>
      </c>
      <c r="L302" s="26">
        <f t="shared" si="21"/>
        <v>47.859592024948299</v>
      </c>
      <c r="M302" s="10">
        <f t="shared" si="19"/>
        <v>16.57622482856819</v>
      </c>
      <c r="N302" s="4">
        <f t="shared" si="20"/>
        <v>20.858552156094355</v>
      </c>
      <c r="O302" s="36">
        <f>1/M302-(G302/100-(((E302/E182)^(1/10))-1))</f>
        <v>6.2604116349686476E-3</v>
      </c>
      <c r="R302" s="30"/>
      <c r="S302" s="30"/>
    </row>
    <row r="303" spans="1:19" ht="13" x14ac:dyDescent="0.3">
      <c r="A303" s="52" t="s">
        <v>319</v>
      </c>
      <c r="B303" s="6">
        <v>4.45</v>
      </c>
      <c r="C303" s="1">
        <v>0.1883</v>
      </c>
      <c r="D303" s="6">
        <v>0.24329999999999999</v>
      </c>
      <c r="E303" s="6">
        <v>6.5650523969999997</v>
      </c>
      <c r="F303" s="1">
        <f t="shared" si="22"/>
        <v>1896.1249999999773</v>
      </c>
      <c r="G303" s="17">
        <f>G302*11/12+G314*1/12</f>
        <v>3.5833333333333335</v>
      </c>
      <c r="H303" s="1">
        <f>B303*$E$1867/E303</f>
        <v>227.15848592182988</v>
      </c>
      <c r="I303" s="1">
        <f>C303*$E$1867/E303</f>
        <v>9.612121999793386</v>
      </c>
      <c r="J303" s="26">
        <f t="shared" si="23"/>
        <v>878.89545718622219</v>
      </c>
      <c r="K303" s="1">
        <f>D303*$E$1867/E303</f>
        <v>12.419698792085665</v>
      </c>
      <c r="L303" s="26">
        <f t="shared" si="21"/>
        <v>48.052868479417498</v>
      </c>
      <c r="M303" s="10">
        <f t="shared" si="19"/>
        <v>17.515403352637268</v>
      </c>
      <c r="N303" s="4">
        <f t="shared" si="20"/>
        <v>22.040592031270297</v>
      </c>
      <c r="O303" s="36">
        <f>1/M303-(G303/100-(((E303/E183)^(1/10))-1))</f>
        <v>1.7805233819332827E-3</v>
      </c>
      <c r="R303" s="30"/>
      <c r="S303" s="30"/>
    </row>
    <row r="304" spans="1:19" ht="13" x14ac:dyDescent="0.3">
      <c r="A304" s="52" t="s">
        <v>320</v>
      </c>
      <c r="B304" s="6">
        <v>4.38</v>
      </c>
      <c r="C304" s="1">
        <v>0.1875</v>
      </c>
      <c r="D304" s="6">
        <v>0.24</v>
      </c>
      <c r="E304" s="6">
        <v>6.5650523969999997</v>
      </c>
      <c r="F304" s="1">
        <f t="shared" si="22"/>
        <v>1896.2083333333105</v>
      </c>
      <c r="G304" s="17">
        <f>G302*10/12+G314*2/12</f>
        <v>3.5666666666666664</v>
      </c>
      <c r="H304" s="1">
        <f>B304*$E$1867/E304</f>
        <v>223.58520636800336</v>
      </c>
      <c r="I304" s="1">
        <f>C304*$E$1867/E304</f>
        <v>9.5712845191782243</v>
      </c>
      <c r="J304" s="26">
        <f t="shared" si="23"/>
        <v>868.1561447177952</v>
      </c>
      <c r="K304" s="1">
        <f>D304*$E$1867/E304</f>
        <v>12.251244184548128</v>
      </c>
      <c r="L304" s="26">
        <f t="shared" si="21"/>
        <v>47.570199710564111</v>
      </c>
      <c r="M304" s="10">
        <f t="shared" si="19"/>
        <v>17.23236271229861</v>
      </c>
      <c r="N304" s="4">
        <f t="shared" si="20"/>
        <v>21.685007699222602</v>
      </c>
      <c r="O304" s="36">
        <f>1/M304-(G304/100-(((E304/E184)^(1/10))-1))</f>
        <v>4.0598699544547312E-3</v>
      </c>
      <c r="R304" s="30"/>
      <c r="S304" s="30"/>
    </row>
    <row r="305" spans="1:19" ht="13" x14ac:dyDescent="0.3">
      <c r="A305" s="52" t="s">
        <v>321</v>
      </c>
      <c r="B305" s="6">
        <v>4.42</v>
      </c>
      <c r="C305" s="1">
        <v>0.1867</v>
      </c>
      <c r="D305" s="6">
        <v>0.23669999999999999</v>
      </c>
      <c r="E305" s="6">
        <v>6.469903306</v>
      </c>
      <c r="F305" s="1">
        <f t="shared" si="22"/>
        <v>1896.2916666666438</v>
      </c>
      <c r="G305" s="17">
        <f>G302*9/12+G314*3/12</f>
        <v>3.55</v>
      </c>
      <c r="H305" s="1">
        <f>B305*$E$1867/E305</f>
        <v>228.94524615635731</v>
      </c>
      <c r="I305" s="1">
        <f>C305*$E$1867/E305</f>
        <v>9.6706057595909307</v>
      </c>
      <c r="J305" s="26">
        <f t="shared" si="23"/>
        <v>892.09773078957278</v>
      </c>
      <c r="K305" s="1">
        <f>D305*$E$1867/E305</f>
        <v>12.260484109775966</v>
      </c>
      <c r="L305" s="26">
        <f t="shared" si="21"/>
        <v>47.773649972373725</v>
      </c>
      <c r="M305" s="10">
        <f t="shared" si="19"/>
        <v>17.643699378130005</v>
      </c>
      <c r="N305" s="4">
        <f t="shared" si="20"/>
        <v>22.201842765217211</v>
      </c>
      <c r="O305" s="36">
        <f>1/M305-(G305/100-(((E305/E185)^(1/10))-1))</f>
        <v>2.6304574066016231E-3</v>
      </c>
      <c r="R305" s="30"/>
      <c r="S305" s="30"/>
    </row>
    <row r="306" spans="1:19" ht="13" x14ac:dyDescent="0.3">
      <c r="A306" s="52" t="s">
        <v>322</v>
      </c>
      <c r="B306" s="6">
        <v>4.4000000000000004</v>
      </c>
      <c r="C306" s="1">
        <v>0.18579999999999999</v>
      </c>
      <c r="D306" s="6">
        <v>0.23330000000000001</v>
      </c>
      <c r="E306" s="6">
        <v>6.3747542150000003</v>
      </c>
      <c r="F306" s="1">
        <f t="shared" si="22"/>
        <v>1896.374999999977</v>
      </c>
      <c r="G306" s="17">
        <f>G302*8/12+G314*4/12</f>
        <v>3.5333333333333332</v>
      </c>
      <c r="H306" s="1">
        <f>B306*$E$1867/E306</f>
        <v>231.31105141753298</v>
      </c>
      <c r="I306" s="1">
        <f>C306*$E$1867/E306</f>
        <v>9.7676348530403683</v>
      </c>
      <c r="J306" s="26">
        <f t="shared" si="23"/>
        <v>904.48789813266649</v>
      </c>
      <c r="K306" s="1">
        <f>D306*$E$1867/E306</f>
        <v>12.264742794479645</v>
      </c>
      <c r="L306" s="26">
        <f t="shared" si="21"/>
        <v>47.958415144170701</v>
      </c>
      <c r="M306" s="10">
        <f t="shared" si="19"/>
        <v>17.828266894232829</v>
      </c>
      <c r="N306" s="4">
        <f t="shared" si="20"/>
        <v>22.432252972027975</v>
      </c>
      <c r="O306" s="36">
        <f>1/M306-(G306/100-(((E306/E186)^(1/10))-1))</f>
        <v>3.1802127213657466E-3</v>
      </c>
      <c r="R306" s="30"/>
      <c r="S306" s="30"/>
    </row>
    <row r="307" spans="1:19" ht="13" x14ac:dyDescent="0.3">
      <c r="A307" s="52" t="s">
        <v>323</v>
      </c>
      <c r="B307" s="6">
        <v>4.32</v>
      </c>
      <c r="C307" s="1">
        <v>0.185</v>
      </c>
      <c r="D307" s="6">
        <v>0.23</v>
      </c>
      <c r="E307" s="6">
        <v>6.2796132230000001</v>
      </c>
      <c r="F307" s="1">
        <f t="shared" si="22"/>
        <v>1896.4583333333103</v>
      </c>
      <c r="G307" s="17">
        <f>G302*7/12+G314*5/12</f>
        <v>3.5166666666666666</v>
      </c>
      <c r="H307" s="1">
        <f>B307*$E$1867/E307</f>
        <v>230.54621814882435</v>
      </c>
      <c r="I307" s="1">
        <f>C307*$E$1867/E307</f>
        <v>9.8729283235028937</v>
      </c>
      <c r="J307" s="26">
        <f t="shared" si="23"/>
        <v>904.71434464133006</v>
      </c>
      <c r="K307" s="1">
        <f>D307*$E$1867/E307</f>
        <v>12.274451429219814</v>
      </c>
      <c r="L307" s="26">
        <f t="shared" si="21"/>
        <v>48.167661867478216</v>
      </c>
      <c r="M307" s="10">
        <f t="shared" si="19"/>
        <v>17.777578616430471</v>
      </c>
      <c r="N307" s="4">
        <f t="shared" si="20"/>
        <v>22.366260400602865</v>
      </c>
      <c r="O307" s="36">
        <f>1/M307-(G307/100-(((E307/E187)^(1/10))-1))</f>
        <v>3.2653672633127795E-3</v>
      </c>
      <c r="R307" s="30"/>
      <c r="S307" s="30"/>
    </row>
    <row r="308" spans="1:19" ht="13" x14ac:dyDescent="0.3">
      <c r="A308" s="52" t="s">
        <v>324</v>
      </c>
      <c r="B308" s="6">
        <v>4.04</v>
      </c>
      <c r="C308" s="1">
        <v>0.1842</v>
      </c>
      <c r="D308" s="6">
        <v>0.22670000000000001</v>
      </c>
      <c r="E308" s="6">
        <v>6.2796132230000001</v>
      </c>
      <c r="F308" s="1">
        <f t="shared" si="22"/>
        <v>1896.5416666666436</v>
      </c>
      <c r="G308" s="17">
        <f>G302*6/12+G314*6/12</f>
        <v>3.5</v>
      </c>
      <c r="H308" s="1">
        <f>B308*$E$1867/E308</f>
        <v>215.60340771325238</v>
      </c>
      <c r="I308" s="1">
        <f>C308*$E$1867/E308</f>
        <v>9.8302345794012602</v>
      </c>
      <c r="J308" s="26">
        <f t="shared" si="23"/>
        <v>849.29011980120777</v>
      </c>
      <c r="K308" s="1">
        <f>D308*$E$1867/E308</f>
        <v>12.098339734800575</v>
      </c>
      <c r="L308" s="26">
        <f t="shared" si="21"/>
        <v>47.656948059142039</v>
      </c>
      <c r="M308" s="10">
        <f t="shared" si="19"/>
        <v>16.637100103394587</v>
      </c>
      <c r="N308" s="4">
        <f t="shared" si="20"/>
        <v>20.933061531248505</v>
      </c>
      <c r="O308" s="36">
        <f>1/M308-(G308/100-(((E308/E188)^(1/10))-1))</f>
        <v>6.0532997371381611E-3</v>
      </c>
      <c r="R308" s="30"/>
      <c r="S308" s="30"/>
    </row>
    <row r="309" spans="1:19" ht="13" x14ac:dyDescent="0.3">
      <c r="A309" s="52" t="s">
        <v>325</v>
      </c>
      <c r="B309" s="6">
        <v>3.81</v>
      </c>
      <c r="C309" s="1">
        <v>0.18329999999999999</v>
      </c>
      <c r="D309" s="6">
        <v>0.2233</v>
      </c>
      <c r="E309" s="6">
        <v>6.2796132230000001</v>
      </c>
      <c r="F309" s="1">
        <f t="shared" si="22"/>
        <v>1896.6249999999768</v>
      </c>
      <c r="G309" s="17">
        <f>G302*5/12+G314*7/12</f>
        <v>3.4833333333333334</v>
      </c>
      <c r="H309" s="1">
        <f>B309*$E$1867/E309</f>
        <v>203.32895628403256</v>
      </c>
      <c r="I309" s="1">
        <f>C309*$E$1867/E309</f>
        <v>9.7822041172869216</v>
      </c>
      <c r="J309" s="26">
        <f t="shared" si="23"/>
        <v>804.15056015410028</v>
      </c>
      <c r="K309" s="1">
        <f>D309*$E$1867/E309</f>
        <v>11.916891322368629</v>
      </c>
      <c r="L309" s="26">
        <f t="shared" si="21"/>
        <v>47.130398971761316</v>
      </c>
      <c r="M309" s="10">
        <f t="shared" si="19"/>
        <v>15.703370546226873</v>
      </c>
      <c r="N309" s="4">
        <f t="shared" si="20"/>
        <v>19.764265040091683</v>
      </c>
      <c r="O309" s="36">
        <f>1/M309-(G309/100-(((E309/E189)^(1/10))-1))</f>
        <v>8.5761667136347655E-3</v>
      </c>
      <c r="R309" s="30"/>
      <c r="S309" s="30"/>
    </row>
    <row r="310" spans="1:19" ht="13" x14ac:dyDescent="0.3">
      <c r="A310" s="52" t="s">
        <v>326</v>
      </c>
      <c r="B310" s="6">
        <v>4.01</v>
      </c>
      <c r="C310" s="1">
        <v>0.1825</v>
      </c>
      <c r="D310" s="6">
        <v>0.22</v>
      </c>
      <c r="E310" s="6">
        <v>6.2796132230000001</v>
      </c>
      <c r="F310" s="1">
        <f t="shared" si="22"/>
        <v>1896.7083333333101</v>
      </c>
      <c r="G310" s="17">
        <f>G302*4/12+G314*8/12</f>
        <v>3.4666666666666668</v>
      </c>
      <c r="H310" s="1">
        <f>B310*$E$1867/E310</f>
        <v>214.00239230944109</v>
      </c>
      <c r="I310" s="1">
        <f>C310*$E$1867/E310</f>
        <v>9.7395103731852863</v>
      </c>
      <c r="J310" s="26">
        <f t="shared" si="23"/>
        <v>849.57310655825529</v>
      </c>
      <c r="K310" s="1">
        <f>D310*$E$1867/E310</f>
        <v>11.740779627949387</v>
      </c>
      <c r="L310" s="26">
        <f t="shared" si="21"/>
        <v>46.609995871026477</v>
      </c>
      <c r="M310" s="10">
        <f t="shared" si="19"/>
        <v>16.544339943032018</v>
      </c>
      <c r="N310" s="4">
        <f t="shared" si="20"/>
        <v>20.824903901677772</v>
      </c>
      <c r="O310" s="36">
        <f>1/M310-(G310/100-(((E310/E190)^(1/10))-1))</f>
        <v>5.5058693897917926E-3</v>
      </c>
      <c r="R310" s="30"/>
      <c r="S310" s="30"/>
    </row>
    <row r="311" spans="1:19" ht="13" x14ac:dyDescent="0.3">
      <c r="A311" s="52" t="s">
        <v>327</v>
      </c>
      <c r="B311" s="6">
        <v>4.0999999999999996</v>
      </c>
      <c r="C311" s="1">
        <v>0.1817</v>
      </c>
      <c r="D311" s="6">
        <v>0.2167</v>
      </c>
      <c r="E311" s="6">
        <v>6.469903306</v>
      </c>
      <c r="F311" s="1">
        <f t="shared" si="22"/>
        <v>1896.7916666666433</v>
      </c>
      <c r="G311" s="17">
        <f>G302*3/12+G314*9/12</f>
        <v>3.4499999999999997</v>
      </c>
      <c r="H311" s="1">
        <f>B311*$E$1867/E311</f>
        <v>212.37002471517306</v>
      </c>
      <c r="I311" s="1">
        <f>C311*$E$1867/E311</f>
        <v>9.4116179245724254</v>
      </c>
      <c r="J311" s="26">
        <f t="shared" si="23"/>
        <v>846.20634909429054</v>
      </c>
      <c r="K311" s="1">
        <f>D311*$E$1867/E311</f>
        <v>11.224532769701954</v>
      </c>
      <c r="L311" s="26">
        <f t="shared" si="21"/>
        <v>44.72510142652019</v>
      </c>
      <c r="M311" s="10">
        <f t="shared" si="19"/>
        <v>16.438866804725894</v>
      </c>
      <c r="N311" s="4">
        <f t="shared" si="20"/>
        <v>20.692151790835574</v>
      </c>
      <c r="O311" s="36">
        <f>1/M311-(G311/100-(((E311/E191)^(1/10))-1))</f>
        <v>8.9894799045272117E-3</v>
      </c>
      <c r="R311" s="30"/>
      <c r="S311" s="30"/>
    </row>
    <row r="312" spans="1:19" ht="13" x14ac:dyDescent="0.3">
      <c r="A312" s="52" t="s">
        <v>328</v>
      </c>
      <c r="B312" s="6">
        <v>4.38</v>
      </c>
      <c r="C312" s="1">
        <v>0.18079999999999999</v>
      </c>
      <c r="D312" s="6">
        <v>0.21329999999999999</v>
      </c>
      <c r="E312" s="6">
        <v>6.6601933879999997</v>
      </c>
      <c r="F312" s="1">
        <f t="shared" si="22"/>
        <v>1896.8749999999766</v>
      </c>
      <c r="G312" s="17">
        <f>G302*2/12+G314*10/12</f>
        <v>3.4333333333333336</v>
      </c>
      <c r="H312" s="1">
        <f>B312*$E$1867/E312</f>
        <v>220.39128738284018</v>
      </c>
      <c r="I312" s="1">
        <f>C312*$E$1867/E312</f>
        <v>9.0974303102323066</v>
      </c>
      <c r="J312" s="26">
        <f t="shared" si="23"/>
        <v>881.18853964202401</v>
      </c>
      <c r="K312" s="1">
        <f>D312*$E$1867/E312</f>
        <v>10.73275378967119</v>
      </c>
      <c r="L312" s="26">
        <f t="shared" si="21"/>
        <v>42.912674772978022</v>
      </c>
      <c r="M312" s="10">
        <f t="shared" si="19"/>
        <v>17.089425242371117</v>
      </c>
      <c r="N312" s="4">
        <f t="shared" si="20"/>
        <v>21.506675169836171</v>
      </c>
      <c r="O312" s="36">
        <f>1/M312-(G312/100-(((E312/E192)^(1/10))-1))</f>
        <v>9.6930200802203478E-3</v>
      </c>
      <c r="R312" s="30"/>
      <c r="S312" s="30"/>
    </row>
    <row r="313" spans="1:19" ht="13" x14ac:dyDescent="0.3">
      <c r="A313" s="52" t="s">
        <v>329</v>
      </c>
      <c r="B313" s="6">
        <v>4.22</v>
      </c>
      <c r="C313" s="1">
        <v>0.18</v>
      </c>
      <c r="D313" s="6">
        <v>0.21</v>
      </c>
      <c r="E313" s="6">
        <v>6.6601933879999997</v>
      </c>
      <c r="F313" s="1">
        <f t="shared" si="22"/>
        <v>1896.9583333333098</v>
      </c>
      <c r="G313" s="17">
        <f>G302*1/12+G314*11/12</f>
        <v>3.4166666666666665</v>
      </c>
      <c r="H313" s="1">
        <f>B313*$E$1867/E313</f>
        <v>212.34046409944875</v>
      </c>
      <c r="I313" s="1">
        <f>C313*$E$1867/E313</f>
        <v>9.0571761938153497</v>
      </c>
      <c r="J313" s="26">
        <f t="shared" si="23"/>
        <v>852.01677291871499</v>
      </c>
      <c r="K313" s="1">
        <f>D313*$E$1867/E313</f>
        <v>10.566705559451242</v>
      </c>
      <c r="L313" s="26">
        <f t="shared" si="21"/>
        <v>42.398938936713307</v>
      </c>
      <c r="M313" s="10">
        <f t="shared" si="19"/>
        <v>16.501404180590093</v>
      </c>
      <c r="N313" s="4">
        <f t="shared" si="20"/>
        <v>20.765764121097334</v>
      </c>
      <c r="O313" s="36">
        <f>1/M313-(G313/100-(((E313/E193)^(1/10))-1))</f>
        <v>1.0736338168094939E-2</v>
      </c>
      <c r="R313" s="30"/>
      <c r="S313" s="30"/>
    </row>
    <row r="314" spans="1:19" ht="13" x14ac:dyDescent="0.3">
      <c r="A314" s="52" t="s">
        <v>330</v>
      </c>
      <c r="B314" s="6">
        <v>4.22</v>
      </c>
      <c r="C314" s="1">
        <v>0.18</v>
      </c>
      <c r="D314" s="6">
        <v>0.21829999999999999</v>
      </c>
      <c r="E314" s="6">
        <v>6.469903306</v>
      </c>
      <c r="F314" s="1">
        <f t="shared" si="22"/>
        <v>1897.0416666666431</v>
      </c>
      <c r="G314" s="17">
        <v>3.4</v>
      </c>
      <c r="H314" s="1">
        <f>B314*$E$1867/E314</f>
        <v>218.58573275561716</v>
      </c>
      <c r="I314" s="1">
        <f>C314*$E$1867/E314</f>
        <v>9.3235620606661342</v>
      </c>
      <c r="J314" s="26">
        <f t="shared" si="23"/>
        <v>880.19350131603949</v>
      </c>
      <c r="K314" s="1">
        <f>D314*$E$1867/E314</f>
        <v>11.307408876907873</v>
      </c>
      <c r="L314" s="26">
        <f t="shared" si="21"/>
        <v>45.532284677083275</v>
      </c>
      <c r="M314" s="10">
        <f t="shared" ref="M314:M349" si="24">H314/AVERAGE(K194:K313)</f>
        <v>17.026521282380557</v>
      </c>
      <c r="N314" s="4">
        <f t="shared" ref="N314:N349" si="25">J314/AVERAGE(L194:L313)</f>
        <v>21.425908946193221</v>
      </c>
      <c r="O314" s="36">
        <f>1/M314-(G314/100-(((E314/E194)^(1/10))-1))</f>
        <v>3.8227047514217821E-3</v>
      </c>
      <c r="R314" s="30"/>
      <c r="S314" s="30"/>
    </row>
    <row r="315" spans="1:19" ht="13" x14ac:dyDescent="0.3">
      <c r="A315" s="52" t="s">
        <v>331</v>
      </c>
      <c r="B315" s="6">
        <v>4.18</v>
      </c>
      <c r="C315" s="1">
        <v>0.18</v>
      </c>
      <c r="D315" s="6">
        <v>0.22670000000000001</v>
      </c>
      <c r="E315" s="6">
        <v>6.469903306</v>
      </c>
      <c r="F315" s="1">
        <f t="shared" si="22"/>
        <v>1897.1249999999764</v>
      </c>
      <c r="G315" s="17">
        <f>G314*11/12+G326*1/12</f>
        <v>3.3958333333333335</v>
      </c>
      <c r="H315" s="1">
        <f>B315*$E$1867/E315</f>
        <v>216.51383007546914</v>
      </c>
      <c r="I315" s="1">
        <f>C315*$E$1867/E315</f>
        <v>9.3235620606661342</v>
      </c>
      <c r="J315" s="26">
        <f t="shared" si="23"/>
        <v>874.97908483904871</v>
      </c>
      <c r="K315" s="1">
        <f>D315*$E$1867/E315</f>
        <v>11.742508439738961</v>
      </c>
      <c r="L315" s="26">
        <f t="shared" si="21"/>
        <v>47.454009218424005</v>
      </c>
      <c r="M315" s="10">
        <f t="shared" si="24"/>
        <v>16.894025883254098</v>
      </c>
      <c r="N315" s="4">
        <f t="shared" si="25"/>
        <v>21.257060362377882</v>
      </c>
      <c r="O315" s="36">
        <f>1/M315-(G315/100-(((E315/E195)^(1/10))-1))</f>
        <v>3.1669328023881463E-3</v>
      </c>
      <c r="R315" s="30"/>
      <c r="S315" s="30"/>
    </row>
    <row r="316" spans="1:19" ht="13" x14ac:dyDescent="0.3">
      <c r="A316" s="52" t="s">
        <v>332</v>
      </c>
      <c r="B316" s="6">
        <v>4.1900000000000004</v>
      </c>
      <c r="C316" s="1">
        <v>0.18</v>
      </c>
      <c r="D316" s="6">
        <v>0.23499999999999999</v>
      </c>
      <c r="E316" s="6">
        <v>6.469903306</v>
      </c>
      <c r="F316" s="1">
        <f t="shared" si="22"/>
        <v>1897.2083333333096</v>
      </c>
      <c r="G316" s="17">
        <f>G314*10/12+G326*2/12</f>
        <v>3.3916666666666666</v>
      </c>
      <c r="H316" s="1">
        <f>B316*$E$1867/E316</f>
        <v>217.03180574550615</v>
      </c>
      <c r="I316" s="1">
        <f>C316*$E$1867/E316</f>
        <v>9.3235620606661342</v>
      </c>
      <c r="J316" s="26">
        <f t="shared" si="23"/>
        <v>880.21221333688982</v>
      </c>
      <c r="K316" s="1">
        <f>D316*$E$1867/E316</f>
        <v>12.172428245869675</v>
      </c>
      <c r="L316" s="26">
        <f t="shared" si="21"/>
        <v>49.367510771878059</v>
      </c>
      <c r="M316" s="10">
        <f t="shared" si="24"/>
        <v>16.958030716721041</v>
      </c>
      <c r="N316" s="4">
        <f t="shared" si="25"/>
        <v>21.33376024719599</v>
      </c>
      <c r="O316" s="36">
        <f>1/M316-(G316/100-(((E316/E196)^(1/10))-1))</f>
        <v>2.9851886508370645E-3</v>
      </c>
      <c r="R316" s="30"/>
      <c r="S316" s="30"/>
    </row>
    <row r="317" spans="1:19" ht="13" x14ac:dyDescent="0.3">
      <c r="A317" s="52" t="s">
        <v>333</v>
      </c>
      <c r="B317" s="6">
        <v>4.0599999999999996</v>
      </c>
      <c r="C317" s="1">
        <v>0.18</v>
      </c>
      <c r="D317" s="6">
        <v>0.24329999999999999</v>
      </c>
      <c r="E317" s="6">
        <v>6.3747542150000003</v>
      </c>
      <c r="F317" s="1">
        <f t="shared" si="22"/>
        <v>1897.2916666666429</v>
      </c>
      <c r="G317" s="17">
        <f>G314*9/12+G326*3/12</f>
        <v>3.3874999999999997</v>
      </c>
      <c r="H317" s="1">
        <f>B317*$E$1867/E317</f>
        <v>213.43701562617812</v>
      </c>
      <c r="I317" s="1">
        <f>C317*$E$1867/E317</f>
        <v>9.4627248307172565</v>
      </c>
      <c r="J317" s="26">
        <f t="shared" si="23"/>
        <v>868.83103507297767</v>
      </c>
      <c r="K317" s="1">
        <f>D317*$E$1867/E317</f>
        <v>12.790449729519493</v>
      </c>
      <c r="L317" s="26">
        <f t="shared" si="21"/>
        <v>52.065662766811698</v>
      </c>
      <c r="M317" s="10">
        <f t="shared" si="24"/>
        <v>16.69685743473466</v>
      </c>
      <c r="N317" s="4">
        <f t="shared" si="25"/>
        <v>21.001906820502271</v>
      </c>
      <c r="O317" s="36">
        <f>1/M317-(G317/100-(((E317/E197)^(1/10))-1))</f>
        <v>2.5014578482112013E-3</v>
      </c>
      <c r="R317" s="30"/>
      <c r="S317" s="30"/>
    </row>
    <row r="318" spans="1:19" ht="13" x14ac:dyDescent="0.3">
      <c r="A318" s="52" t="s">
        <v>334</v>
      </c>
      <c r="B318" s="6">
        <v>4.08</v>
      </c>
      <c r="C318" s="1">
        <v>0.18</v>
      </c>
      <c r="D318" s="6">
        <v>0.25169999999999998</v>
      </c>
      <c r="E318" s="6">
        <v>6.2796132230000001</v>
      </c>
      <c r="F318" s="1">
        <f t="shared" si="22"/>
        <v>1897.3749999999761</v>
      </c>
      <c r="G318" s="17">
        <f>G314*8/12+G326*4/12</f>
        <v>3.3833333333333333</v>
      </c>
      <c r="H318" s="1">
        <f>B318*$E$1867/E318</f>
        <v>217.73809491833413</v>
      </c>
      <c r="I318" s="1">
        <f>C318*$E$1867/E318</f>
        <v>9.6060924228676807</v>
      </c>
      <c r="J318" s="26">
        <f t="shared" si="23"/>
        <v>889.59789735111474</v>
      </c>
      <c r="K318" s="1">
        <f>D318*$E$1867/E318</f>
        <v>13.432519237976638</v>
      </c>
      <c r="L318" s="26">
        <f t="shared" si="21"/>
        <v>54.880340873351848</v>
      </c>
      <c r="M318" s="10">
        <f t="shared" si="24"/>
        <v>17.04775512922939</v>
      </c>
      <c r="N318" s="4">
        <f t="shared" si="25"/>
        <v>21.436906305372041</v>
      </c>
      <c r="O318" s="36">
        <f>1/M318-(G318/100-(((E318/E198)^(1/10))-1))</f>
        <v>-1.5688683077026699E-4</v>
      </c>
      <c r="R318" s="30"/>
      <c r="S318" s="30"/>
    </row>
    <row r="319" spans="1:19" ht="13" x14ac:dyDescent="0.3">
      <c r="A319" s="52" t="s">
        <v>335</v>
      </c>
      <c r="B319" s="6">
        <v>4.2699999999999996</v>
      </c>
      <c r="C319" s="1">
        <v>0.18</v>
      </c>
      <c r="D319" s="6">
        <v>0.26</v>
      </c>
      <c r="E319" s="6">
        <v>6.2796132230000001</v>
      </c>
      <c r="F319" s="1">
        <f t="shared" si="22"/>
        <v>1897.4583333333094</v>
      </c>
      <c r="G319" s="17">
        <f>G314*7/12+G326*5/12</f>
        <v>3.3791666666666664</v>
      </c>
      <c r="H319" s="1">
        <f>B319*$E$1867/E319</f>
        <v>227.87785914247218</v>
      </c>
      <c r="I319" s="1">
        <f>C319*$E$1867/E319</f>
        <v>9.6060924228676807</v>
      </c>
      <c r="J319" s="26">
        <f t="shared" si="23"/>
        <v>934.29583091900145</v>
      </c>
      <c r="K319" s="1">
        <f>D319*$E$1867/E319</f>
        <v>13.875466833031094</v>
      </c>
      <c r="L319" s="26">
        <f t="shared" si="21"/>
        <v>56.889207503264736</v>
      </c>
      <c r="M319" s="10">
        <f t="shared" si="24"/>
        <v>17.850497280690611</v>
      </c>
      <c r="N319" s="4">
        <f t="shared" si="25"/>
        <v>22.433196984133875</v>
      </c>
      <c r="O319" s="36">
        <f>1/M319-(G319/100-(((E319/E199)^(1/10))-1))</f>
        <v>-1.5985160058095693E-3</v>
      </c>
      <c r="R319" s="30"/>
      <c r="S319" s="30"/>
    </row>
    <row r="320" spans="1:19" ht="13" x14ac:dyDescent="0.3">
      <c r="A320" s="52" t="s">
        <v>336</v>
      </c>
      <c r="B320" s="6">
        <v>4.46</v>
      </c>
      <c r="C320" s="1">
        <v>0.18</v>
      </c>
      <c r="D320" s="6">
        <v>0.26829999999999998</v>
      </c>
      <c r="E320" s="6">
        <v>6.2796132230000001</v>
      </c>
      <c r="F320" s="1">
        <f t="shared" si="22"/>
        <v>1897.5416666666426</v>
      </c>
      <c r="G320" s="17">
        <f>G314*6/12+G326*6/12</f>
        <v>3.375</v>
      </c>
      <c r="H320" s="1">
        <f>B320*$E$1867/E320</f>
        <v>238.01762336661034</v>
      </c>
      <c r="I320" s="1">
        <f>C320*$E$1867/E320</f>
        <v>9.6060924228676807</v>
      </c>
      <c r="J320" s="26">
        <f t="shared" si="23"/>
        <v>979.15078298888341</v>
      </c>
      <c r="K320" s="1">
        <f>D320*$E$1867/E320</f>
        <v>14.318414428085548</v>
      </c>
      <c r="L320" s="26">
        <f t="shared" si="21"/>
        <v>58.902725353344699</v>
      </c>
      <c r="M320" s="10">
        <f t="shared" si="24"/>
        <v>18.651975755820288</v>
      </c>
      <c r="N320" s="4">
        <f t="shared" si="25"/>
        <v>23.420666317964173</v>
      </c>
      <c r="O320" s="36">
        <f>1/M320-(G320/100-(((E320/E200)^(1/10))-1))</f>
        <v>-2.7943487692444341E-3</v>
      </c>
      <c r="R320" s="30"/>
      <c r="S320" s="30"/>
    </row>
    <row r="321" spans="1:19" ht="13" x14ac:dyDescent="0.3">
      <c r="A321" s="52" t="s">
        <v>337</v>
      </c>
      <c r="B321" s="6">
        <v>4.75</v>
      </c>
      <c r="C321" s="1">
        <v>0.18</v>
      </c>
      <c r="D321" s="6">
        <v>0.2767</v>
      </c>
      <c r="E321" s="6">
        <v>6.5650523969999997</v>
      </c>
      <c r="F321" s="1">
        <f t="shared" si="22"/>
        <v>1897.6249999999759</v>
      </c>
      <c r="G321" s="17">
        <f>G314*5/12+G326*7/12</f>
        <v>3.3708333333333336</v>
      </c>
      <c r="H321" s="1">
        <f>B321*$E$1867/E321</f>
        <v>242.47254115251505</v>
      </c>
      <c r="I321" s="1">
        <f>C321*$E$1867/E321</f>
        <v>9.1884331384110958</v>
      </c>
      <c r="J321" s="26">
        <f t="shared" si="23"/>
        <v>1000.6272376497185</v>
      </c>
      <c r="K321" s="1">
        <f>D321*$E$1867/E321</f>
        <v>14.124663607768614</v>
      </c>
      <c r="L321" s="26">
        <f t="shared" si="21"/>
        <v>58.289169822668867</v>
      </c>
      <c r="M321" s="10">
        <f t="shared" si="24"/>
        <v>19.006396010519442</v>
      </c>
      <c r="N321" s="4">
        <f t="shared" si="25"/>
        <v>23.838146387477529</v>
      </c>
      <c r="O321" s="36">
        <f>1/M321-(G321/100-(((E321/E201)^(1/10))-1))</f>
        <v>-5.7321390204542744E-4</v>
      </c>
      <c r="R321" s="30"/>
      <c r="S321" s="30"/>
    </row>
    <row r="322" spans="1:19" ht="13" x14ac:dyDescent="0.3">
      <c r="A322" s="52" t="s">
        <v>338</v>
      </c>
      <c r="B322" s="6">
        <v>4.9800000000000004</v>
      </c>
      <c r="C322" s="1">
        <v>0.18</v>
      </c>
      <c r="D322" s="6">
        <v>0.28499999999999998</v>
      </c>
      <c r="E322" s="6">
        <v>6.7553424790000003</v>
      </c>
      <c r="F322" s="1">
        <f t="shared" si="22"/>
        <v>1897.7083333333092</v>
      </c>
      <c r="G322" s="17">
        <f>G314*4/12+G326*8/12</f>
        <v>3.3666666666666667</v>
      </c>
      <c r="H322" s="1">
        <f>B322*$E$1867/E322</f>
        <v>247.0524255710352</v>
      </c>
      <c r="I322" s="1">
        <f>C322*$E$1867/E322</f>
        <v>8.9296057435313934</v>
      </c>
      <c r="J322" s="26">
        <f t="shared" si="23"/>
        <v>1022.5982106507898</v>
      </c>
      <c r="K322" s="1">
        <f>D322*$E$1867/E322</f>
        <v>14.138542427258038</v>
      </c>
      <c r="L322" s="26">
        <f t="shared" si="21"/>
        <v>58.522186754111459</v>
      </c>
      <c r="M322" s="10">
        <f t="shared" si="24"/>
        <v>19.372370293397797</v>
      </c>
      <c r="N322" s="4">
        <f t="shared" si="25"/>
        <v>24.266748911108202</v>
      </c>
      <c r="O322" s="36">
        <f>1/M322-(G322/100-(((E322/E202)^(1/10))-1))</f>
        <v>2.4584612230911032E-3</v>
      </c>
      <c r="R322" s="30"/>
      <c r="S322" s="30"/>
    </row>
    <row r="323" spans="1:19" ht="13" x14ac:dyDescent="0.3">
      <c r="A323" s="52" t="s">
        <v>339</v>
      </c>
      <c r="B323" s="6">
        <v>4.82</v>
      </c>
      <c r="C323" s="1">
        <v>0.18</v>
      </c>
      <c r="D323" s="6">
        <v>0.29330000000000001</v>
      </c>
      <c r="E323" s="6">
        <v>6.6601933879999997</v>
      </c>
      <c r="F323" s="1">
        <f t="shared" si="22"/>
        <v>1897.7916666666424</v>
      </c>
      <c r="G323" s="17">
        <f>G314*3/12+G326*9/12</f>
        <v>3.3625000000000003</v>
      </c>
      <c r="H323" s="1">
        <f>B323*$E$1867/E323</f>
        <v>242.53105141216662</v>
      </c>
      <c r="I323" s="1">
        <f>C323*$E$1867/E323</f>
        <v>9.0571761938153497</v>
      </c>
      <c r="J323" s="26">
        <f t="shared" si="23"/>
        <v>1007.0074788394068</v>
      </c>
      <c r="K323" s="1">
        <f>D323*$E$1867/E323</f>
        <v>14.758165431366903</v>
      </c>
      <c r="L323" s="26">
        <f t="shared" ref="L323:L386" si="26">K323*(J323/H323)</f>
        <v>61.277031855518267</v>
      </c>
      <c r="M323" s="10">
        <f t="shared" si="24"/>
        <v>19.028031223902421</v>
      </c>
      <c r="N323" s="4">
        <f t="shared" si="25"/>
        <v>23.807217097742299</v>
      </c>
      <c r="O323" s="36">
        <f>1/M323-(G323/100-(((E323/E203)^(1/10))-1))</f>
        <v>8.6208907337634311E-4</v>
      </c>
      <c r="R323" s="30"/>
      <c r="S323" s="30"/>
    </row>
    <row r="324" spans="1:19" ht="13" x14ac:dyDescent="0.3">
      <c r="A324" s="52" t="s">
        <v>340</v>
      </c>
      <c r="B324" s="6">
        <v>4.6500000000000004</v>
      </c>
      <c r="C324" s="1">
        <v>0.18</v>
      </c>
      <c r="D324" s="6">
        <v>0.30170000000000002</v>
      </c>
      <c r="E324" s="6">
        <v>6.6601933879999997</v>
      </c>
      <c r="F324" s="1">
        <f t="shared" ref="F324:F387" si="27">F323+1/12</f>
        <v>1897.8749999999757</v>
      </c>
      <c r="G324" s="17">
        <f>G314*2/12+G326*10/12</f>
        <v>3.3583333333333334</v>
      </c>
      <c r="H324" s="1">
        <f>B324*$E$1867/E324</f>
        <v>233.97705167356324</v>
      </c>
      <c r="I324" s="1">
        <f>C324*$E$1867/E324</f>
        <v>9.0571761938153497</v>
      </c>
      <c r="J324" s="26">
        <f t="shared" ref="J324:J387" si="28">J323*((H324+(I324/12))/H323)</f>
        <v>974.62445825432212</v>
      </c>
      <c r="K324" s="1">
        <f>D324*$E$1867/E324</f>
        <v>15.180833653744953</v>
      </c>
      <c r="L324" s="26">
        <f t="shared" si="26"/>
        <v>63.235311624801938</v>
      </c>
      <c r="M324" s="10">
        <f t="shared" si="24"/>
        <v>18.358448098050225</v>
      </c>
      <c r="N324" s="4">
        <f t="shared" si="25"/>
        <v>22.943021658320244</v>
      </c>
      <c r="O324" s="36">
        <f>1/M324-(G324/100-(((E324/E204)^(1/10))-1))</f>
        <v>1.6591271266084215E-3</v>
      </c>
      <c r="R324" s="30"/>
      <c r="S324" s="30"/>
    </row>
    <row r="325" spans="1:19" ht="13" x14ac:dyDescent="0.3">
      <c r="A325" s="52" t="s">
        <v>341</v>
      </c>
      <c r="B325" s="6">
        <v>4.75</v>
      </c>
      <c r="C325" s="1">
        <v>0.18</v>
      </c>
      <c r="D325" s="6">
        <v>0.31</v>
      </c>
      <c r="E325" s="6">
        <v>6.6601933879999997</v>
      </c>
      <c r="F325" s="1">
        <f t="shared" si="27"/>
        <v>1897.9583333333089</v>
      </c>
      <c r="G325" s="17">
        <f>G314*1/12+G326*11/12</f>
        <v>3.3541666666666665</v>
      </c>
      <c r="H325" s="1">
        <f>B325*$E$1867/E325</f>
        <v>239.00881622568286</v>
      </c>
      <c r="I325" s="1">
        <f>C325*$E$1867/E325</f>
        <v>9.0571761938153497</v>
      </c>
      <c r="J325" s="26">
        <f t="shared" si="28"/>
        <v>998.7280738885687</v>
      </c>
      <c r="K325" s="1">
        <f>D325*$E$1867/E325</f>
        <v>15.598470111570879</v>
      </c>
      <c r="L325" s="26">
        <f t="shared" si="26"/>
        <v>65.180147980096052</v>
      </c>
      <c r="M325" s="10">
        <f t="shared" si="24"/>
        <v>18.748757662525502</v>
      </c>
      <c r="N325" s="4">
        <f t="shared" si="25"/>
        <v>23.401121903654282</v>
      </c>
      <c r="O325" s="36">
        <f>1/M325-(G325/100-(((E325/E205)^(1/10))-1))</f>
        <v>-1.7115718291626711E-3</v>
      </c>
      <c r="R325" s="30"/>
      <c r="S325" s="30"/>
    </row>
    <row r="326" spans="1:19" ht="13" x14ac:dyDescent="0.3">
      <c r="A326" s="52" t="s">
        <v>342</v>
      </c>
      <c r="B326" s="6">
        <v>4.88</v>
      </c>
      <c r="C326" s="1">
        <v>0.1817</v>
      </c>
      <c r="D326" s="6">
        <v>0.31330000000000002</v>
      </c>
      <c r="E326" s="6">
        <v>6.6601933879999997</v>
      </c>
      <c r="F326" s="1">
        <f t="shared" si="27"/>
        <v>1898.0416666666422</v>
      </c>
      <c r="G326" s="17">
        <v>3.35</v>
      </c>
      <c r="H326" s="1">
        <f>B326*$E$1867/E326</f>
        <v>245.55011014343839</v>
      </c>
      <c r="I326" s="1">
        <f>C326*$E$1867/E326</f>
        <v>9.1427161912013837</v>
      </c>
      <c r="J326" s="26">
        <f t="shared" si="28"/>
        <v>1029.245349086669</v>
      </c>
      <c r="K326" s="1">
        <f>D326*$E$1867/E326</f>
        <v>15.764518341790831</v>
      </c>
      <c r="L326" s="26">
        <f t="shared" si="26"/>
        <v>66.078395055092912</v>
      </c>
      <c r="M326" s="10">
        <f t="shared" si="24"/>
        <v>19.249000021813753</v>
      </c>
      <c r="N326" s="4">
        <f t="shared" si="25"/>
        <v>23.993240200753736</v>
      </c>
      <c r="O326" s="36">
        <f>1/M326-(G326/100-(((E326/E206)^(1/10))-1))</f>
        <v>-4.1739014245349218E-3</v>
      </c>
      <c r="R326" s="30"/>
      <c r="S326" s="30"/>
    </row>
    <row r="327" spans="1:19" ht="13" x14ac:dyDescent="0.3">
      <c r="A327" s="52" t="s">
        <v>343</v>
      </c>
      <c r="B327" s="6">
        <v>4.87</v>
      </c>
      <c r="C327" s="1">
        <v>0.18329999999999999</v>
      </c>
      <c r="D327" s="6">
        <v>0.31669999999999998</v>
      </c>
      <c r="E327" s="6">
        <v>6.7553424790000003</v>
      </c>
      <c r="F327" s="1">
        <f t="shared" si="27"/>
        <v>1898.1249999999754</v>
      </c>
      <c r="G327" s="17">
        <f>G326*11/12+G338*1/12</f>
        <v>3.3291666666666666</v>
      </c>
      <c r="H327" s="1">
        <f>B327*$E$1867/E327</f>
        <v>241.5954442833216</v>
      </c>
      <c r="I327" s="1">
        <f>C327*$E$1867/E327</f>
        <v>9.0933151821628009</v>
      </c>
      <c r="J327" s="26">
        <f t="shared" si="28"/>
        <v>1015.8452991123077</v>
      </c>
      <c r="K327" s="1">
        <f>D327*$E$1867/E327</f>
        <v>15.71114521653551</v>
      </c>
      <c r="L327" s="26">
        <f t="shared" si="26"/>
        <v>66.061233311882503</v>
      </c>
      <c r="M327" s="10">
        <f t="shared" si="24"/>
        <v>18.91813188800214</v>
      </c>
      <c r="N327" s="4">
        <f t="shared" si="25"/>
        <v>23.551290011325072</v>
      </c>
      <c r="O327" s="36">
        <f>1/M327-(G327/100-(((E327/E207)^(1/10))-1))</f>
        <v>-5.501052134226983E-4</v>
      </c>
      <c r="R327" s="30"/>
      <c r="S327" s="30"/>
    </row>
    <row r="328" spans="1:19" ht="13" x14ac:dyDescent="0.3">
      <c r="A328" s="52" t="s">
        <v>344</v>
      </c>
      <c r="B328" s="6">
        <v>4.6500000000000004</v>
      </c>
      <c r="C328" s="1">
        <v>0.185</v>
      </c>
      <c r="D328" s="6">
        <v>0.32</v>
      </c>
      <c r="E328" s="6">
        <v>6.7553424790000003</v>
      </c>
      <c r="F328" s="1">
        <f t="shared" si="27"/>
        <v>1898.2083333333087</v>
      </c>
      <c r="G328" s="17">
        <f>G326*10/12+G338*2/12</f>
        <v>3.3083333333333331</v>
      </c>
      <c r="H328" s="1">
        <f>B328*$E$1867/E328</f>
        <v>230.68148170789433</v>
      </c>
      <c r="I328" s="1">
        <f>C328*$E$1867/E328</f>
        <v>9.1776503475183766</v>
      </c>
      <c r="J328" s="26">
        <f t="shared" si="28"/>
        <v>973.17075754282246</v>
      </c>
      <c r="K328" s="1">
        <f>D328*$E$1867/E328</f>
        <v>15.874854655166921</v>
      </c>
      <c r="L328" s="26">
        <f t="shared" si="26"/>
        <v>66.970890841656598</v>
      </c>
      <c r="M328" s="10">
        <f t="shared" si="24"/>
        <v>18.042174923468682</v>
      </c>
      <c r="N328" s="4">
        <f t="shared" si="25"/>
        <v>22.437784146714669</v>
      </c>
      <c r="O328" s="36">
        <f>1/M328-(G328/100-(((E328/E208)^(1/10))-1))</f>
        <v>2.2245766228676245E-3</v>
      </c>
      <c r="R328" s="30"/>
      <c r="S328" s="30"/>
    </row>
    <row r="329" spans="1:19" ht="13" x14ac:dyDescent="0.3">
      <c r="A329" s="52" t="s">
        <v>345</v>
      </c>
      <c r="B329" s="6">
        <v>4.57</v>
      </c>
      <c r="C329" s="1">
        <v>0.1867</v>
      </c>
      <c r="D329" s="6">
        <v>0.32329999999999998</v>
      </c>
      <c r="E329" s="6">
        <v>6.7553424790000003</v>
      </c>
      <c r="F329" s="1">
        <f t="shared" si="27"/>
        <v>1898.291666666642</v>
      </c>
      <c r="G329" s="17">
        <f>G326*9/12+G338*3/12</f>
        <v>3.2875000000000001</v>
      </c>
      <c r="H329" s="1">
        <f>B329*$E$1867/E329</f>
        <v>226.71276804410257</v>
      </c>
      <c r="I329" s="1">
        <f>C329*$E$1867/E329</f>
        <v>9.2619855128739506</v>
      </c>
      <c r="J329" s="26">
        <f t="shared" si="28"/>
        <v>959.68414559286055</v>
      </c>
      <c r="K329" s="1">
        <f>D329*$E$1867/E329</f>
        <v>16.038564093798328</v>
      </c>
      <c r="L329" s="26">
        <f t="shared" si="26"/>
        <v>67.891878396098861</v>
      </c>
      <c r="M329" s="10">
        <f t="shared" si="24"/>
        <v>17.705089426411778</v>
      </c>
      <c r="N329" s="4">
        <f t="shared" si="25"/>
        <v>21.998739622916379</v>
      </c>
      <c r="O329" s="36">
        <f>1/M329-(G329/100-(((E329/E209)^(1/10))-1))</f>
        <v>4.6218682354494112E-3</v>
      </c>
      <c r="R329" s="30"/>
      <c r="S329" s="30"/>
    </row>
    <row r="330" spans="1:19" ht="13" x14ac:dyDescent="0.3">
      <c r="A330" s="52" t="s">
        <v>346</v>
      </c>
      <c r="B330" s="6">
        <v>4.87</v>
      </c>
      <c r="C330" s="1">
        <v>0.1883</v>
      </c>
      <c r="D330" s="6">
        <v>0.32669999999999999</v>
      </c>
      <c r="E330" s="6">
        <v>7.2310717359999996</v>
      </c>
      <c r="F330" s="1">
        <f t="shared" si="27"/>
        <v>1898.3749999999752</v>
      </c>
      <c r="G330" s="17">
        <f>G326*8/12+G338*4/12</f>
        <v>3.2666666666666666</v>
      </c>
      <c r="H330" s="1">
        <f>B330*$E$1867/E330</f>
        <v>225.70097864950847</v>
      </c>
      <c r="I330" s="1">
        <f>C330*$E$1867/E330</f>
        <v>8.7267955399799675</v>
      </c>
      <c r="J330" s="26">
        <f t="shared" si="28"/>
        <v>958.47960691793514</v>
      </c>
      <c r="K330" s="1">
        <f>D330*$E$1867/E330</f>
        <v>15.140967089280165</v>
      </c>
      <c r="L330" s="26">
        <f t="shared" si="26"/>
        <v>64.298827018498841</v>
      </c>
      <c r="M330" s="10">
        <f t="shared" si="24"/>
        <v>17.595635274512819</v>
      </c>
      <c r="N330" s="4">
        <f t="shared" si="25"/>
        <v>21.83940261325726</v>
      </c>
      <c r="O330" s="36">
        <f>1/M330-(G330/100-(((E330/E210)^(1/10))-1))</f>
        <v>1.3036233662140261E-2</v>
      </c>
      <c r="R330" s="30"/>
      <c r="S330" s="30"/>
    </row>
    <row r="331" spans="1:19" ht="13" x14ac:dyDescent="0.3">
      <c r="A331" s="52" t="s">
        <v>347</v>
      </c>
      <c r="B331" s="6">
        <v>5.0599999999999996</v>
      </c>
      <c r="C331" s="1">
        <v>0.19</v>
      </c>
      <c r="D331" s="6">
        <v>0.33</v>
      </c>
      <c r="E331" s="6">
        <v>6.7553424790000003</v>
      </c>
      <c r="F331" s="1">
        <f t="shared" si="27"/>
        <v>1898.4583333333085</v>
      </c>
      <c r="G331" s="17">
        <f>G326*7/12+G338*5/12</f>
        <v>3.2458333333333336</v>
      </c>
      <c r="H331" s="1">
        <f>B331*$E$1867/E331</f>
        <v>251.02113923482693</v>
      </c>
      <c r="I331" s="1">
        <f>C331*$E$1867/E331</f>
        <v>9.4256949515053599</v>
      </c>
      <c r="J331" s="26">
        <f t="shared" si="28"/>
        <v>1069.3418596234285</v>
      </c>
      <c r="K331" s="1">
        <f>D331*$E$1867/E331</f>
        <v>16.370943863140887</v>
      </c>
      <c r="L331" s="26">
        <f t="shared" si="26"/>
        <v>69.739686497180131</v>
      </c>
      <c r="M331" s="10">
        <f t="shared" si="24"/>
        <v>19.544817480547994</v>
      </c>
      <c r="N331" s="4">
        <f t="shared" si="25"/>
        <v>24.23494684379779</v>
      </c>
      <c r="O331" s="36">
        <f>1/M331-(G331/100-(((E331/E211)^(1/10))-1))</f>
        <v>2.033044597252974E-3</v>
      </c>
      <c r="R331" s="30"/>
      <c r="S331" s="30"/>
    </row>
    <row r="332" spans="1:19" ht="13" x14ac:dyDescent="0.3">
      <c r="A332" s="52" t="s">
        <v>348</v>
      </c>
      <c r="B332" s="6">
        <v>5.08</v>
      </c>
      <c r="C332" s="1">
        <v>0.19170000000000001</v>
      </c>
      <c r="D332" s="6">
        <v>0.33329999999999999</v>
      </c>
      <c r="E332" s="6">
        <v>6.6601933879999997</v>
      </c>
      <c r="F332" s="1">
        <f t="shared" si="27"/>
        <v>1898.5416666666417</v>
      </c>
      <c r="G332" s="17">
        <f>G326*6/12+G338*6/12</f>
        <v>3.2250000000000001</v>
      </c>
      <c r="H332" s="1">
        <f>B332*$E$1867/E332</f>
        <v>255.61363924767764</v>
      </c>
      <c r="I332" s="1">
        <f>C332*$E$1867/E332</f>
        <v>9.6458926464133476</v>
      </c>
      <c r="J332" s="26">
        <f t="shared" si="28"/>
        <v>1092.3300254276016</v>
      </c>
      <c r="K332" s="1">
        <f>D332*$E$1867/E332</f>
        <v>16.770871252214757</v>
      </c>
      <c r="L332" s="26">
        <f t="shared" si="26"/>
        <v>71.668030999019621</v>
      </c>
      <c r="M332" s="10">
        <f t="shared" si="24"/>
        <v>19.858943014167309</v>
      </c>
      <c r="N332" s="4">
        <f t="shared" si="25"/>
        <v>24.597156500082139</v>
      </c>
      <c r="O332" s="36">
        <f>1/M332-(G332/100-(((E332/E212)^(1/10))-1))</f>
        <v>-1.1232274275904328E-3</v>
      </c>
      <c r="R332" s="30"/>
      <c r="S332" s="30"/>
    </row>
    <row r="333" spans="1:19" ht="13" x14ac:dyDescent="0.3">
      <c r="A333" s="52" t="s">
        <v>349</v>
      </c>
      <c r="B333" s="6">
        <v>5.27</v>
      </c>
      <c r="C333" s="1">
        <v>0.1933</v>
      </c>
      <c r="D333" s="6">
        <v>0.3367</v>
      </c>
      <c r="E333" s="6">
        <v>6.6601933879999997</v>
      </c>
      <c r="F333" s="1">
        <f t="shared" si="27"/>
        <v>1898.624999999975</v>
      </c>
      <c r="G333" s="17">
        <f>G326*5/12+G338*7/12</f>
        <v>3.2041666666666666</v>
      </c>
      <c r="H333" s="1">
        <f>B333*$E$1867/E333</f>
        <v>265.17399189670493</v>
      </c>
      <c r="I333" s="1">
        <f>C333*$E$1867/E333</f>
        <v>9.7264008792472616</v>
      </c>
      <c r="J333" s="26">
        <f t="shared" si="28"/>
        <v>1136.6485925517829</v>
      </c>
      <c r="K333" s="1">
        <f>D333*$E$1867/E333</f>
        <v>16.941951246986822</v>
      </c>
      <c r="L333" s="26">
        <f t="shared" si="26"/>
        <v>72.620413873279944</v>
      </c>
      <c r="M333" s="10">
        <f t="shared" si="24"/>
        <v>20.544915179153282</v>
      </c>
      <c r="N333" s="4">
        <f t="shared" si="25"/>
        <v>25.417053562570153</v>
      </c>
      <c r="O333" s="36">
        <f>1/M333-(G333/100-(((E333/E213)^(1/10))-1))</f>
        <v>-2.5961971848833532E-3</v>
      </c>
      <c r="R333" s="30"/>
      <c r="S333" s="30"/>
    </row>
    <row r="334" spans="1:19" ht="13" x14ac:dyDescent="0.3">
      <c r="A334" s="52" t="s">
        <v>350</v>
      </c>
      <c r="B334" s="6">
        <v>5.26</v>
      </c>
      <c r="C334" s="1">
        <v>0.19500000000000001</v>
      </c>
      <c r="D334" s="6">
        <v>0.34</v>
      </c>
      <c r="E334" s="6">
        <v>6.6601933879999997</v>
      </c>
      <c r="F334" s="1">
        <f t="shared" si="27"/>
        <v>1898.7083333333082</v>
      </c>
      <c r="G334" s="17">
        <f>G326*4/12+G338*8/12</f>
        <v>3.1833333333333336</v>
      </c>
      <c r="H334" s="1">
        <f>B334*$E$1867/E334</f>
        <v>264.670815441493</v>
      </c>
      <c r="I334" s="1">
        <f>C334*$E$1867/E334</f>
        <v>9.8119408766332956</v>
      </c>
      <c r="J334" s="26">
        <f t="shared" si="28"/>
        <v>1137.9966103323236</v>
      </c>
      <c r="K334" s="1">
        <f>D334*$E$1867/E334</f>
        <v>17.107999477206775</v>
      </c>
      <c r="L334" s="26">
        <f t="shared" si="26"/>
        <v>73.558716257222457</v>
      </c>
      <c r="M334" s="10">
        <f t="shared" si="24"/>
        <v>20.442732862691305</v>
      </c>
      <c r="N334" s="4">
        <f t="shared" si="25"/>
        <v>25.263043091810577</v>
      </c>
      <c r="O334" s="36">
        <f>1/M334-(G334/100-(((E334/E214)^(1/10))-1))</f>
        <v>-2.1445692694496699E-3</v>
      </c>
      <c r="R334" s="30"/>
      <c r="S334" s="30"/>
    </row>
    <row r="335" spans="1:19" ht="13" x14ac:dyDescent="0.3">
      <c r="A335" s="52" t="s">
        <v>351</v>
      </c>
      <c r="B335" s="6">
        <v>5.15</v>
      </c>
      <c r="C335" s="1">
        <v>0.19670000000000001</v>
      </c>
      <c r="D335" s="6">
        <v>0.34329999999999999</v>
      </c>
      <c r="E335" s="6">
        <v>6.6601933879999997</v>
      </c>
      <c r="F335" s="1">
        <f t="shared" si="27"/>
        <v>1898.7916666666415</v>
      </c>
      <c r="G335" s="17">
        <f>G326*3/12+G338*9/12</f>
        <v>3.1625000000000001</v>
      </c>
      <c r="H335" s="1">
        <f>B335*$E$1867/E335</f>
        <v>259.13587443416145</v>
      </c>
      <c r="I335" s="1">
        <f>C335*$E$1867/E335</f>
        <v>9.8974808740193314</v>
      </c>
      <c r="J335" s="26">
        <f t="shared" si="28"/>
        <v>1117.7445255353293</v>
      </c>
      <c r="K335" s="1">
        <f>D335*$E$1867/E335</f>
        <v>17.274047707426721</v>
      </c>
      <c r="L335" s="26">
        <f t="shared" si="26"/>
        <v>74.509067109957002</v>
      </c>
      <c r="M335" s="10">
        <f t="shared" si="24"/>
        <v>19.947199825773666</v>
      </c>
      <c r="N335" s="4">
        <f t="shared" si="25"/>
        <v>24.627181229803423</v>
      </c>
      <c r="O335" s="36">
        <f>1/M335-(G335/100-(((E335/E215)^(1/10))-1))</f>
        <v>-1.8673158147902227E-3</v>
      </c>
      <c r="R335" s="30"/>
      <c r="S335" s="30"/>
    </row>
    <row r="336" spans="1:19" ht="13" x14ac:dyDescent="0.3">
      <c r="A336" s="52" t="s">
        <v>352</v>
      </c>
      <c r="B336" s="6">
        <v>5.32</v>
      </c>
      <c r="C336" s="1">
        <v>0.1983</v>
      </c>
      <c r="D336" s="6">
        <v>0.34670000000000001</v>
      </c>
      <c r="E336" s="6">
        <v>6.6601933879999997</v>
      </c>
      <c r="F336" s="1">
        <f t="shared" si="27"/>
        <v>1898.8749999999748</v>
      </c>
      <c r="G336" s="17">
        <f>G326*2/12+G338*10/12</f>
        <v>3.1416666666666666</v>
      </c>
      <c r="H336" s="1">
        <f>B336*$E$1867/E336</f>
        <v>267.6898741727648</v>
      </c>
      <c r="I336" s="1">
        <f>C336*$E$1867/E336</f>
        <v>9.9779891068532454</v>
      </c>
      <c r="J336" s="26">
        <f t="shared" si="28"/>
        <v>1158.2274959480433</v>
      </c>
      <c r="K336" s="1">
        <f>D336*$E$1867/E336</f>
        <v>17.445127702198789</v>
      </c>
      <c r="L336" s="26">
        <f t="shared" si="26"/>
        <v>75.480727978418528</v>
      </c>
      <c r="M336" s="10">
        <f t="shared" si="24"/>
        <v>20.527416324811295</v>
      </c>
      <c r="N336" s="4">
        <f t="shared" si="25"/>
        <v>25.319043685503758</v>
      </c>
      <c r="O336" s="36">
        <f>1/M336-(G336/100-(((E336/E216)^(1/10))-1))</f>
        <v>-4.2081023515611812E-3</v>
      </c>
      <c r="R336" s="30"/>
      <c r="S336" s="30"/>
    </row>
    <row r="337" spans="1:19" ht="13" x14ac:dyDescent="0.3">
      <c r="A337" s="52" t="s">
        <v>353</v>
      </c>
      <c r="B337" s="6">
        <v>5.65</v>
      </c>
      <c r="C337" s="1">
        <v>0.2</v>
      </c>
      <c r="D337" s="6">
        <v>0.35</v>
      </c>
      <c r="E337" s="6">
        <v>6.7553424790000003</v>
      </c>
      <c r="F337" s="1">
        <f t="shared" si="27"/>
        <v>1898.958333333308</v>
      </c>
      <c r="G337" s="17">
        <f>G326*1/12+G338*11/12</f>
        <v>3.1208333333333336</v>
      </c>
      <c r="H337" s="1">
        <f>B337*$E$1867/E337</f>
        <v>280.29040250529096</v>
      </c>
      <c r="I337" s="1">
        <f>C337*$E$1867/E337</f>
        <v>9.9217841594793263</v>
      </c>
      <c r="J337" s="26">
        <f t="shared" si="28"/>
        <v>1216.3242719086386</v>
      </c>
      <c r="K337" s="1">
        <f>D337*$E$1867/E337</f>
        <v>17.36312227908882</v>
      </c>
      <c r="L337" s="26">
        <f t="shared" si="26"/>
        <v>75.347521268676729</v>
      </c>
      <c r="M337" s="10">
        <f t="shared" si="24"/>
        <v>21.403631985448182</v>
      </c>
      <c r="N337" s="4">
        <f t="shared" si="25"/>
        <v>26.371858460631419</v>
      </c>
      <c r="O337" s="36">
        <f>1/M337-(G337/100-(((E337/E217)^(1/10))-1))</f>
        <v>-4.6050711802031047E-3</v>
      </c>
      <c r="R337" s="30"/>
      <c r="S337" s="30"/>
    </row>
    <row r="338" spans="1:19" ht="13" x14ac:dyDescent="0.3">
      <c r="A338" s="52" t="s">
        <v>354</v>
      </c>
      <c r="B338" s="6">
        <v>6.08</v>
      </c>
      <c r="C338" s="1">
        <v>0.20080000000000001</v>
      </c>
      <c r="D338" s="6">
        <v>0.36080000000000001</v>
      </c>
      <c r="E338" s="6">
        <v>6.7553424790000003</v>
      </c>
      <c r="F338" s="1">
        <f t="shared" si="27"/>
        <v>1899.0416666666413</v>
      </c>
      <c r="G338" s="17">
        <v>3.1</v>
      </c>
      <c r="H338" s="1">
        <f>B338*$E$1867/E338</f>
        <v>301.62223844817152</v>
      </c>
      <c r="I338" s="1">
        <f>C338*$E$1867/E338</f>
        <v>9.9614712961172422</v>
      </c>
      <c r="J338" s="26">
        <f t="shared" si="28"/>
        <v>1312.4964128650963</v>
      </c>
      <c r="K338" s="1">
        <f>D338*$E$1867/E338</f>
        <v>17.898898623700703</v>
      </c>
      <c r="L338" s="26">
        <f t="shared" si="26"/>
        <v>77.886300289757685</v>
      </c>
      <c r="M338" s="10">
        <f t="shared" si="24"/>
        <v>22.93280741648719</v>
      </c>
      <c r="N338" s="4">
        <f t="shared" si="25"/>
        <v>28.222949576087554</v>
      </c>
      <c r="O338" s="36">
        <f>1/M338-(G338/100-(((E338/E218)^(1/10))-1))</f>
        <v>-4.0674292764648692E-3</v>
      </c>
      <c r="R338" s="30"/>
      <c r="S338" s="30"/>
    </row>
    <row r="339" spans="1:19" ht="13" x14ac:dyDescent="0.3">
      <c r="A339" s="52" t="s">
        <v>355</v>
      </c>
      <c r="B339" s="6">
        <v>6.31</v>
      </c>
      <c r="C339" s="1">
        <v>0.20169999999999999</v>
      </c>
      <c r="D339" s="6">
        <v>0.37169999999999997</v>
      </c>
      <c r="E339" s="6">
        <v>6.9456325620000001</v>
      </c>
      <c r="F339" s="1">
        <f t="shared" si="27"/>
        <v>1899.1249999999745</v>
      </c>
      <c r="G339" s="17">
        <f>G338*11/12+G350*1/12</f>
        <v>3.104166666666667</v>
      </c>
      <c r="H339" s="1">
        <f>B339*$E$1867/E339</f>
        <v>304.45611808913304</v>
      </c>
      <c r="I339" s="1">
        <f>C339*$E$1867/E339</f>
        <v>9.7319808270329862</v>
      </c>
      <c r="J339" s="26">
        <f t="shared" si="28"/>
        <v>1328.3569455024187</v>
      </c>
      <c r="K339" s="1">
        <f>D339*$E$1867/E339</f>
        <v>17.9344435964708</v>
      </c>
      <c r="L339" s="26">
        <f t="shared" si="26"/>
        <v>78.248855252495872</v>
      </c>
      <c r="M339" s="10">
        <f t="shared" si="24"/>
        <v>23.048117549980201</v>
      </c>
      <c r="N339" s="4">
        <f t="shared" si="25"/>
        <v>28.325993069592663</v>
      </c>
      <c r="O339" s="36">
        <f>1/M339-(G339/100-(((E339/E219)^(1/10))-1))</f>
        <v>-4.1025988703934785E-4</v>
      </c>
      <c r="R339" s="30"/>
      <c r="S339" s="30"/>
    </row>
    <row r="340" spans="1:19" ht="13" x14ac:dyDescent="0.3">
      <c r="A340" s="52" t="s">
        <v>356</v>
      </c>
      <c r="B340" s="6">
        <v>6.4</v>
      </c>
      <c r="C340" s="1">
        <v>0.20250000000000001</v>
      </c>
      <c r="D340" s="6">
        <v>0.38250000000000001</v>
      </c>
      <c r="E340" s="6">
        <v>6.9456325620000001</v>
      </c>
      <c r="F340" s="1">
        <f t="shared" si="27"/>
        <v>1899.2083333333078</v>
      </c>
      <c r="G340" s="17">
        <f>G338*10/12+G350*2/12</f>
        <v>3.1083333333333334</v>
      </c>
      <c r="H340" s="1">
        <f>B340*$E$1867/E340</f>
        <v>308.79859837883549</v>
      </c>
      <c r="I340" s="1">
        <f>C340*$E$1867/E340</f>
        <v>9.7705806518303415</v>
      </c>
      <c r="J340" s="26">
        <f t="shared" si="28"/>
        <v>1350.8558596942689</v>
      </c>
      <c r="K340" s="1">
        <f>D340*$E$1867/E340</f>
        <v>18.455541231235088</v>
      </c>
      <c r="L340" s="26">
        <f t="shared" si="26"/>
        <v>80.734744739540275</v>
      </c>
      <c r="M340" s="10">
        <f t="shared" si="24"/>
        <v>23.279682245508734</v>
      </c>
      <c r="N340" s="4">
        <f t="shared" si="25"/>
        <v>28.570389684667127</v>
      </c>
      <c r="O340" s="36">
        <f>1/M340-(G340/100-(((E340/E220)^(1/10))-1))</f>
        <v>3.1393768145791812E-4</v>
      </c>
      <c r="R340" s="30"/>
      <c r="S340" s="30"/>
    </row>
    <row r="341" spans="1:19" ht="13" x14ac:dyDescent="0.3">
      <c r="A341" s="52" t="s">
        <v>357</v>
      </c>
      <c r="B341" s="6">
        <v>6.48</v>
      </c>
      <c r="C341" s="1">
        <v>0.20330000000000001</v>
      </c>
      <c r="D341" s="6">
        <v>0.39329999999999998</v>
      </c>
      <c r="E341" s="6">
        <v>7.0407735540000003</v>
      </c>
      <c r="F341" s="1">
        <f t="shared" si="27"/>
        <v>1899.291666666641</v>
      </c>
      <c r="G341" s="17">
        <f>G338*9/12+G350*3/12</f>
        <v>3.1125000000000003</v>
      </c>
      <c r="H341" s="1">
        <f>B341*$E$1867/E341</f>
        <v>308.43366902011292</v>
      </c>
      <c r="I341" s="1">
        <f>C341*$E$1867/E341</f>
        <v>9.676630387621751</v>
      </c>
      <c r="J341" s="26">
        <f t="shared" si="28"/>
        <v>1352.78703461635</v>
      </c>
      <c r="K341" s="1">
        <f>D341*$E$1867/E341</f>
        <v>18.720210189137404</v>
      </c>
      <c r="L341" s="26">
        <f t="shared" si="26"/>
        <v>82.10665751768677</v>
      </c>
      <c r="M341" s="10">
        <f t="shared" si="24"/>
        <v>23.152421525686492</v>
      </c>
      <c r="N341" s="4">
        <f t="shared" si="25"/>
        <v>28.371517887505842</v>
      </c>
      <c r="O341" s="36">
        <f>1/M341-(G341/100-(((E341/E221)^(1/10))-1))</f>
        <v>1.8540732642901361E-3</v>
      </c>
      <c r="R341" s="30"/>
      <c r="S341" s="30"/>
    </row>
    <row r="342" spans="1:19" ht="13" x14ac:dyDescent="0.3">
      <c r="A342" s="52" t="s">
        <v>358</v>
      </c>
      <c r="B342" s="6">
        <v>6.21</v>
      </c>
      <c r="C342" s="1">
        <v>0.20419999999999999</v>
      </c>
      <c r="D342" s="6">
        <v>0.4042</v>
      </c>
      <c r="E342" s="6">
        <v>7.0407735540000003</v>
      </c>
      <c r="F342" s="1">
        <f t="shared" si="27"/>
        <v>1899.3749999999743</v>
      </c>
      <c r="G342" s="17">
        <f>G338*8/12+G350*4/12</f>
        <v>3.1166666666666671</v>
      </c>
      <c r="H342" s="1">
        <f>B342*$E$1867/E342</f>
        <v>295.58226614427485</v>
      </c>
      <c r="I342" s="1">
        <f>C342*$E$1867/E342</f>
        <v>9.7194683972078781</v>
      </c>
      <c r="J342" s="26">
        <f t="shared" si="28"/>
        <v>1299.9733658960783</v>
      </c>
      <c r="K342" s="1">
        <f>D342*$E$1867/E342</f>
        <v>19.23902608301383</v>
      </c>
      <c r="L342" s="26">
        <f t="shared" si="26"/>
        <v>84.613403300353426</v>
      </c>
      <c r="M342" s="10">
        <f t="shared" si="24"/>
        <v>22.091269360834193</v>
      </c>
      <c r="N342" s="4">
        <f t="shared" si="25"/>
        <v>27.033363884659085</v>
      </c>
      <c r="O342" s="36">
        <f>1/M342-(G342/100-(((E342/E222)^(1/10))-1))</f>
        <v>6.3341790783615626E-3</v>
      </c>
      <c r="R342" s="30"/>
      <c r="S342" s="30"/>
    </row>
    <row r="343" spans="1:19" ht="13" x14ac:dyDescent="0.3">
      <c r="A343" s="52" t="s">
        <v>359</v>
      </c>
      <c r="B343" s="6">
        <v>6.07</v>
      </c>
      <c r="C343" s="1">
        <v>0.20499999999999999</v>
      </c>
      <c r="D343" s="6">
        <v>0.41499999999999998</v>
      </c>
      <c r="E343" s="6">
        <v>7.135922645</v>
      </c>
      <c r="F343" s="1">
        <f t="shared" si="27"/>
        <v>1899.4583333333076</v>
      </c>
      <c r="G343" s="17">
        <f>G338*7/12+G350*5/12</f>
        <v>3.1208333333333336</v>
      </c>
      <c r="H343" s="1">
        <f>B343*$E$1867/E343</f>
        <v>285.06618817194311</v>
      </c>
      <c r="I343" s="1">
        <f>C343*$E$1867/E343</f>
        <v>9.6274412809305332</v>
      </c>
      <c r="J343" s="26">
        <f t="shared" si="28"/>
        <v>1257.2520280932574</v>
      </c>
      <c r="K343" s="1">
        <f>D343*$E$1867/E343</f>
        <v>19.489698202859373</v>
      </c>
      <c r="L343" s="26">
        <f t="shared" si="26"/>
        <v>85.957099120049733</v>
      </c>
      <c r="M343" s="10">
        <f t="shared" si="24"/>
        <v>21.212091925046835</v>
      </c>
      <c r="N343" s="4">
        <f t="shared" si="25"/>
        <v>25.920743190931262</v>
      </c>
      <c r="O343" s="36">
        <f>1/M343-(G343/100-(((E343/E223)^(1/10))-1))</f>
        <v>9.5015040646232937E-3</v>
      </c>
      <c r="R343" s="30"/>
      <c r="S343" s="30"/>
    </row>
    <row r="344" spans="1:19" ht="13" x14ac:dyDescent="0.3">
      <c r="A344" s="52" t="s">
        <v>360</v>
      </c>
      <c r="B344" s="6">
        <v>6.28</v>
      </c>
      <c r="C344" s="1">
        <v>0.20580000000000001</v>
      </c>
      <c r="D344" s="6">
        <v>0.42580000000000001</v>
      </c>
      <c r="E344" s="6">
        <v>7.2310717359999996</v>
      </c>
      <c r="F344" s="1">
        <f t="shared" si="27"/>
        <v>1899.5416666666408</v>
      </c>
      <c r="G344" s="17">
        <f>G338*6/12+G350*6/12</f>
        <v>3.125</v>
      </c>
      <c r="H344" s="1">
        <f>B344*$E$1867/E344</f>
        <v>291.0476685665119</v>
      </c>
      <c r="I344" s="1">
        <f>C344*$E$1867/E344</f>
        <v>9.5378360176732748</v>
      </c>
      <c r="J344" s="26">
        <f t="shared" si="28"/>
        <v>1287.1381294630546</v>
      </c>
      <c r="K344" s="1">
        <f>D344*$E$1867/E344</f>
        <v>19.733773451531974</v>
      </c>
      <c r="L344" s="26">
        <f t="shared" si="26"/>
        <v>87.271244510409034</v>
      </c>
      <c r="M344" s="10">
        <f t="shared" si="24"/>
        <v>21.561425634523122</v>
      </c>
      <c r="N344" s="4">
        <f t="shared" si="25"/>
        <v>26.307639638375694</v>
      </c>
      <c r="O344" s="36">
        <f>1/M344-(G344/100-(((E344/E224)^(1/10))-1))</f>
        <v>1.0012959005826126E-2</v>
      </c>
      <c r="R344" s="30"/>
      <c r="S344" s="30"/>
    </row>
    <row r="345" spans="1:19" ht="13" x14ac:dyDescent="0.3">
      <c r="A345" s="52" t="s">
        <v>361</v>
      </c>
      <c r="B345" s="6">
        <v>6.44</v>
      </c>
      <c r="C345" s="1">
        <v>0.20669999999999999</v>
      </c>
      <c r="D345" s="6">
        <v>0.43669999999999998</v>
      </c>
      <c r="E345" s="6">
        <v>7.3262127269999997</v>
      </c>
      <c r="F345" s="1">
        <f t="shared" si="27"/>
        <v>1899.6249999999741</v>
      </c>
      <c r="G345" s="17">
        <f>G338*5/12+G350*7/12</f>
        <v>3.1291666666666669</v>
      </c>
      <c r="H345" s="1">
        <f>B345*$E$1867/E345</f>
        <v>294.58694286150779</v>
      </c>
      <c r="I345" s="1">
        <f>C345*$E$1867/E345</f>
        <v>9.4551430263157847</v>
      </c>
      <c r="J345" s="26">
        <f t="shared" si="28"/>
        <v>1306.2748841014777</v>
      </c>
      <c r="K345" s="1">
        <f>D345*$E$1867/E345</f>
        <v>19.976105271369637</v>
      </c>
      <c r="L345" s="26">
        <f t="shared" si="26"/>
        <v>88.579230106694922</v>
      </c>
      <c r="M345" s="10">
        <f t="shared" si="24"/>
        <v>21.726237373055458</v>
      </c>
      <c r="N345" s="4">
        <f t="shared" si="25"/>
        <v>26.466629854714537</v>
      </c>
      <c r="O345" s="36">
        <f>1/M345-(G345/100-(((E345/E225)^(1/10))-1))</f>
        <v>1.0920774676827755E-2</v>
      </c>
      <c r="R345" s="30"/>
      <c r="S345" s="30"/>
    </row>
    <row r="346" spans="1:19" ht="13" x14ac:dyDescent="0.3">
      <c r="A346" s="52" t="s">
        <v>362</v>
      </c>
      <c r="B346" s="6">
        <v>6.37</v>
      </c>
      <c r="C346" s="1">
        <v>0.20749999999999999</v>
      </c>
      <c r="D346" s="6">
        <v>0.44750000000000001</v>
      </c>
      <c r="E346" s="6">
        <v>7.6116519010000001</v>
      </c>
      <c r="F346" s="1">
        <f t="shared" si="27"/>
        <v>1899.7083333333073</v>
      </c>
      <c r="G346" s="17">
        <f>G338*4/12+G350*8/12</f>
        <v>3.1333333333333337</v>
      </c>
      <c r="H346" s="1">
        <f>B346*$E$1867/E346</f>
        <v>280.45789143609443</v>
      </c>
      <c r="I346" s="1">
        <f>C346*$E$1867/E346</f>
        <v>9.135794736733061</v>
      </c>
      <c r="J346" s="26">
        <f t="shared" si="28"/>
        <v>1246.998880297637</v>
      </c>
      <c r="K346" s="1">
        <f>D346*$E$1867/E346</f>
        <v>19.702497082833951</v>
      </c>
      <c r="L346" s="26">
        <f t="shared" si="26"/>
        <v>87.603139549951734</v>
      </c>
      <c r="M346" s="10">
        <f t="shared" si="24"/>
        <v>20.591140514113778</v>
      </c>
      <c r="N346" s="4">
        <f t="shared" si="25"/>
        <v>25.044683828420077</v>
      </c>
      <c r="O346" s="36">
        <f>1/M346-(G346/100-(((E346/E226)^(1/10))-1))</f>
        <v>1.5989821882392681E-2</v>
      </c>
      <c r="R346" s="30"/>
      <c r="S346" s="30"/>
    </row>
    <row r="347" spans="1:19" ht="13" x14ac:dyDescent="0.3">
      <c r="A347" s="52" t="s">
        <v>363</v>
      </c>
      <c r="B347" s="6">
        <v>6.34</v>
      </c>
      <c r="C347" s="1">
        <v>0.20830000000000001</v>
      </c>
      <c r="D347" s="6">
        <v>0.45829999999999999</v>
      </c>
      <c r="E347" s="6">
        <v>7.7067928930000003</v>
      </c>
      <c r="F347" s="1">
        <f t="shared" si="27"/>
        <v>1899.7916666666406</v>
      </c>
      <c r="G347" s="17">
        <f>G338*3/12+G350*9/12</f>
        <v>3.1374999999999997</v>
      </c>
      <c r="H347" s="1">
        <f>B347*$E$1867/E347</f>
        <v>275.69108376194168</v>
      </c>
      <c r="I347" s="1">
        <f>C347*$E$1867/E347</f>
        <v>9.0578001179199461</v>
      </c>
      <c r="J347" s="26">
        <f t="shared" si="28"/>
        <v>1229.1603796363515</v>
      </c>
      <c r="K347" s="1">
        <f>D347*$E$1867/E347</f>
        <v>19.928899635346667</v>
      </c>
      <c r="L347" s="26">
        <f t="shared" si="26"/>
        <v>88.852397789801259</v>
      </c>
      <c r="M347" s="10">
        <f t="shared" si="24"/>
        <v>20.15371346068661</v>
      </c>
      <c r="N347" s="4">
        <f t="shared" si="25"/>
        <v>24.476723296282383</v>
      </c>
      <c r="O347" s="36">
        <f>1/M347-(G347/100-(((E347/E227)^(1/10))-1))</f>
        <v>1.8243647300443026E-2</v>
      </c>
      <c r="R347" s="30"/>
      <c r="S347" s="30"/>
    </row>
    <row r="348" spans="1:19" ht="13" x14ac:dyDescent="0.3">
      <c r="A348" s="52" t="s">
        <v>364</v>
      </c>
      <c r="B348" s="6">
        <v>6.46</v>
      </c>
      <c r="C348" s="1">
        <v>0.2092</v>
      </c>
      <c r="D348" s="6">
        <v>0.46920000000000001</v>
      </c>
      <c r="E348" s="6">
        <v>7.8019419829999999</v>
      </c>
      <c r="F348" s="1">
        <f t="shared" si="27"/>
        <v>1899.8749999999739</v>
      </c>
      <c r="G348" s="17">
        <f>G338*2/12+G350*10/12</f>
        <v>3.1416666666666666</v>
      </c>
      <c r="H348" s="1">
        <f>B348*$E$1867/E348</f>
        <v>277.48336500286945</v>
      </c>
      <c r="I348" s="1">
        <f>C348*$E$1867/E348</f>
        <v>8.9859938016409124</v>
      </c>
      <c r="J348" s="26">
        <f t="shared" si="28"/>
        <v>1240.4898599999501</v>
      </c>
      <c r="K348" s="1">
        <f>D348*$E$1867/E348</f>
        <v>20.154054931787357</v>
      </c>
      <c r="L348" s="26">
        <f t="shared" si="26"/>
        <v>90.098737199996364</v>
      </c>
      <c r="M348" s="10">
        <f t="shared" si="24"/>
        <v>20.196457520802298</v>
      </c>
      <c r="N348" s="4">
        <f t="shared" si="25"/>
        <v>24.491414148182628</v>
      </c>
      <c r="O348" s="36">
        <f>1/M348-(G348/100-(((E348/E228)^(1/10))-1))</f>
        <v>1.9324774289488665E-2</v>
      </c>
      <c r="R348" s="30"/>
      <c r="S348" s="30"/>
    </row>
    <row r="349" spans="1:19" ht="13" x14ac:dyDescent="0.3">
      <c r="A349" s="52" t="s">
        <v>365</v>
      </c>
      <c r="B349" s="6">
        <v>6.02</v>
      </c>
      <c r="C349" s="1">
        <v>0.21</v>
      </c>
      <c r="D349" s="6">
        <v>0.48</v>
      </c>
      <c r="E349" s="6">
        <v>7.8970910740000004</v>
      </c>
      <c r="F349" s="1">
        <f t="shared" si="27"/>
        <v>1899.9583333333071</v>
      </c>
      <c r="G349" s="17">
        <f>G338*1/12+G350*11/12</f>
        <v>3.145833333333333</v>
      </c>
      <c r="H349" s="1">
        <f>B349*$E$1867/E349</f>
        <v>255.4679927197709</v>
      </c>
      <c r="I349" s="1">
        <f>C349*$E$1867/E349</f>
        <v>8.9116741646431716</v>
      </c>
      <c r="J349" s="26">
        <f t="shared" si="28"/>
        <v>1145.3900716049611</v>
      </c>
      <c r="K349" s="1">
        <f>D349*$E$1867/E349</f>
        <v>20.369540947755819</v>
      </c>
      <c r="L349" s="26">
        <f t="shared" si="26"/>
        <v>91.326783118003547</v>
      </c>
      <c r="M349" s="10">
        <f t="shared" si="24"/>
        <v>18.512649643600199</v>
      </c>
      <c r="N349" s="4">
        <f t="shared" si="25"/>
        <v>22.419855109110465</v>
      </c>
      <c r="O349" s="36">
        <f>1/M349-(G349/100-(((E349/E229)^(1/10))-1))</f>
        <v>2.3771700547836928E-2</v>
      </c>
      <c r="R349" s="30"/>
      <c r="S349" s="30"/>
    </row>
    <row r="350" spans="1:19" ht="13" x14ac:dyDescent="0.3">
      <c r="A350" s="52" t="s">
        <v>366</v>
      </c>
      <c r="B350" s="6">
        <v>6.1</v>
      </c>
      <c r="C350" s="1">
        <v>0.2175</v>
      </c>
      <c r="D350" s="6">
        <v>0.48</v>
      </c>
      <c r="E350" s="6">
        <v>7.8970910740000004</v>
      </c>
      <c r="F350" s="1">
        <f>F349+1/12</f>
        <v>1900.0416666666404</v>
      </c>
      <c r="G350" s="17">
        <v>3.15</v>
      </c>
      <c r="H350" s="1">
        <f>B350*$E$1867/E350</f>
        <v>258.86291621106352</v>
      </c>
      <c r="I350" s="1">
        <f>C350*$E$1867/E350</f>
        <v>9.2299482419518561</v>
      </c>
      <c r="J350" s="26">
        <f>J349*((H350+(I350/12))/H349)</f>
        <v>1164.0597395079903</v>
      </c>
      <c r="K350" s="1">
        <f>D350*$E$1867/E350</f>
        <v>20.369540947755819</v>
      </c>
      <c r="L350" s="26">
        <f t="shared" si="26"/>
        <v>91.598143436694329</v>
      </c>
      <c r="M350" s="10">
        <f>H350/AVERAGE(K230:K349)</f>
        <v>18.674275362444781</v>
      </c>
      <c r="N350" s="4">
        <f>J350/AVERAGE(L230:L349)</f>
        <v>22.58733482432902</v>
      </c>
      <c r="O350" s="36">
        <f>1/M350-(G350/100-(((E350/E230)^(1/10))-1))</f>
        <v>2.573781156703521E-2</v>
      </c>
      <c r="R350" s="30"/>
      <c r="S350" s="30"/>
    </row>
    <row r="351" spans="1:19" ht="13" x14ac:dyDescent="0.3">
      <c r="A351" s="52" t="s">
        <v>367</v>
      </c>
      <c r="B351" s="6">
        <v>6.21</v>
      </c>
      <c r="C351" s="1">
        <v>0.22500000000000001</v>
      </c>
      <c r="D351" s="6">
        <v>0.48</v>
      </c>
      <c r="E351" s="6">
        <v>7.9922320659999997</v>
      </c>
      <c r="F351" s="1">
        <f t="shared" si="27"/>
        <v>1900.1249999999736</v>
      </c>
      <c r="G351" s="17">
        <f>G350*11/12+G362*1/12</f>
        <v>3.145833333333333</v>
      </c>
      <c r="H351" s="1">
        <f>B351*$E$1867/E351</f>
        <v>260.39381555915901</v>
      </c>
      <c r="I351" s="1">
        <f>C351*$E$1867/E351</f>
        <v>9.4345585347521368</v>
      </c>
      <c r="J351" s="26">
        <f t="shared" si="28"/>
        <v>1174.4793758224448</v>
      </c>
      <c r="K351" s="1">
        <f>D351*$E$1867/E351</f>
        <v>20.127058207471226</v>
      </c>
      <c r="L351" s="26">
        <f t="shared" si="26"/>
        <v>90.781014556324223</v>
      </c>
      <c r="M351" s="10">
        <f>H351/AVERAGE(K231:K350)</f>
        <v>18.70379741725144</v>
      </c>
      <c r="N351" s="4">
        <f>J351/AVERAGE(L231:L350)</f>
        <v>22.595749104853358</v>
      </c>
      <c r="O351" s="36">
        <f>1/M351-(G351/100-(((E351/E231)^(1/10))-1))</f>
        <v>2.6897652963089255E-2</v>
      </c>
      <c r="R351" s="30"/>
      <c r="S351" s="30"/>
    </row>
    <row r="352" spans="1:19" ht="13" x14ac:dyDescent="0.3">
      <c r="A352" s="52" t="s">
        <v>368</v>
      </c>
      <c r="B352" s="6">
        <v>6.26</v>
      </c>
      <c r="C352" s="1">
        <v>0.23250000000000001</v>
      </c>
      <c r="D352" s="6">
        <v>0.48</v>
      </c>
      <c r="E352" s="6">
        <v>7.9922320659999997</v>
      </c>
      <c r="F352" s="1">
        <f t="shared" si="27"/>
        <v>1900.2083333333069</v>
      </c>
      <c r="G352" s="17">
        <f>G350*10/12+G362*2/12</f>
        <v>3.1416666666666666</v>
      </c>
      <c r="H352" s="1">
        <f>B352*$E$1867/E352</f>
        <v>262.49038412243721</v>
      </c>
      <c r="I352" s="1">
        <f>C352*$E$1867/E352</f>
        <v>9.7490438192438749</v>
      </c>
      <c r="J352" s="26">
        <f t="shared" si="28"/>
        <v>1187.6000693325382</v>
      </c>
      <c r="K352" s="1">
        <f>D352*$E$1867/E352</f>
        <v>20.127058207471226</v>
      </c>
      <c r="L352" s="26">
        <f t="shared" si="26"/>
        <v>91.061986146903891</v>
      </c>
      <c r="M352" s="10">
        <f>H352/AVERAGE(K232:K351)</f>
        <v>18.775793421238376</v>
      </c>
      <c r="N352" s="4">
        <f>J352/AVERAGE(L232:L351)</f>
        <v>22.658551692872006</v>
      </c>
      <c r="O352" s="36">
        <f>1/M352-(G352/100-(((E352/E232)^(1/10))-1))</f>
        <v>2.6734307147491386E-2</v>
      </c>
      <c r="R352" s="30"/>
      <c r="S352" s="30"/>
    </row>
    <row r="353" spans="1:19" ht="13" x14ac:dyDescent="0.3">
      <c r="A353" s="52" t="s">
        <v>369</v>
      </c>
      <c r="B353" s="6">
        <v>6.34</v>
      </c>
      <c r="C353" s="1">
        <v>0.24</v>
      </c>
      <c r="D353" s="6">
        <v>0.48</v>
      </c>
      <c r="E353" s="6">
        <v>7.9922320659999997</v>
      </c>
      <c r="F353" s="1">
        <f t="shared" si="27"/>
        <v>1900.2916666666401</v>
      </c>
      <c r="G353" s="17">
        <f>G350*9/12+G362*3/12</f>
        <v>3.1374999999999997</v>
      </c>
      <c r="H353" s="1">
        <f>B353*$E$1867/E353</f>
        <v>265.84489382368247</v>
      </c>
      <c r="I353" s="1">
        <f>C353*$E$1867/E353</f>
        <v>10.063529103735613</v>
      </c>
      <c r="J353" s="26">
        <f t="shared" si="28"/>
        <v>1206.5713164464769</v>
      </c>
      <c r="K353" s="1">
        <f>D353*$E$1867/E353</f>
        <v>20.127058207471226</v>
      </c>
      <c r="L353" s="26">
        <f t="shared" si="26"/>
        <v>91.349247932856272</v>
      </c>
      <c r="M353" s="10">
        <f>H353/AVERAGE(K233:K352)</f>
        <v>18.936402033322739</v>
      </c>
      <c r="N353" s="4">
        <f>J353/AVERAGE(L233:L352)</f>
        <v>22.830122957226401</v>
      </c>
      <c r="O353" s="36">
        <f>1/M353-(G353/100-(((E353/E233)^(1/10))-1))</f>
        <v>2.6324249917931516E-2</v>
      </c>
      <c r="R353" s="30"/>
      <c r="S353" s="30"/>
    </row>
    <row r="354" spans="1:19" ht="13" x14ac:dyDescent="0.3">
      <c r="A354" s="52" t="s">
        <v>370</v>
      </c>
      <c r="B354" s="6">
        <v>6.04</v>
      </c>
      <c r="C354" s="1">
        <v>0.2475</v>
      </c>
      <c r="D354" s="6">
        <v>0.48</v>
      </c>
      <c r="E354" s="6">
        <v>7.8019419829999999</v>
      </c>
      <c r="F354" s="1">
        <f t="shared" si="27"/>
        <v>1900.3749999999734</v>
      </c>
      <c r="G354" s="17">
        <f>G350*8/12+G362*4/12</f>
        <v>3.1333333333333337</v>
      </c>
      <c r="H354" s="1">
        <f>B354*$E$1867/E354</f>
        <v>259.44265086955596</v>
      </c>
      <c r="I354" s="1">
        <f>C354*$E$1867/E354</f>
        <v>10.631135114274024</v>
      </c>
      <c r="J354" s="26">
        <f t="shared" si="28"/>
        <v>1181.5348096719445</v>
      </c>
      <c r="K354" s="1">
        <f>D354*$E$1867/E354</f>
        <v>20.617959009501135</v>
      </c>
      <c r="L354" s="26">
        <f t="shared" si="26"/>
        <v>93.896806066644587</v>
      </c>
      <c r="M354" s="10">
        <f>H354/AVERAGE(K234:K353)</f>
        <v>18.403197016950418</v>
      </c>
      <c r="N354" s="4">
        <f>J354/AVERAGE(L234:L353)</f>
        <v>22.172115694151735</v>
      </c>
      <c r="O354" s="36">
        <f>1/M354-(G354/100-(((E354/E234)^(1/10))-1))</f>
        <v>2.4232858651637643E-2</v>
      </c>
      <c r="R354" s="30"/>
      <c r="S354" s="30"/>
    </row>
    <row r="355" spans="1:19" ht="13" x14ac:dyDescent="0.3">
      <c r="A355" s="52" t="s">
        <v>371</v>
      </c>
      <c r="B355" s="6">
        <v>5.86</v>
      </c>
      <c r="C355" s="1">
        <v>0.255</v>
      </c>
      <c r="D355" s="6">
        <v>0.48</v>
      </c>
      <c r="E355" s="6">
        <v>7.7067928930000003</v>
      </c>
      <c r="F355" s="1">
        <f t="shared" si="27"/>
        <v>1900.4583333333067</v>
      </c>
      <c r="G355" s="17">
        <f>G350*7/12+G362*5/12</f>
        <v>3.1291666666666669</v>
      </c>
      <c r="H355" s="1">
        <f>B355*$E$1867/E355</f>
        <v>254.81857268848239</v>
      </c>
      <c r="I355" s="1">
        <f>C355*$E$1867/E355</f>
        <v>11.088521507775258</v>
      </c>
      <c r="J355" s="26">
        <f t="shared" si="28"/>
        <v>1164.6843812381671</v>
      </c>
      <c r="K355" s="1">
        <f>D355*$E$1867/E355</f>
        <v>20.872511073459307</v>
      </c>
      <c r="L355" s="26">
        <f t="shared" si="26"/>
        <v>95.400768429064883</v>
      </c>
      <c r="M355" s="10">
        <f>H355/AVERAGE(K235:K354)</f>
        <v>17.992711584303983</v>
      </c>
      <c r="N355" s="4">
        <f>J355/AVERAGE(L235:L354)</f>
        <v>21.667091326067688</v>
      </c>
      <c r="O355" s="36">
        <f>1/M355-(G355/100-(((E355/E235)^(1/10))-1))</f>
        <v>2.4286393111291098E-2</v>
      </c>
      <c r="R355" s="30"/>
      <c r="S355" s="30"/>
    </row>
    <row r="356" spans="1:19" ht="13" x14ac:dyDescent="0.3">
      <c r="A356" s="52" t="s">
        <v>372</v>
      </c>
      <c r="B356" s="6">
        <v>5.86</v>
      </c>
      <c r="C356" s="1">
        <v>0.26250000000000001</v>
      </c>
      <c r="D356" s="6">
        <v>0.48</v>
      </c>
      <c r="E356" s="6">
        <v>7.8019419829999999</v>
      </c>
      <c r="F356" s="1">
        <f t="shared" si="27"/>
        <v>1900.5416666666399</v>
      </c>
      <c r="G356" s="17">
        <f>G350*6/12+G362*6/12</f>
        <v>3.125</v>
      </c>
      <c r="H356" s="1">
        <f>B356*$E$1867/E356</f>
        <v>251.71091624099304</v>
      </c>
      <c r="I356" s="1">
        <f>C356*$E$1867/E356</f>
        <v>11.275446333320932</v>
      </c>
      <c r="J356" s="26">
        <f t="shared" si="28"/>
        <v>1154.7750659672606</v>
      </c>
      <c r="K356" s="1">
        <f>D356*$E$1867/E356</f>
        <v>20.617959009501135</v>
      </c>
      <c r="L356" s="26">
        <f t="shared" si="26"/>
        <v>94.589083901755131</v>
      </c>
      <c r="M356" s="10">
        <f>H356/AVERAGE(K236:K355)</f>
        <v>17.689545468952808</v>
      </c>
      <c r="N356" s="4">
        <f>J356/AVERAGE(L236:L355)</f>
        <v>21.293889709957153</v>
      </c>
      <c r="O356" s="36">
        <f>1/M356-(G356/100-(((E356/E236)^(1/10))-1))</f>
        <v>2.6508372245072721E-2</v>
      </c>
      <c r="R356" s="30"/>
      <c r="S356" s="30"/>
    </row>
    <row r="357" spans="1:19" ht="13" x14ac:dyDescent="0.3">
      <c r="A357" s="52" t="s">
        <v>373</v>
      </c>
      <c r="B357" s="6">
        <v>5.94</v>
      </c>
      <c r="C357" s="1">
        <v>0.27</v>
      </c>
      <c r="D357" s="6">
        <v>0.48</v>
      </c>
      <c r="E357" s="6">
        <v>7.7067928930000003</v>
      </c>
      <c r="F357" s="1">
        <f t="shared" si="27"/>
        <v>1900.6249999999732</v>
      </c>
      <c r="G357" s="17">
        <f>G350*5/12+G362*7/12</f>
        <v>3.1208333333333336</v>
      </c>
      <c r="H357" s="1">
        <f>B357*$E$1867/E357</f>
        <v>258.29732453405893</v>
      </c>
      <c r="I357" s="1">
        <f>C357*$E$1867/E357</f>
        <v>11.740787478820861</v>
      </c>
      <c r="J357" s="26">
        <f t="shared" si="28"/>
        <v>1189.4801591002192</v>
      </c>
      <c r="K357" s="1">
        <f>D357*$E$1867/E357</f>
        <v>20.872511073459307</v>
      </c>
      <c r="L357" s="26">
        <f t="shared" si="26"/>
        <v>96.119608816179323</v>
      </c>
      <c r="M357" s="10">
        <f>H357/AVERAGE(K237:K356)</f>
        <v>18.06961466678419</v>
      </c>
      <c r="N357" s="4">
        <f>J357/AVERAGE(L237:L356)</f>
        <v>21.745469843487953</v>
      </c>
      <c r="O357" s="36">
        <f>1/M357-(G357/100-(((E357/E237)^(1/10))-1))</f>
        <v>2.0503000596817957E-2</v>
      </c>
      <c r="R357" s="30"/>
      <c r="S357" s="30"/>
    </row>
    <row r="358" spans="1:19" ht="13" x14ac:dyDescent="0.3">
      <c r="A358" s="52" t="s">
        <v>374</v>
      </c>
      <c r="B358" s="6">
        <v>5.8</v>
      </c>
      <c r="C358" s="1">
        <v>0.27750000000000002</v>
      </c>
      <c r="D358" s="6">
        <v>0.48</v>
      </c>
      <c r="E358" s="6">
        <v>7.8019419829999999</v>
      </c>
      <c r="F358" s="1">
        <f t="shared" si="27"/>
        <v>1900.7083333333064</v>
      </c>
      <c r="G358" s="17">
        <f>G350*4/12+G362*8/12</f>
        <v>3.1166666666666671</v>
      </c>
      <c r="H358" s="1">
        <f>B358*$E$1867/E358</f>
        <v>249.13367136480537</v>
      </c>
      <c r="I358" s="1">
        <f>C358*$E$1867/E358</f>
        <v>11.919757552367845</v>
      </c>
      <c r="J358" s="26">
        <f t="shared" si="28"/>
        <v>1151.8550795989825</v>
      </c>
      <c r="K358" s="1">
        <f>D358*$E$1867/E358</f>
        <v>20.617959009501135</v>
      </c>
      <c r="L358" s="26">
        <f t="shared" si="26"/>
        <v>95.32593762198475</v>
      </c>
      <c r="M358" s="10">
        <f>H358/AVERAGE(K238:K357)</f>
        <v>17.341874151224715</v>
      </c>
      <c r="N358" s="4">
        <f>J358/AVERAGE(L238:L357)</f>
        <v>20.86922595392473</v>
      </c>
      <c r="O358" s="36">
        <f>1/M358-(G358/100-(((E358/E238)^(1/10))-1))</f>
        <v>2.2910446651602398E-2</v>
      </c>
      <c r="R358" s="30"/>
      <c r="S358" s="30"/>
    </row>
    <row r="359" spans="1:19" ht="13" x14ac:dyDescent="0.3">
      <c r="A359" s="52" t="s">
        <v>375</v>
      </c>
      <c r="B359" s="6">
        <v>6.01</v>
      </c>
      <c r="C359" s="1">
        <v>0.28499999999999998</v>
      </c>
      <c r="D359" s="6">
        <v>0.48</v>
      </c>
      <c r="E359" s="6">
        <v>7.7067928930000003</v>
      </c>
      <c r="F359" s="1">
        <f t="shared" si="27"/>
        <v>1900.7916666666397</v>
      </c>
      <c r="G359" s="17">
        <f>G350*3/12+G362*9/12</f>
        <v>3.1125000000000003</v>
      </c>
      <c r="H359" s="1">
        <f>B359*$E$1867/E359</f>
        <v>261.34123239893842</v>
      </c>
      <c r="I359" s="1">
        <f>C359*$E$1867/E359</f>
        <v>12.393053449866464</v>
      </c>
      <c r="J359" s="26">
        <f t="shared" si="28"/>
        <v>1213.0709103099844</v>
      </c>
      <c r="K359" s="1">
        <f>D359*$E$1867/E359</f>
        <v>20.872511073459307</v>
      </c>
      <c r="L359" s="26">
        <f t="shared" si="26"/>
        <v>96.884199159532855</v>
      </c>
      <c r="M359" s="10">
        <f>H359/AVERAGE(K239:K358)</f>
        <v>18.102398784556055</v>
      </c>
      <c r="N359" s="4">
        <f>J359/AVERAGE(L239:L358)</f>
        <v>21.78469252513003</v>
      </c>
      <c r="O359" s="36">
        <f>1/M359-(G359/100-(((E359/E239)^(1/10))-1))</f>
        <v>1.930761348008881E-2</v>
      </c>
      <c r="R359" s="30"/>
      <c r="S359" s="30"/>
    </row>
    <row r="360" spans="1:19" ht="13" x14ac:dyDescent="0.3">
      <c r="A360" s="52" t="s">
        <v>376</v>
      </c>
      <c r="B360" s="6">
        <v>6.48</v>
      </c>
      <c r="C360" s="1">
        <v>0.29249999999999998</v>
      </c>
      <c r="D360" s="6">
        <v>0.48</v>
      </c>
      <c r="E360" s="6">
        <v>7.7067928930000003</v>
      </c>
      <c r="F360" s="1">
        <f t="shared" si="27"/>
        <v>1900.8749999999729</v>
      </c>
      <c r="G360" s="17">
        <f>G350*2/12+G362*10/12</f>
        <v>3.1083333333333334</v>
      </c>
      <c r="H360" s="1">
        <f>B360*$E$1867/E360</f>
        <v>281.77889949170066</v>
      </c>
      <c r="I360" s="1">
        <f>C360*$E$1867/E360</f>
        <v>12.719186435389263</v>
      </c>
      <c r="J360" s="26">
        <f t="shared" si="28"/>
        <v>1312.8565893922635</v>
      </c>
      <c r="K360" s="1">
        <f>D360*$E$1867/E360</f>
        <v>20.872511073459307</v>
      </c>
      <c r="L360" s="26">
        <f t="shared" si="26"/>
        <v>97.248636251278768</v>
      </c>
      <c r="M360" s="10">
        <f>H360/AVERAGE(K240:K359)</f>
        <v>19.419584603760764</v>
      </c>
      <c r="N360" s="4">
        <f>J360/AVERAGE(L240:L359)</f>
        <v>23.3654764918472</v>
      </c>
      <c r="O360" s="36">
        <f>1/M360-(G360/100-(((E360/E240)^(1/10))-1))</f>
        <v>1.7974812589310517E-2</v>
      </c>
      <c r="R360" s="30"/>
      <c r="S360" s="30"/>
    </row>
    <row r="361" spans="1:19" ht="13" x14ac:dyDescent="0.3">
      <c r="A361" s="52" t="s">
        <v>377</v>
      </c>
      <c r="B361" s="6">
        <v>6.87</v>
      </c>
      <c r="C361" s="1">
        <v>0.3</v>
      </c>
      <c r="D361" s="6">
        <v>0.48</v>
      </c>
      <c r="E361" s="6">
        <v>7.6116519010000001</v>
      </c>
      <c r="F361" s="1">
        <f t="shared" si="27"/>
        <v>1900.9583333333062</v>
      </c>
      <c r="G361" s="17">
        <f>G350*1/12+G362*11/12</f>
        <v>3.104166666666667</v>
      </c>
      <c r="H361" s="1">
        <f>B361*$E$1867/E361</f>
        <v>302.47185465713795</v>
      </c>
      <c r="I361" s="1">
        <f>C361*$E$1867/E361</f>
        <v>13.208377932626112</v>
      </c>
      <c r="J361" s="26">
        <f t="shared" si="28"/>
        <v>1414.3969865910076</v>
      </c>
      <c r="K361" s="1">
        <f>D361*$E$1867/E361</f>
        <v>21.133404692201779</v>
      </c>
      <c r="L361" s="26">
        <f t="shared" si="26"/>
        <v>98.822496879721058</v>
      </c>
      <c r="M361" s="10">
        <f>H361/AVERAGE(K241:K360)</f>
        <v>20.744051160870853</v>
      </c>
      <c r="N361" s="4">
        <f>J361/AVERAGE(L241:L360)</f>
        <v>24.9511399170866</v>
      </c>
      <c r="O361" s="36">
        <f>1/M361-(G361/100-(((E361/E241)^(1/10))-1))</f>
        <v>1.3490267445614511E-2</v>
      </c>
      <c r="R361" s="30"/>
      <c r="S361" s="30"/>
    </row>
    <row r="362" spans="1:19" ht="13" x14ac:dyDescent="0.3">
      <c r="A362" s="52" t="s">
        <v>378</v>
      </c>
      <c r="B362" s="6">
        <v>7.07</v>
      </c>
      <c r="C362" s="1">
        <v>0.30170000000000002</v>
      </c>
      <c r="D362" s="6">
        <v>0.48170000000000002</v>
      </c>
      <c r="E362" s="6">
        <v>7.7067928930000003</v>
      </c>
      <c r="F362" s="1">
        <f t="shared" si="27"/>
        <v>1901.0416666666395</v>
      </c>
      <c r="G362" s="17">
        <v>3.1</v>
      </c>
      <c r="H362" s="1">
        <f>B362*$E$1867/E362</f>
        <v>307.43469435282776</v>
      </c>
      <c r="I362" s="1">
        <f>C362*$E$1867/E362</f>
        <v>13.119242897630571</v>
      </c>
      <c r="J362" s="26">
        <f t="shared" si="28"/>
        <v>1442.7161293928764</v>
      </c>
      <c r="K362" s="1">
        <f>D362*$E$1867/E362</f>
        <v>20.946434550177809</v>
      </c>
      <c r="L362" s="26">
        <f t="shared" si="26"/>
        <v>98.296514784801772</v>
      </c>
      <c r="M362" s="10">
        <f>H362/AVERAGE(K242:K361)</f>
        <v>20.978581834536197</v>
      </c>
      <c r="N362" s="4">
        <f>J362/AVERAGE(L242:L361)</f>
        <v>25.223107928844314</v>
      </c>
      <c r="O362" s="36">
        <f>1/M362-(G362/100-(((E362/E242)^(1/10))-1))</f>
        <v>1.5441362892157327E-2</v>
      </c>
      <c r="R362" s="30"/>
      <c r="S362" s="30"/>
    </row>
    <row r="363" spans="1:19" ht="13" x14ac:dyDescent="0.3">
      <c r="A363" s="52" t="s">
        <v>379</v>
      </c>
      <c r="B363" s="6">
        <v>7.25</v>
      </c>
      <c r="C363" s="1">
        <v>0.30330000000000001</v>
      </c>
      <c r="D363" s="6">
        <v>0.48330000000000001</v>
      </c>
      <c r="E363" s="6">
        <v>7.6116519010000001</v>
      </c>
      <c r="F363" s="1">
        <f t="shared" si="27"/>
        <v>1901.1249999999727</v>
      </c>
      <c r="G363" s="17">
        <f>G362*11/12+G374*1/12</f>
        <v>3.1066666666666669</v>
      </c>
      <c r="H363" s="1">
        <f>B363*$E$1867/E363</f>
        <v>319.20246670513109</v>
      </c>
      <c r="I363" s="1">
        <f>C363*$E$1867/E363</f>
        <v>13.353670089885</v>
      </c>
      <c r="J363" s="26">
        <f t="shared" si="28"/>
        <v>1503.1615451396226</v>
      </c>
      <c r="K363" s="1">
        <f>D363*$E$1867/E363</f>
        <v>21.278696849460669</v>
      </c>
      <c r="L363" s="26">
        <f t="shared" si="26"/>
        <v>100.20385858841098</v>
      </c>
      <c r="M363" s="10">
        <f>H363/AVERAGE(K243:K362)</f>
        <v>21.679149848206198</v>
      </c>
      <c r="N363" s="4">
        <f>J363/AVERAGE(L243:L362)</f>
        <v>26.053251360808794</v>
      </c>
      <c r="O363" s="36">
        <f>1/M363-(G363/100-(((E363/E243)^(1/10))-1))</f>
        <v>1.1385946036258671E-2</v>
      </c>
      <c r="R363" s="30"/>
      <c r="S363" s="30"/>
    </row>
    <row r="364" spans="1:19" ht="13" x14ac:dyDescent="0.3">
      <c r="A364" s="52" t="s">
        <v>380</v>
      </c>
      <c r="B364" s="6">
        <v>7.51</v>
      </c>
      <c r="C364" s="1">
        <v>0.30499999999999999</v>
      </c>
      <c r="D364" s="6">
        <v>0.48499999999999999</v>
      </c>
      <c r="E364" s="6">
        <v>7.6116519010000001</v>
      </c>
      <c r="F364" s="1">
        <f t="shared" si="27"/>
        <v>1901.208333333306</v>
      </c>
      <c r="G364" s="17">
        <f>G362*10/12+G374*2/12</f>
        <v>3.1133333333333333</v>
      </c>
      <c r="H364" s="1">
        <f>B364*$E$1867/E364</f>
        <v>330.64972758007366</v>
      </c>
      <c r="I364" s="1">
        <f>C364*$E$1867/E364</f>
        <v>13.428517564836547</v>
      </c>
      <c r="J364" s="26">
        <f t="shared" si="28"/>
        <v>1562.3377324051762</v>
      </c>
      <c r="K364" s="1">
        <f>D364*$E$1867/E364</f>
        <v>21.353544324412212</v>
      </c>
      <c r="L364" s="26">
        <f t="shared" si="26"/>
        <v>100.89664450286423</v>
      </c>
      <c r="M364" s="10">
        <f>H364/AVERAGE(K244:K363)</f>
        <v>22.347583950683859</v>
      </c>
      <c r="N364" s="4">
        <f>J364/AVERAGE(L244:L363)</f>
        <v>26.840868787784945</v>
      </c>
      <c r="O364" s="36">
        <f>1/M364-(G364/100-(((E364/E244)^(1/10))-1))</f>
        <v>8.7471301208263755E-3</v>
      </c>
      <c r="R364" s="30"/>
      <c r="S364" s="30"/>
    </row>
    <row r="365" spans="1:19" ht="13" x14ac:dyDescent="0.3">
      <c r="A365" s="52" t="s">
        <v>381</v>
      </c>
      <c r="B365" s="6">
        <v>8.14</v>
      </c>
      <c r="C365" s="1">
        <v>0.30669999999999997</v>
      </c>
      <c r="D365" s="6">
        <v>0.48670000000000002</v>
      </c>
      <c r="E365" s="6">
        <v>7.5165028100000004</v>
      </c>
      <c r="F365" s="1">
        <f t="shared" si="27"/>
        <v>1901.2916666666392</v>
      </c>
      <c r="G365" s="17">
        <f>G362*9/12+G374*3/12</f>
        <v>3.12</v>
      </c>
      <c r="H365" s="1">
        <f>B365*$E$1867/E365</f>
        <v>362.92403581234072</v>
      </c>
      <c r="I365" s="1">
        <f>C365*$E$1867/E365</f>
        <v>13.674299973420748</v>
      </c>
      <c r="J365" s="26">
        <f t="shared" si="28"/>
        <v>1720.2198901243662</v>
      </c>
      <c r="K365" s="1">
        <f>D365*$E$1867/E365</f>
        <v>21.699647202686268</v>
      </c>
      <c r="L365" s="26">
        <f t="shared" si="26"/>
        <v>102.85393372524926</v>
      </c>
      <c r="M365" s="10">
        <f>H365/AVERAGE(K245:K364)</f>
        <v>24.409716994827214</v>
      </c>
      <c r="N365" s="4">
        <f>J365/AVERAGE(L245:L364)</f>
        <v>29.293804989254216</v>
      </c>
      <c r="O365" s="36">
        <f>1/M365-(G365/100-(((E365/E245)^(1/10))-1))</f>
        <v>2.4736219890211034E-3</v>
      </c>
      <c r="R365" s="30"/>
      <c r="S365" s="30"/>
    </row>
    <row r="366" spans="1:19" ht="13" x14ac:dyDescent="0.3">
      <c r="A366" s="52" t="s">
        <v>382</v>
      </c>
      <c r="B366" s="6">
        <v>7.73</v>
      </c>
      <c r="C366" s="1">
        <v>0.30830000000000002</v>
      </c>
      <c r="D366" s="6">
        <v>0.48830000000000001</v>
      </c>
      <c r="E366" s="6">
        <v>7.5165028100000004</v>
      </c>
      <c r="F366" s="1">
        <f t="shared" si="27"/>
        <v>1901.3749999999725</v>
      </c>
      <c r="G366" s="17">
        <f>G362*8/12+G374*4/12</f>
        <v>3.1266666666666669</v>
      </c>
      <c r="H366" s="1">
        <f>B366*$E$1867/E366</f>
        <v>344.64407823456929</v>
      </c>
      <c r="I366" s="1">
        <f>C366*$E$1867/E366</f>
        <v>13.745636393236444</v>
      </c>
      <c r="J366" s="26">
        <f t="shared" si="28"/>
        <v>1639.0043079449383</v>
      </c>
      <c r="K366" s="1">
        <f>D366*$E$1867/E366</f>
        <v>21.770983622501966</v>
      </c>
      <c r="L366" s="26">
        <f t="shared" si="26"/>
        <v>103.53503280330057</v>
      </c>
      <c r="M366" s="10">
        <f>H366/AVERAGE(K246:K365)</f>
        <v>23.064012684863567</v>
      </c>
      <c r="N366" s="4">
        <f>J366/AVERAGE(L246:L365)</f>
        <v>27.661102045351068</v>
      </c>
      <c r="O366" s="36">
        <f>1/M366-(G366/100-(((E366/E246)^(1/10))-1))</f>
        <v>5.9728054263650868E-3</v>
      </c>
      <c r="R366" s="30"/>
      <c r="S366" s="30"/>
    </row>
    <row r="367" spans="1:19" ht="13" x14ac:dyDescent="0.3">
      <c r="A367" s="52" t="s">
        <v>383</v>
      </c>
      <c r="B367" s="6">
        <v>8.5</v>
      </c>
      <c r="C367" s="1">
        <v>0.31</v>
      </c>
      <c r="D367" s="6">
        <v>0.49</v>
      </c>
      <c r="E367" s="6">
        <v>7.5165028100000004</v>
      </c>
      <c r="F367" s="1">
        <f t="shared" si="27"/>
        <v>1901.4583333333057</v>
      </c>
      <c r="G367" s="17">
        <f>G362*7/12+G374*5/12</f>
        <v>3.1333333333333333</v>
      </c>
      <c r="H367" s="1">
        <f>B367*$E$1867/E367</f>
        <v>378.97473027087176</v>
      </c>
      <c r="I367" s="1">
        <f>C367*$E$1867/E367</f>
        <v>13.821431339290617</v>
      </c>
      <c r="J367" s="26">
        <f t="shared" si="28"/>
        <v>1807.7461270574238</v>
      </c>
      <c r="K367" s="1">
        <f>D367*$E$1867/E367</f>
        <v>21.846778568556136</v>
      </c>
      <c r="L367" s="26">
        <f t="shared" si="26"/>
        <v>104.21124732448678</v>
      </c>
      <c r="M367" s="10">
        <f>H367/AVERAGE(K247:K366)</f>
        <v>25.238466205960346</v>
      </c>
      <c r="N367" s="4">
        <f>J367/AVERAGE(L247:L366)</f>
        <v>30.240388110984188</v>
      </c>
      <c r="O367" s="36">
        <f>1/M367-(G367/100-(((E367/E247)^(1/10))-1))</f>
        <v>4.568493362102799E-3</v>
      </c>
      <c r="R367" s="30"/>
      <c r="S367" s="30"/>
    </row>
    <row r="368" spans="1:19" ht="13" x14ac:dyDescent="0.3">
      <c r="A368" s="52" t="s">
        <v>384</v>
      </c>
      <c r="B368" s="6">
        <v>7.93</v>
      </c>
      <c r="C368" s="1">
        <v>0.31169999999999998</v>
      </c>
      <c r="D368" s="6">
        <v>0.49170000000000003</v>
      </c>
      <c r="E368" s="6">
        <v>7.6116519010000001</v>
      </c>
      <c r="F368" s="1">
        <f t="shared" si="27"/>
        <v>1901.541666666639</v>
      </c>
      <c r="G368" s="17">
        <f>G362*6/12+G374*6/12</f>
        <v>3.14</v>
      </c>
      <c r="H368" s="1">
        <f>B368*$E$1867/E368</f>
        <v>349.1414566857502</v>
      </c>
      <c r="I368" s="1">
        <f>C368*$E$1867/E368</f>
        <v>13.72350467199853</v>
      </c>
      <c r="J368" s="26">
        <f t="shared" si="28"/>
        <v>1670.8937296020397</v>
      </c>
      <c r="K368" s="1">
        <f>D368*$E$1867/E368</f>
        <v>21.648531431574199</v>
      </c>
      <c r="L368" s="26">
        <f t="shared" si="26"/>
        <v>103.60383945086041</v>
      </c>
      <c r="M368" s="10">
        <f>H368/AVERAGE(K248:K367)</f>
        <v>23.144848553708105</v>
      </c>
      <c r="N368" s="4">
        <f>J368/AVERAGE(L248:L367)</f>
        <v>27.711150600769926</v>
      </c>
      <c r="O368" s="36">
        <f>1/M368-(G368/100-(((E368/E248)^(1/10))-1))</f>
        <v>1.0564738337857378E-2</v>
      </c>
      <c r="R368" s="30"/>
      <c r="S368" s="30"/>
    </row>
    <row r="369" spans="1:19" ht="13" x14ac:dyDescent="0.3">
      <c r="A369" s="52" t="s">
        <v>385</v>
      </c>
      <c r="B369" s="6">
        <v>8.0399999999999991</v>
      </c>
      <c r="C369" s="1">
        <v>0.31330000000000002</v>
      </c>
      <c r="D369" s="6">
        <v>0.49330000000000002</v>
      </c>
      <c r="E369" s="6">
        <v>7.7067928930000003</v>
      </c>
      <c r="F369" s="1">
        <f t="shared" si="27"/>
        <v>1901.6249999999723</v>
      </c>
      <c r="G369" s="17">
        <f>G362*5/12+G374*7/12</f>
        <v>3.1466666666666669</v>
      </c>
      <c r="H369" s="1">
        <f>B369*$E$1867/E369</f>
        <v>349.61456048044334</v>
      </c>
      <c r="I369" s="1">
        <f>C369*$E$1867/E369</f>
        <v>13.62366191523917</v>
      </c>
      <c r="J369" s="26">
        <f t="shared" si="28"/>
        <v>1678.5911267025751</v>
      </c>
      <c r="K369" s="1">
        <f>D369*$E$1867/E369</f>
        <v>21.45085356778641</v>
      </c>
      <c r="L369" s="26">
        <f t="shared" si="26"/>
        <v>102.99116950278365</v>
      </c>
      <c r="M369" s="10">
        <f>H369/AVERAGE(K249:K368)</f>
        <v>23.077177713844378</v>
      </c>
      <c r="N369" s="4">
        <f>J369/AVERAGE(L249:L368)</f>
        <v>27.608909472820361</v>
      </c>
      <c r="O369" s="36">
        <f>1/M369-(G369/100-(((E369/E249)^(1/10))-1))</f>
        <v>1.1866188520390432E-2</v>
      </c>
      <c r="R369" s="30"/>
      <c r="S369" s="30"/>
    </row>
    <row r="370" spans="1:19" ht="13" x14ac:dyDescent="0.3">
      <c r="A370" s="52" t="s">
        <v>386</v>
      </c>
      <c r="B370" s="6">
        <v>8</v>
      </c>
      <c r="C370" s="1">
        <v>0.315</v>
      </c>
      <c r="D370" s="6">
        <v>0.495</v>
      </c>
      <c r="E370" s="6">
        <v>7.8019419829999999</v>
      </c>
      <c r="F370" s="1">
        <f t="shared" si="27"/>
        <v>1901.7083333333055</v>
      </c>
      <c r="G370" s="17">
        <f>G362*4/12+G374*8/12</f>
        <v>3.1533333333333333</v>
      </c>
      <c r="H370" s="1">
        <f>B370*$E$1867/E370</f>
        <v>343.63265015835225</v>
      </c>
      <c r="I370" s="1">
        <f>C370*$E$1867/E370</f>
        <v>13.53053559998512</v>
      </c>
      <c r="J370" s="26">
        <f t="shared" si="28"/>
        <v>1655.2840448701636</v>
      </c>
      <c r="K370" s="1">
        <f>D370*$E$1867/E370</f>
        <v>21.262270228548047</v>
      </c>
      <c r="L370" s="26">
        <f t="shared" si="26"/>
        <v>102.42070027634138</v>
      </c>
      <c r="M370" s="10">
        <f>H370/AVERAGE(K250:K369)</f>
        <v>22.590468316860239</v>
      </c>
      <c r="N370" s="4">
        <f>J370/AVERAGE(L250:L369)</f>
        <v>27.007461920876995</v>
      </c>
      <c r="O370" s="36">
        <f>1/M370-(G370/100-(((E370/E250)^(1/10))-1))</f>
        <v>1.5205420693573543E-2</v>
      </c>
      <c r="R370" s="30"/>
      <c r="S370" s="30"/>
    </row>
    <row r="371" spans="1:19" ht="13" x14ac:dyDescent="0.3">
      <c r="A371" s="52" t="s">
        <v>387</v>
      </c>
      <c r="B371" s="6">
        <v>7.91</v>
      </c>
      <c r="C371" s="1">
        <v>0.31669999999999998</v>
      </c>
      <c r="D371" s="6">
        <v>0.49669999999999997</v>
      </c>
      <c r="E371" s="6">
        <v>7.8019419829999999</v>
      </c>
      <c r="F371" s="1">
        <f t="shared" si="27"/>
        <v>1901.7916666666388</v>
      </c>
      <c r="G371" s="17">
        <f>G362*3/12+G374*9/12</f>
        <v>3.16</v>
      </c>
      <c r="H371" s="1">
        <f>B371*$E$1867/E371</f>
        <v>339.7667828440708</v>
      </c>
      <c r="I371" s="1">
        <f>C371*$E$1867/E371</f>
        <v>13.603557538143768</v>
      </c>
      <c r="J371" s="26">
        <f t="shared" si="28"/>
        <v>1642.1228124592326</v>
      </c>
      <c r="K371" s="1">
        <f>D371*$E$1867/E371</f>
        <v>21.335292166706694</v>
      </c>
      <c r="L371" s="26">
        <f t="shared" si="26"/>
        <v>103.11534778109997</v>
      </c>
      <c r="M371" s="10">
        <f>H371/AVERAGE(K251:K370)</f>
        <v>22.252901618408927</v>
      </c>
      <c r="N371" s="4">
        <f>J371/AVERAGE(L251:L370)</f>
        <v>26.586455006647899</v>
      </c>
      <c r="O371" s="36">
        <f>1/M371-(G371/100-(((E371/E251)^(1/10))-1))</f>
        <v>1.5810256650797078E-2</v>
      </c>
      <c r="R371" s="30"/>
      <c r="S371" s="30"/>
    </row>
    <row r="372" spans="1:19" ht="13" x14ac:dyDescent="0.3">
      <c r="A372" s="52" t="s">
        <v>388</v>
      </c>
      <c r="B372" s="6">
        <v>8.08</v>
      </c>
      <c r="C372" s="1">
        <v>0.31830000000000003</v>
      </c>
      <c r="D372" s="6">
        <v>0.49830000000000002</v>
      </c>
      <c r="E372" s="6">
        <v>7.8970910740000004</v>
      </c>
      <c r="F372" s="1">
        <f t="shared" si="27"/>
        <v>1901.874999999972</v>
      </c>
      <c r="G372" s="17">
        <f>G362*2/12+G374*10/12</f>
        <v>3.1666666666666665</v>
      </c>
      <c r="H372" s="1">
        <f>B372*$E$1867/E372</f>
        <v>342.8872726205563</v>
      </c>
      <c r="I372" s="1">
        <f>C372*$E$1867/E372</f>
        <v>13.507551840980579</v>
      </c>
      <c r="J372" s="26">
        <f t="shared" si="28"/>
        <v>1662.6446803549879</v>
      </c>
      <c r="K372" s="1">
        <f>D372*$E$1867/E372</f>
        <v>21.146129696389011</v>
      </c>
      <c r="L372" s="26">
        <f t="shared" si="26"/>
        <v>102.53661438377357</v>
      </c>
      <c r="M372" s="10">
        <f>H372/AVERAGE(K252:K371)</f>
        <v>22.375074777652795</v>
      </c>
      <c r="N372" s="4">
        <f>J372/AVERAGE(L252:L371)</f>
        <v>26.713215249028359</v>
      </c>
      <c r="O372" s="36">
        <f>1/M372-(G372/100-(((E372/E252)^(1/10))-1))</f>
        <v>1.7977489621420512E-2</v>
      </c>
      <c r="R372" s="30"/>
      <c r="S372" s="30"/>
    </row>
    <row r="373" spans="1:19" ht="13" x14ac:dyDescent="0.3">
      <c r="A373" s="52" t="s">
        <v>389</v>
      </c>
      <c r="B373" s="6">
        <v>7.95</v>
      </c>
      <c r="C373" s="1">
        <v>0.32</v>
      </c>
      <c r="D373" s="6">
        <v>0.5</v>
      </c>
      <c r="E373" s="6">
        <v>7.9922320659999997</v>
      </c>
      <c r="F373" s="1">
        <f t="shared" si="27"/>
        <v>1901.9583333333053</v>
      </c>
      <c r="G373" s="17">
        <f>G362*1/12+G374*11/12</f>
        <v>3.1733333333333338</v>
      </c>
      <c r="H373" s="1">
        <f>B373*$E$1867/E373</f>
        <v>333.35440156124213</v>
      </c>
      <c r="I373" s="1">
        <f>C373*$E$1867/E373</f>
        <v>13.418038804980817</v>
      </c>
      <c r="J373" s="26">
        <f t="shared" si="28"/>
        <v>1621.842179837266</v>
      </c>
      <c r="K373" s="1">
        <f>D373*$E$1867/E373</f>
        <v>20.965685632782527</v>
      </c>
      <c r="L373" s="26">
        <f t="shared" si="26"/>
        <v>102.00265281995385</v>
      </c>
      <c r="M373" s="10">
        <f>H373/AVERAGE(K253:K372)</f>
        <v>21.680215141029684</v>
      </c>
      <c r="N373" s="4">
        <f>J373/AVERAGE(L253:L372)</f>
        <v>25.866784338435263</v>
      </c>
      <c r="O373" s="36">
        <f>1/M373-(G373/100-(((E373/E253)^(1/10))-1))</f>
        <v>2.0547449641533211E-2</v>
      </c>
      <c r="R373" s="30"/>
      <c r="S373" s="30"/>
    </row>
    <row r="374" spans="1:19" ht="13" x14ac:dyDescent="0.3">
      <c r="A374" s="52" t="s">
        <v>390</v>
      </c>
      <c r="B374" s="6">
        <v>8.1199999999999992</v>
      </c>
      <c r="C374" s="1">
        <v>0.32079999999999997</v>
      </c>
      <c r="D374" s="6">
        <v>0.51080000000000003</v>
      </c>
      <c r="E374" s="6">
        <v>7.8970910740000004</v>
      </c>
      <c r="F374" s="1">
        <f t="shared" si="27"/>
        <v>1902.0416666666385</v>
      </c>
      <c r="G374" s="17">
        <v>3.18</v>
      </c>
      <c r="H374" s="1">
        <f>B374*$E$1867/E374</f>
        <v>344.58473436620261</v>
      </c>
      <c r="I374" s="1">
        <f>C374*$E$1867/E374</f>
        <v>13.613643200083471</v>
      </c>
      <c r="J374" s="26">
        <f t="shared" si="28"/>
        <v>1681.9996551039408</v>
      </c>
      <c r="K374" s="1">
        <f>D374*$E$1867/E374</f>
        <v>21.676586491903485</v>
      </c>
      <c r="L374" s="26">
        <f t="shared" si="26"/>
        <v>105.80854973240062</v>
      </c>
      <c r="M374" s="10">
        <f>H374/AVERAGE(K254:K373)</f>
        <v>22.340290796033571</v>
      </c>
      <c r="N374" s="4">
        <f>J374/AVERAGE(L254:L373)</f>
        <v>26.635699508412817</v>
      </c>
      <c r="O374" s="36">
        <f>1/M374-(G374/100-(((E374/E254)^(1/10))-1))</f>
        <v>2.0493974303292278E-2</v>
      </c>
      <c r="R374" s="30"/>
      <c r="S374" s="30"/>
    </row>
    <row r="375" spans="1:19" ht="13" x14ac:dyDescent="0.3">
      <c r="A375" s="52" t="s">
        <v>391</v>
      </c>
      <c r="B375" s="6">
        <v>8.19</v>
      </c>
      <c r="C375" s="1">
        <v>0.32169999999999999</v>
      </c>
      <c r="D375" s="6">
        <v>0.52170000000000005</v>
      </c>
      <c r="E375" s="6">
        <v>7.8970910740000004</v>
      </c>
      <c r="F375" s="1">
        <f t="shared" si="27"/>
        <v>1902.1249999999718</v>
      </c>
      <c r="G375" s="17">
        <f>G374*11/12+G386*1/12</f>
        <v>3.1900000000000004</v>
      </c>
      <c r="H375" s="1">
        <f>B375*$E$1867/E375</f>
        <v>347.55529242108366</v>
      </c>
      <c r="I375" s="1">
        <f>C375*$E$1867/E375</f>
        <v>13.651836089360515</v>
      </c>
      <c r="J375" s="26">
        <f t="shared" si="28"/>
        <v>1702.0528057539229</v>
      </c>
      <c r="K375" s="1">
        <f>D375*$E$1867/E375</f>
        <v>22.139144817592108</v>
      </c>
      <c r="L375" s="26">
        <f t="shared" si="26"/>
        <v>108.42014026395869</v>
      </c>
      <c r="M375" s="10">
        <f>H375/AVERAGE(K255:K374)</f>
        <v>22.459957452460397</v>
      </c>
      <c r="N375" s="4">
        <f>J375/AVERAGE(L255:L374)</f>
        <v>26.756070389465748</v>
      </c>
      <c r="O375" s="36">
        <f>1/M375-(G375/100-(((E375/E255)^(1/10))-1))</f>
        <v>2.0155481430143778E-2</v>
      </c>
      <c r="R375" s="30"/>
      <c r="S375" s="30"/>
    </row>
    <row r="376" spans="1:19" ht="13" x14ac:dyDescent="0.3">
      <c r="A376" s="52" t="s">
        <v>392</v>
      </c>
      <c r="B376" s="6">
        <v>8.1999999999999993</v>
      </c>
      <c r="C376" s="1">
        <v>0.32250000000000001</v>
      </c>
      <c r="D376" s="6">
        <v>0.53249999999999997</v>
      </c>
      <c r="E376" s="6">
        <v>7.8970910740000004</v>
      </c>
      <c r="F376" s="1">
        <f t="shared" si="27"/>
        <v>1902.2083333333051</v>
      </c>
      <c r="G376" s="17">
        <f>G374*10/12+G386*2/12</f>
        <v>3.1999999999999997</v>
      </c>
      <c r="H376" s="1">
        <f>B376*$E$1867/E376</f>
        <v>347.97965785749523</v>
      </c>
      <c r="I376" s="1">
        <f>C376*$E$1867/E376</f>
        <v>13.685785324273443</v>
      </c>
      <c r="J376" s="26">
        <f t="shared" si="28"/>
        <v>1709.7161997969235</v>
      </c>
      <c r="K376" s="1">
        <f>D376*$E$1867/E376</f>
        <v>22.597459488916613</v>
      </c>
      <c r="L376" s="26">
        <f t="shared" si="26"/>
        <v>111.02730199900755</v>
      </c>
      <c r="M376" s="10">
        <f>H376/AVERAGE(K256:K375)</f>
        <v>22.410652288217339</v>
      </c>
      <c r="N376" s="4">
        <f>J376/AVERAGE(L256:L375)</f>
        <v>26.674136055631227</v>
      </c>
      <c r="O376" s="36">
        <f>1/M376-(G376/100-(((E376/E256)^(1/10))-1))</f>
        <v>2.280846522732017E-2</v>
      </c>
      <c r="R376" s="30"/>
      <c r="S376" s="30"/>
    </row>
    <row r="377" spans="1:19" ht="13" x14ac:dyDescent="0.3">
      <c r="A377" s="52" t="s">
        <v>393</v>
      </c>
      <c r="B377" s="6">
        <v>8.48</v>
      </c>
      <c r="C377" s="1">
        <v>0.32329999999999998</v>
      </c>
      <c r="D377" s="6">
        <v>0.54330000000000001</v>
      </c>
      <c r="E377" s="6">
        <v>7.9922320659999997</v>
      </c>
      <c r="F377" s="1">
        <f t="shared" si="27"/>
        <v>1902.2916666666383</v>
      </c>
      <c r="G377" s="17">
        <f>G374*9/12+G386*3/12</f>
        <v>3.21</v>
      </c>
      <c r="H377" s="1">
        <f>B377*$E$1867/E377</f>
        <v>355.57802833199167</v>
      </c>
      <c r="I377" s="1">
        <f>C377*$E$1867/E377</f>
        <v>13.556412330157182</v>
      </c>
      <c r="J377" s="26">
        <f t="shared" si="28"/>
        <v>1752.5995261725204</v>
      </c>
      <c r="K377" s="1">
        <f>D377*$E$1867/E377</f>
        <v>22.781314008581493</v>
      </c>
      <c r="L377" s="26">
        <f t="shared" si="26"/>
        <v>112.28624086904838</v>
      </c>
      <c r="M377" s="10">
        <f>H377/AVERAGE(K257:K376)</f>
        <v>22.823108698497848</v>
      </c>
      <c r="N377" s="4">
        <f>J377/AVERAGE(L257:L376)</f>
        <v>27.136318879518488</v>
      </c>
      <c r="O377" s="36">
        <f>1/M377-(G377/100-(((E377/E257)^(1/10))-1))</f>
        <v>2.4471114945135077E-2</v>
      </c>
      <c r="R377" s="30"/>
      <c r="S377" s="30"/>
    </row>
    <row r="378" spans="1:19" ht="13" x14ac:dyDescent="0.3">
      <c r="A378" s="52" t="s">
        <v>394</v>
      </c>
      <c r="B378" s="6">
        <v>8.4600000000000009</v>
      </c>
      <c r="C378" s="1">
        <v>0.32419999999999999</v>
      </c>
      <c r="D378" s="6">
        <v>0.55420000000000003</v>
      </c>
      <c r="E378" s="6">
        <v>8.0873811569999994</v>
      </c>
      <c r="F378" s="1">
        <f t="shared" si="27"/>
        <v>1902.3749999999716</v>
      </c>
      <c r="G378" s="17">
        <f>G374*8/12+G386*4/12</f>
        <v>3.2199999999999998</v>
      </c>
      <c r="H378" s="1">
        <f>B378*$E$1867/E378</f>
        <v>350.56584572448884</v>
      </c>
      <c r="I378" s="1">
        <f>C378*$E$1867/E378</f>
        <v>13.434213615115754</v>
      </c>
      <c r="J378" s="26">
        <f t="shared" si="28"/>
        <v>1733.4130693293532</v>
      </c>
      <c r="K378" s="1">
        <f>D378*$E$1867/E378</f>
        <v>22.964963557980113</v>
      </c>
      <c r="L378" s="26">
        <f t="shared" si="26"/>
        <v>113.55289870240281</v>
      </c>
      <c r="M378" s="10">
        <f>H378/AVERAGE(K258:K377)</f>
        <v>22.427954493329793</v>
      </c>
      <c r="N378" s="4">
        <f>J378/AVERAGE(L258:L377)</f>
        <v>26.637764485324777</v>
      </c>
      <c r="O378" s="36">
        <f>1/M378-(G378/100-(((E378/E258)^(1/10))-1))</f>
        <v>2.6342382656398572E-2</v>
      </c>
      <c r="R378" s="30"/>
      <c r="S378" s="30"/>
    </row>
    <row r="379" spans="1:19" ht="13" x14ac:dyDescent="0.3">
      <c r="A379" s="52" t="s">
        <v>395</v>
      </c>
      <c r="B379" s="6">
        <v>8.41</v>
      </c>
      <c r="C379" s="1">
        <v>0.32500000000000001</v>
      </c>
      <c r="D379" s="6">
        <v>0.56499999999999995</v>
      </c>
      <c r="E379" s="6">
        <v>8.18251405</v>
      </c>
      <c r="F379" s="1">
        <f t="shared" si="27"/>
        <v>1902.4583333333048</v>
      </c>
      <c r="G379" s="17">
        <f>G374*7/12+G386*5/12</f>
        <v>3.2300000000000004</v>
      </c>
      <c r="H379" s="1">
        <f>B379*$E$1867/E379</f>
        <v>344.44222585844506</v>
      </c>
      <c r="I379" s="1">
        <f>C379*$E$1867/E379</f>
        <v>13.310787562900671</v>
      </c>
      <c r="J379" s="26">
        <f t="shared" si="28"/>
        <v>1708.6188543394167</v>
      </c>
      <c r="K379" s="1">
        <f>D379*$E$1867/E379</f>
        <v>23.14029222473501</v>
      </c>
      <c r="L379" s="26">
        <f t="shared" si="26"/>
        <v>114.7883059098419</v>
      </c>
      <c r="M379" s="10">
        <f>H379/AVERAGE(K259:K378)</f>
        <v>21.963742295514621</v>
      </c>
      <c r="N379" s="4">
        <f>J379/AVERAGE(L259:L378)</f>
        <v>26.058791626617573</v>
      </c>
      <c r="O379" s="36">
        <f>1/M379-(G379/100-(((E379/E259)^(1/10))-1))</f>
        <v>2.8371212083532375E-2</v>
      </c>
      <c r="R379" s="30"/>
      <c r="S379" s="30"/>
    </row>
    <row r="380" spans="1:19" ht="13" x14ac:dyDescent="0.3">
      <c r="A380" s="52" t="s">
        <v>396</v>
      </c>
      <c r="B380" s="6">
        <v>8.6</v>
      </c>
      <c r="C380" s="1">
        <v>0.32579999999999998</v>
      </c>
      <c r="D380" s="6">
        <v>0.57579999999999998</v>
      </c>
      <c r="E380" s="6">
        <v>8.18251405</v>
      </c>
      <c r="F380" s="1">
        <f t="shared" si="27"/>
        <v>1902.5416666666381</v>
      </c>
      <c r="G380" s="17">
        <f>G374*6/12+G386*6/12</f>
        <v>3.2399999999999998</v>
      </c>
      <c r="H380" s="1">
        <f>B380*$E$1867/E380</f>
        <v>352.22391704906386</v>
      </c>
      <c r="I380" s="1">
        <f>C380*$E$1867/E380</f>
        <v>13.343552578440118</v>
      </c>
      <c r="J380" s="26">
        <f t="shared" si="28"/>
        <v>1752.7361651860042</v>
      </c>
      <c r="K380" s="1">
        <f>D380*$E$1867/E380</f>
        <v>23.582619934517556</v>
      </c>
      <c r="L380" s="26">
        <f t="shared" si="26"/>
        <v>117.35180045512807</v>
      </c>
      <c r="M380" s="10">
        <f>H380/AVERAGE(K260:K379)</f>
        <v>22.385686589401363</v>
      </c>
      <c r="N380" s="4">
        <f>J380/AVERAGE(L260:L379)</f>
        <v>26.529400003167829</v>
      </c>
      <c r="O380" s="36">
        <f>1/M380-(G380/100-(((E380/E260)^(1/10))-1))</f>
        <v>2.4709335896387796E-2</v>
      </c>
      <c r="R380" s="30"/>
      <c r="S380" s="30"/>
    </row>
    <row r="381" spans="1:19" ht="13" x14ac:dyDescent="0.3">
      <c r="A381" s="52" t="s">
        <v>397</v>
      </c>
      <c r="B381" s="6">
        <v>8.83</v>
      </c>
      <c r="C381" s="1">
        <v>0.32669999999999999</v>
      </c>
      <c r="D381" s="6">
        <v>0.5867</v>
      </c>
      <c r="E381" s="6">
        <v>8.0873811569999994</v>
      </c>
      <c r="F381" s="1">
        <f t="shared" si="27"/>
        <v>1902.6249999999714</v>
      </c>
      <c r="G381" s="17">
        <f>G374*5/12+G386*7/12</f>
        <v>3.25</v>
      </c>
      <c r="H381" s="1">
        <f>B381*$E$1867/E381</f>
        <v>365.89792171953155</v>
      </c>
      <c r="I381" s="1">
        <f>C381*$E$1867/E381</f>
        <v>13.537808723190366</v>
      </c>
      <c r="J381" s="26">
        <f t="shared" si="28"/>
        <v>1826.3946302473437</v>
      </c>
      <c r="K381" s="1">
        <f>D381*$E$1867/E381</f>
        <v>24.311699962950073</v>
      </c>
      <c r="L381" s="26">
        <f t="shared" si="26"/>
        <v>121.35285725550582</v>
      </c>
      <c r="M381" s="10">
        <f>H381/AVERAGE(K261:K380)</f>
        <v>23.168671834092862</v>
      </c>
      <c r="N381" s="4">
        <f>J381/AVERAGE(L261:L380)</f>
        <v>27.42489853194931</v>
      </c>
      <c r="O381" s="36">
        <f>1/M381-(G381/100-(((E381/E261)^(1/10))-1))</f>
        <v>2.0595372474778426E-2</v>
      </c>
      <c r="R381" s="30"/>
      <c r="S381" s="30"/>
    </row>
    <row r="382" spans="1:19" ht="13" x14ac:dyDescent="0.3">
      <c r="A382" s="52" t="s">
        <v>398</v>
      </c>
      <c r="B382" s="6">
        <v>8.85</v>
      </c>
      <c r="C382" s="1">
        <v>0.32750000000000001</v>
      </c>
      <c r="D382" s="6">
        <v>0.59750000000000003</v>
      </c>
      <c r="E382" s="6">
        <v>8.18251405</v>
      </c>
      <c r="F382" s="1">
        <f t="shared" si="27"/>
        <v>1902.7083333333046</v>
      </c>
      <c r="G382" s="17">
        <f>G374*4/12+G386*8/12</f>
        <v>3.26</v>
      </c>
      <c r="H382" s="1">
        <f>B382*$E$1867/E382</f>
        <v>362.46298440514136</v>
      </c>
      <c r="I382" s="1">
        <f>C382*$E$1867/E382</f>
        <v>13.413178236461444</v>
      </c>
      <c r="J382" s="26">
        <f t="shared" si="28"/>
        <v>1814.8283679387705</v>
      </c>
      <c r="K382" s="1">
        <f>D382*$E$1867/E382</f>
        <v>24.471370981025082</v>
      </c>
      <c r="L382" s="26">
        <f t="shared" si="26"/>
        <v>122.52654800490569</v>
      </c>
      <c r="M382" s="10">
        <f>H382/AVERAGE(K262:K381)</f>
        <v>22.856566381954497</v>
      </c>
      <c r="N382" s="4">
        <f>J382/AVERAGE(L262:L381)</f>
        <v>27.022746801512977</v>
      </c>
      <c r="O382" s="36">
        <f>1/M382-(G382/100-(((E382/E262)^(1/10))-1))</f>
        <v>2.2266499788554085E-2</v>
      </c>
      <c r="R382" s="30"/>
      <c r="S382" s="30"/>
    </row>
    <row r="383" spans="1:19" ht="13" x14ac:dyDescent="0.3">
      <c r="A383" s="52" t="s">
        <v>399</v>
      </c>
      <c r="B383" s="6">
        <v>8.57</v>
      </c>
      <c r="C383" s="1">
        <v>0.32829999999999998</v>
      </c>
      <c r="D383" s="6">
        <v>0.60829999999999995</v>
      </c>
      <c r="E383" s="6">
        <v>8.7534247930000006</v>
      </c>
      <c r="F383" s="1">
        <f t="shared" si="27"/>
        <v>1902.7916666666379</v>
      </c>
      <c r="G383" s="17">
        <f>G374*3/12+G386*9/12</f>
        <v>3.27</v>
      </c>
      <c r="H383" s="1">
        <f>B383*$E$1867/E383</f>
        <v>328.10282379951673</v>
      </c>
      <c r="I383" s="1">
        <f>C383*$E$1867/E383</f>
        <v>12.568979819531075</v>
      </c>
      <c r="J383" s="26">
        <f t="shared" si="28"/>
        <v>1648.0336375319464</v>
      </c>
      <c r="K383" s="1">
        <f>D383*$E$1867/E383</f>
        <v>23.288792032350756</v>
      </c>
      <c r="L383" s="26">
        <f t="shared" si="26"/>
        <v>116.97769681571562</v>
      </c>
      <c r="M383" s="10">
        <f>H383/AVERAGE(K263:K382)</f>
        <v>20.604425401859807</v>
      </c>
      <c r="N383" s="4">
        <f>J383/AVERAGE(L263:L382)</f>
        <v>24.333335259523231</v>
      </c>
      <c r="O383" s="36">
        <f>1/M383-(G383/100-(((E383/E263)^(1/10))-1))</f>
        <v>3.3791235498939566E-2</v>
      </c>
      <c r="R383" s="30"/>
      <c r="S383" s="30"/>
    </row>
    <row r="384" spans="1:19" ht="13" x14ac:dyDescent="0.3">
      <c r="A384" s="52" t="s">
        <v>400</v>
      </c>
      <c r="B384" s="6">
        <v>8.24</v>
      </c>
      <c r="C384" s="1">
        <v>0.32919999999999999</v>
      </c>
      <c r="D384" s="6">
        <v>0.61919999999999997</v>
      </c>
      <c r="E384" s="6">
        <v>8.4679289260000008</v>
      </c>
      <c r="F384" s="1">
        <f t="shared" si="27"/>
        <v>1902.8749999999711</v>
      </c>
      <c r="G384" s="17">
        <f>G374*2/12+G386*10/12</f>
        <v>3.2800000000000002</v>
      </c>
      <c r="H384" s="1">
        <f>B384*$E$1867/E384</f>
        <v>326.10477533901775</v>
      </c>
      <c r="I384" s="1">
        <f>C384*$E$1867/E384</f>
        <v>13.028360684660758</v>
      </c>
      <c r="J384" s="26">
        <f t="shared" si="28"/>
        <v>1643.4509694096253</v>
      </c>
      <c r="K384" s="1">
        <f>D384*$E$1867/E384</f>
        <v>24.505349137126185</v>
      </c>
      <c r="L384" s="26">
        <f t="shared" si="26"/>
        <v>123.4981602255388</v>
      </c>
      <c r="M384" s="10">
        <f>H384/AVERAGE(K264:K383)</f>
        <v>20.408541255072176</v>
      </c>
      <c r="N384" s="4">
        <f>J384/AVERAGE(L264:L383)</f>
        <v>24.08179073378717</v>
      </c>
      <c r="O384" s="36">
        <f>1/M384-(G384/100-(((E384/E264)^(1/10))-1))</f>
        <v>2.8188898983770694E-2</v>
      </c>
      <c r="R384" s="30"/>
      <c r="S384" s="30"/>
    </row>
    <row r="385" spans="1:19" ht="13" x14ac:dyDescent="0.3">
      <c r="A385" s="52" t="s">
        <v>401</v>
      </c>
      <c r="B385" s="6">
        <v>8.0500000000000007</v>
      </c>
      <c r="C385" s="1">
        <v>0.33</v>
      </c>
      <c r="D385" s="6">
        <v>0.63</v>
      </c>
      <c r="E385" s="6">
        <v>8.5630942149999996</v>
      </c>
      <c r="F385" s="1">
        <f t="shared" si="27"/>
        <v>1902.9583333333044</v>
      </c>
      <c r="G385" s="17">
        <f>G374*1/12+G386*11/12</f>
        <v>3.29</v>
      </c>
      <c r="H385" s="1">
        <f>B385*$E$1867/E385</f>
        <v>315.04479511323467</v>
      </c>
      <c r="I385" s="1">
        <f>C385*$E$1867/E385</f>
        <v>12.914879799672976</v>
      </c>
      <c r="J385" s="26">
        <f t="shared" si="28"/>
        <v>1593.1365035672432</v>
      </c>
      <c r="K385" s="1">
        <f>D385*$E$1867/E385</f>
        <v>24.655679617557496</v>
      </c>
      <c r="L385" s="26">
        <f t="shared" si="26"/>
        <v>124.68024810526251</v>
      </c>
      <c r="M385" s="10">
        <f>H385/AVERAGE(K265:K384)</f>
        <v>19.633232126823831</v>
      </c>
      <c r="N385" s="4">
        <f>J385/AVERAGE(L265:L384)</f>
        <v>23.148327929237503</v>
      </c>
      <c r="O385" s="36">
        <f>1/M385-(G385/100-(((E385/E265)^(1/10))-1))</f>
        <v>2.9881822071487346E-2</v>
      </c>
      <c r="R385" s="30"/>
      <c r="S385" s="30"/>
    </row>
    <row r="386" spans="1:19" ht="13" x14ac:dyDescent="0.3">
      <c r="A386" s="52" t="s">
        <v>402</v>
      </c>
      <c r="B386" s="6">
        <v>8.4600000000000009</v>
      </c>
      <c r="C386" s="1">
        <v>0.33169999999999999</v>
      </c>
      <c r="D386" s="6">
        <v>0.62170000000000003</v>
      </c>
      <c r="E386" s="6">
        <v>8.6582595040000001</v>
      </c>
      <c r="F386" s="1">
        <f t="shared" si="27"/>
        <v>1903.0416666666376</v>
      </c>
      <c r="G386" s="17">
        <v>3.3</v>
      </c>
      <c r="H386" s="1">
        <f>B386*$E$1867/E386</f>
        <v>327.45144837599224</v>
      </c>
      <c r="I386" s="1">
        <f>C386*$E$1867/E386</f>
        <v>12.838728773796291</v>
      </c>
      <c r="J386" s="26">
        <f t="shared" si="28"/>
        <v>1661.2854773706722</v>
      </c>
      <c r="K386" s="1">
        <f>D386*$E$1867/E386</f>
        <v>24.063423812689642</v>
      </c>
      <c r="L386" s="26">
        <f t="shared" si="26"/>
        <v>122.08288194814975</v>
      </c>
      <c r="M386" s="10">
        <f>H386/AVERAGE(K266:K385)</f>
        <v>20.318132053828489</v>
      </c>
      <c r="N386" s="4">
        <f>J386/AVERAGE(L266:L385)</f>
        <v>23.933621799528488</v>
      </c>
      <c r="O386" s="36">
        <f>1/M386-(G386/100-(((E386/E266)^(1/10))-1))</f>
        <v>2.5461515467494596E-2</v>
      </c>
      <c r="R386" s="30"/>
      <c r="S386" s="30"/>
    </row>
    <row r="387" spans="1:19" ht="13" x14ac:dyDescent="0.3">
      <c r="A387" s="52" t="s">
        <v>403</v>
      </c>
      <c r="B387" s="6">
        <v>8.41</v>
      </c>
      <c r="C387" s="1">
        <v>0.33329999999999999</v>
      </c>
      <c r="D387" s="6">
        <v>0.61329999999999996</v>
      </c>
      <c r="E387" s="6">
        <v>8.6582595040000001</v>
      </c>
      <c r="F387" s="1">
        <f t="shared" si="27"/>
        <v>1903.1249999999709</v>
      </c>
      <c r="G387" s="17">
        <f>G386*11/12+G398*1/12</f>
        <v>3.3083333333333331</v>
      </c>
      <c r="H387" s="1">
        <f>B387*$E$1867/E387</f>
        <v>325.51615612790715</v>
      </c>
      <c r="I387" s="1">
        <f>C387*$E$1867/E387</f>
        <v>12.900658125735012</v>
      </c>
      <c r="J387" s="26">
        <f t="shared" si="28"/>
        <v>1656.9211665273431</v>
      </c>
      <c r="K387" s="1">
        <f>D387*$E$1867/E387</f>
        <v>23.738294715011349</v>
      </c>
      <c r="L387" s="26">
        <f t="shared" ref="L387:L450" si="29">K387*(J387/H387)</f>
        <v>120.83112383248745</v>
      </c>
      <c r="M387" s="10">
        <f>H387/AVERAGE(K267:K386)</f>
        <v>20.107051517552797</v>
      </c>
      <c r="N387" s="4">
        <f>J387/AVERAGE(L267:L386)</f>
        <v>23.668501052173426</v>
      </c>
      <c r="O387" s="36">
        <f>1/M387-(G387/100-(((E387/E267)^(1/10))-1))</f>
        <v>2.4686947627897825E-2</v>
      </c>
      <c r="R387" s="30"/>
      <c r="S387" s="30"/>
    </row>
    <row r="388" spans="1:19" ht="13" x14ac:dyDescent="0.3">
      <c r="A388" s="52" t="s">
        <v>404</v>
      </c>
      <c r="B388" s="6">
        <v>8.08</v>
      </c>
      <c r="C388" s="1">
        <v>0.33500000000000002</v>
      </c>
      <c r="D388" s="6">
        <v>0.60499999999999998</v>
      </c>
      <c r="E388" s="6">
        <v>8.3728446279999993</v>
      </c>
      <c r="F388" s="1">
        <f t="shared" ref="F388:F451" si="30">F387+1/12</f>
        <v>1903.2083333333042</v>
      </c>
      <c r="G388" s="17">
        <f>G386*10/12+G398*2/12</f>
        <v>3.3166666666666664</v>
      </c>
      <c r="H388" s="1">
        <f>B388*$E$1867/E388</f>
        <v>323.40406878502034</v>
      </c>
      <c r="I388" s="1">
        <f>C388*$E$1867/E388</f>
        <v>13.408460772646265</v>
      </c>
      <c r="J388" s="26">
        <f t="shared" ref="J388:J451" si="31">J387*((H388+(I388/12))/H387)</f>
        <v>1651.857929815757</v>
      </c>
      <c r="K388" s="1">
        <f>D388*$E$1867/E388</f>
        <v>24.215279902838777</v>
      </c>
      <c r="L388" s="26">
        <f t="shared" si="29"/>
        <v>123.68490687358081</v>
      </c>
      <c r="M388" s="10">
        <f>H388/AVERAGE(K268:K387)</f>
        <v>19.884560384872827</v>
      </c>
      <c r="N388" s="4">
        <f>J388/AVERAGE(L268:L387)</f>
        <v>23.396709569309262</v>
      </c>
      <c r="O388" s="36">
        <f>1/M388-(G388/100-(((E388/E268)^(1/10))-1))</f>
        <v>2.4210704457160608E-2</v>
      </c>
      <c r="R388" s="30"/>
      <c r="S388" s="30"/>
    </row>
    <row r="389" spans="1:19" ht="13" x14ac:dyDescent="0.3">
      <c r="A389" s="52" t="s">
        <v>405</v>
      </c>
      <c r="B389" s="6">
        <v>7.75</v>
      </c>
      <c r="C389" s="1">
        <v>0.3367</v>
      </c>
      <c r="D389" s="6">
        <v>0.59670000000000001</v>
      </c>
      <c r="E389" s="6">
        <v>8.3728446279999993</v>
      </c>
      <c r="F389" s="1">
        <f t="shared" si="30"/>
        <v>1903.2916666666374</v>
      </c>
      <c r="G389" s="17">
        <f>G386*9/12+G398*3/12</f>
        <v>3.3250000000000002</v>
      </c>
      <c r="H389" s="1">
        <f>B389*$E$1867/E389</f>
        <v>310.19573429256286</v>
      </c>
      <c r="I389" s="1">
        <f>C389*$E$1867/E389</f>
        <v>13.476503707910439</v>
      </c>
      <c r="J389" s="26">
        <f t="shared" si="31"/>
        <v>1590.1296208522522</v>
      </c>
      <c r="K389" s="1">
        <f>D389*$E$1867/E389</f>
        <v>23.883070277725452</v>
      </c>
      <c r="L389" s="26">
        <f t="shared" si="29"/>
        <v>122.42972190484372</v>
      </c>
      <c r="M389" s="10">
        <f>H389/AVERAGE(K269:K388)</f>
        <v>18.98002260182626</v>
      </c>
      <c r="N389" s="4">
        <f>J389/AVERAGE(L269:L388)</f>
        <v>22.326326741828449</v>
      </c>
      <c r="O389" s="36">
        <f>1/M389-(G389/100-(((E389/E269)^(1/10))-1))</f>
        <v>2.7760581705718185E-2</v>
      </c>
      <c r="R389" s="30"/>
      <c r="S389" s="30"/>
    </row>
    <row r="390" spans="1:19" ht="13" x14ac:dyDescent="0.3">
      <c r="A390" s="52" t="s">
        <v>406</v>
      </c>
      <c r="B390" s="6">
        <v>7.6</v>
      </c>
      <c r="C390" s="1">
        <v>0.33829999999999999</v>
      </c>
      <c r="D390" s="6">
        <v>0.58830000000000005</v>
      </c>
      <c r="E390" s="6">
        <v>8.18251405</v>
      </c>
      <c r="F390" s="1">
        <f t="shared" si="30"/>
        <v>1903.3749999999707</v>
      </c>
      <c r="G390" s="17">
        <f>G386*8/12+G398*4/12</f>
        <v>3.333333333333333</v>
      </c>
      <c r="H390" s="1">
        <f>B390*$E$1867/E390</f>
        <v>311.26764762475415</v>
      </c>
      <c r="I390" s="1">
        <f>C390*$E$1867/E390</f>
        <v>13.855505946243989</v>
      </c>
      <c r="J390" s="26">
        <f t="shared" si="31"/>
        <v>1601.5433346803823</v>
      </c>
      <c r="K390" s="1">
        <f>D390*$E$1867/E390</f>
        <v>24.094573302321432</v>
      </c>
      <c r="L390" s="26">
        <f t="shared" si="29"/>
        <v>123.97209786743012</v>
      </c>
      <c r="M390" s="10">
        <f>H390/AVERAGE(K270:K389)</f>
        <v>18.954858723039866</v>
      </c>
      <c r="N390" s="4">
        <f>J390/AVERAGE(L270:L389)</f>
        <v>22.294345532415075</v>
      </c>
      <c r="O390" s="36">
        <f>1/M390-(G390/100-(((E390/E270)^(1/10))-1))</f>
        <v>2.6681724642753764E-2</v>
      </c>
      <c r="R390" s="30"/>
      <c r="S390" s="30"/>
    </row>
    <row r="391" spans="1:19" ht="13" x14ac:dyDescent="0.3">
      <c r="A391" s="52" t="s">
        <v>407</v>
      </c>
      <c r="B391" s="6">
        <v>7.18</v>
      </c>
      <c r="C391" s="1">
        <v>0.34</v>
      </c>
      <c r="D391" s="6">
        <v>0.57999999999999996</v>
      </c>
      <c r="E391" s="6">
        <v>8.18251405</v>
      </c>
      <c r="F391" s="1">
        <f t="shared" si="30"/>
        <v>1903.4583333333039</v>
      </c>
      <c r="G391" s="17">
        <f>G386*7/12+G398*5/12</f>
        <v>3.3416666666666668</v>
      </c>
      <c r="H391" s="1">
        <f>B391*$E$1867/E391</f>
        <v>294.06601446654406</v>
      </c>
      <c r="I391" s="1">
        <f>C391*$E$1867/E391</f>
        <v>13.925131604265319</v>
      </c>
      <c r="J391" s="26">
        <f t="shared" si="31"/>
        <v>1519.0076584413714</v>
      </c>
      <c r="K391" s="1">
        <f>D391*$E$1867/E391</f>
        <v>23.754636266099656</v>
      </c>
      <c r="L391" s="26">
        <f t="shared" si="29"/>
        <v>122.70535402451189</v>
      </c>
      <c r="M391" s="10">
        <f>H391/AVERAGE(K271:K390)</f>
        <v>17.818551722968511</v>
      </c>
      <c r="N391" s="4">
        <f>J391/AVERAGE(L271:L390)</f>
        <v>20.961154591653766</v>
      </c>
      <c r="O391" s="36">
        <f>1/M391-(G391/100-(((E391/E271)^(1/10))-1))</f>
        <v>3.2516124608077915E-2</v>
      </c>
      <c r="R391" s="30"/>
      <c r="S391" s="30"/>
    </row>
    <row r="392" spans="1:19" ht="13" x14ac:dyDescent="0.3">
      <c r="A392" s="52" t="s">
        <v>408</v>
      </c>
      <c r="B392" s="6">
        <v>6.85</v>
      </c>
      <c r="C392" s="1">
        <v>0.3417</v>
      </c>
      <c r="D392" s="6">
        <v>0.57169999999999999</v>
      </c>
      <c r="E392" s="6">
        <v>8.18251405</v>
      </c>
      <c r="F392" s="1">
        <f t="shared" si="30"/>
        <v>1903.5416666666372</v>
      </c>
      <c r="G392" s="17">
        <f>G386*6/12+G398*6/12</f>
        <v>3.3499999999999996</v>
      </c>
      <c r="H392" s="1">
        <f>B392*$E$1867/E392</f>
        <v>280.55044555652182</v>
      </c>
      <c r="I392" s="1">
        <f>C392*$E$1867/E392</f>
        <v>13.994757262286644</v>
      </c>
      <c r="J392" s="26">
        <f t="shared" si="31"/>
        <v>1455.2167414202661</v>
      </c>
      <c r="K392" s="1">
        <f>D392*$E$1867/E392</f>
        <v>23.414699229877886</v>
      </c>
      <c r="L392" s="26">
        <f t="shared" si="29"/>
        <v>121.45217679853519</v>
      </c>
      <c r="M392" s="10">
        <f>H392/AVERAGE(K272:K391)</f>
        <v>16.918178414766658</v>
      </c>
      <c r="N392" s="4">
        <f>J392/AVERAGE(L272:L391)</f>
        <v>19.910404565550813</v>
      </c>
      <c r="O392" s="36">
        <f>1/M392-(G392/100-(((E392/E272)^(1/10))-1))</f>
        <v>3.8045952444353791E-2</v>
      </c>
      <c r="R392" s="30"/>
      <c r="S392" s="30"/>
    </row>
    <row r="393" spans="1:19" ht="13" x14ac:dyDescent="0.3">
      <c r="A393" s="52" t="s">
        <v>409</v>
      </c>
      <c r="B393" s="6">
        <v>6.63</v>
      </c>
      <c r="C393" s="1">
        <v>0.34329999999999999</v>
      </c>
      <c r="D393" s="6">
        <v>0.56330000000000002</v>
      </c>
      <c r="E393" s="6">
        <v>8.18251405</v>
      </c>
      <c r="F393" s="1">
        <f t="shared" si="30"/>
        <v>1903.6249999999704</v>
      </c>
      <c r="G393" s="17">
        <f>G386*5/12+G398*7/12</f>
        <v>3.3583333333333334</v>
      </c>
      <c r="H393" s="1">
        <f>B393*$E$1867/E393</f>
        <v>271.54006628317364</v>
      </c>
      <c r="I393" s="1">
        <f>C393*$E$1867/E393</f>
        <v>14.060287293365539</v>
      </c>
      <c r="J393" s="26">
        <f t="shared" si="31"/>
        <v>1414.55741915725</v>
      </c>
      <c r="K393" s="1">
        <f>D393*$E$1867/E393</f>
        <v>23.070666566713687</v>
      </c>
      <c r="L393" s="26">
        <f t="shared" si="29"/>
        <v>120.1840413591673</v>
      </c>
      <c r="M393" s="10">
        <f>H393/AVERAGE(K273:K392)</f>
        <v>16.299118790903492</v>
      </c>
      <c r="N393" s="4">
        <f>J393/AVERAGE(L273:L392)</f>
        <v>19.194017449266074</v>
      </c>
      <c r="O393" s="36">
        <f>1/M393-(G393/100-(((E393/E273)^(1/10))-1))</f>
        <v>4.4293346247704937E-2</v>
      </c>
      <c r="R393" s="30"/>
      <c r="S393" s="30"/>
    </row>
    <row r="394" spans="1:19" ht="13" x14ac:dyDescent="0.3">
      <c r="A394" s="52" t="s">
        <v>410</v>
      </c>
      <c r="B394" s="6">
        <v>6.47</v>
      </c>
      <c r="C394" s="1">
        <v>0.34499999999999997</v>
      </c>
      <c r="D394" s="6">
        <v>0.55500000000000005</v>
      </c>
      <c r="E394" s="6">
        <v>8.2776793390000005</v>
      </c>
      <c r="F394" s="1">
        <f t="shared" si="30"/>
        <v>1903.7083333333037</v>
      </c>
      <c r="G394" s="17">
        <f>G386*4/12+G398*8/12</f>
        <v>3.3666666666666663</v>
      </c>
      <c r="H394" s="1">
        <f>B394*$E$1867/E394</f>
        <v>261.9406090405455</v>
      </c>
      <c r="I394" s="1">
        <f>C394*$E$1867/E394</f>
        <v>13.967466788097092</v>
      </c>
      <c r="J394" s="26">
        <f t="shared" si="31"/>
        <v>1370.6136224101281</v>
      </c>
      <c r="K394" s="1">
        <f>D394*$E$1867/E394</f>
        <v>22.469403093895323</v>
      </c>
      <c r="L394" s="26">
        <f t="shared" si="29"/>
        <v>117.57195679097698</v>
      </c>
      <c r="M394" s="10">
        <f>H394/AVERAGE(K274:K393)</f>
        <v>15.654359115196915</v>
      </c>
      <c r="N394" s="4">
        <f>J394/AVERAGE(L274:L393)</f>
        <v>18.449326201499154</v>
      </c>
      <c r="O394" s="36">
        <f>1/M394-(G394/100-(((E394/E274)^(1/10))-1))</f>
        <v>4.3822618555605944E-2</v>
      </c>
      <c r="R394" s="30"/>
      <c r="S394" s="30"/>
    </row>
    <row r="395" spans="1:19" ht="13" x14ac:dyDescent="0.3">
      <c r="A395" s="52" t="s">
        <v>411</v>
      </c>
      <c r="B395" s="6">
        <v>6.26</v>
      </c>
      <c r="C395" s="1">
        <v>0.34670000000000001</v>
      </c>
      <c r="D395" s="6">
        <v>0.54669999999999996</v>
      </c>
      <c r="E395" s="6">
        <v>8.18251405</v>
      </c>
      <c r="F395" s="1">
        <f t="shared" si="30"/>
        <v>1903.791666666637</v>
      </c>
      <c r="G395" s="17">
        <f>G386*3/12+G398*9/12</f>
        <v>3.3749999999999996</v>
      </c>
      <c r="H395" s="1">
        <f>B395*$E$1867/E395</f>
        <v>256.38624659617903</v>
      </c>
      <c r="I395" s="1">
        <f>C395*$E$1867/E395</f>
        <v>14.199538609408194</v>
      </c>
      <c r="J395" s="26">
        <f t="shared" si="31"/>
        <v>1347.7418547812106</v>
      </c>
      <c r="K395" s="1">
        <f>D395*$E$1867/E395</f>
        <v>22.390792494270141</v>
      </c>
      <c r="L395" s="26">
        <f t="shared" si="29"/>
        <v>117.70135335605237</v>
      </c>
      <c r="M395" s="10">
        <f>H395/AVERAGE(K275:K394)</f>
        <v>15.252943825778836</v>
      </c>
      <c r="N395" s="4">
        <f>J395/AVERAGE(L275:L394)</f>
        <v>17.996685085169744</v>
      </c>
      <c r="O395" s="36">
        <f>1/M395-(G395/100-(((E395/E275)^(1/10))-1))</f>
        <v>4.2926511072521621E-2</v>
      </c>
      <c r="R395" s="30"/>
      <c r="S395" s="30"/>
    </row>
    <row r="396" spans="1:19" ht="13" x14ac:dyDescent="0.3">
      <c r="A396" s="52" t="s">
        <v>412</v>
      </c>
      <c r="B396" s="6">
        <v>6.28</v>
      </c>
      <c r="C396" s="1">
        <v>0.3483</v>
      </c>
      <c r="D396" s="6">
        <v>0.5383</v>
      </c>
      <c r="E396" s="6">
        <v>8.0873811569999994</v>
      </c>
      <c r="F396" s="1">
        <f t="shared" si="30"/>
        <v>1903.8749999999702</v>
      </c>
      <c r="G396" s="17">
        <f>G386*2/12+G398*10/12</f>
        <v>3.3833333333333333</v>
      </c>
      <c r="H396" s="1">
        <f>B396*$E$1867/E396</f>
        <v>260.23091148342672</v>
      </c>
      <c r="I396" s="1">
        <f>C396*$E$1867/E396</f>
        <v>14.432870456955019</v>
      </c>
      <c r="J396" s="26">
        <f t="shared" si="31"/>
        <v>1374.2744704853931</v>
      </c>
      <c r="K396" s="1">
        <f>D396*$E$1867/E396</f>
        <v>22.306098670625573</v>
      </c>
      <c r="L396" s="26">
        <f t="shared" si="29"/>
        <v>117.79808080609668</v>
      </c>
      <c r="M396" s="10">
        <f>H396/AVERAGE(K276:K395)</f>
        <v>15.407877534297896</v>
      </c>
      <c r="N396" s="4">
        <f>J396/AVERAGE(L276:L395)</f>
        <v>18.201733318104154</v>
      </c>
      <c r="O396" s="36">
        <f>1/M396-(G396/100-(((E396/E276)^(1/10))-1))</f>
        <v>4.3663530682750328E-2</v>
      </c>
      <c r="R396" s="30"/>
      <c r="S396" s="30"/>
    </row>
    <row r="397" spans="1:19" ht="13" x14ac:dyDescent="0.3">
      <c r="A397" s="52" t="s">
        <v>413</v>
      </c>
      <c r="B397" s="6">
        <v>6.57</v>
      </c>
      <c r="C397" s="1">
        <v>0.35</v>
      </c>
      <c r="D397" s="6">
        <v>0.53</v>
      </c>
      <c r="E397" s="6">
        <v>8.0873811569999994</v>
      </c>
      <c r="F397" s="1">
        <f t="shared" si="30"/>
        <v>1903.9583333333035</v>
      </c>
      <c r="G397" s="17">
        <f>G386*1/12+G398*11/12</f>
        <v>3.3916666666666666</v>
      </c>
      <c r="H397" s="1">
        <f>B397*$E$1867/E397</f>
        <v>272.24794402008177</v>
      </c>
      <c r="I397" s="1">
        <f>C397*$E$1867/E397</f>
        <v>14.503315130445756</v>
      </c>
      <c r="J397" s="26">
        <f t="shared" si="31"/>
        <v>1444.1188338341069</v>
      </c>
      <c r="K397" s="1">
        <f>D397*$E$1867/E397</f>
        <v>21.962162911817863</v>
      </c>
      <c r="L397" s="26">
        <f t="shared" si="29"/>
        <v>116.4966486959021</v>
      </c>
      <c r="M397" s="10">
        <f>H397/AVERAGE(K277:K396)</f>
        <v>16.042894140050141</v>
      </c>
      <c r="N397" s="4">
        <f>J397/AVERAGE(L277:L396)</f>
        <v>18.972073171795223</v>
      </c>
      <c r="O397" s="36">
        <f>1/M397-(G397/100-(((E397/E277)^(1/10))-1))</f>
        <v>4.2371395043465855E-2</v>
      </c>
      <c r="R397" s="30"/>
      <c r="S397" s="30"/>
    </row>
    <row r="398" spans="1:19" ht="13" x14ac:dyDescent="0.3">
      <c r="A398" s="52" t="s">
        <v>414</v>
      </c>
      <c r="B398" s="6">
        <v>6.68</v>
      </c>
      <c r="C398" s="1">
        <v>0.34670000000000001</v>
      </c>
      <c r="D398" s="6">
        <v>0.52669999999999995</v>
      </c>
      <c r="E398" s="6">
        <v>8.2776793390000005</v>
      </c>
      <c r="F398" s="1">
        <f t="shared" si="30"/>
        <v>1904.0416666666367</v>
      </c>
      <c r="G398" s="17">
        <v>3.4</v>
      </c>
      <c r="H398" s="1">
        <f>B398*$E$1867/E398</f>
        <v>270.44254534634371</v>
      </c>
      <c r="I398" s="1">
        <f>C398*$E$1867/E398</f>
        <v>14.036291986763079</v>
      </c>
      <c r="J398" s="26">
        <f t="shared" si="31"/>
        <v>1440.7467700730549</v>
      </c>
      <c r="K398" s="1">
        <f>D398*$E$1867/E398</f>
        <v>21.323665963161556</v>
      </c>
      <c r="L398" s="26">
        <f t="shared" si="29"/>
        <v>113.5990005684847</v>
      </c>
      <c r="M398" s="10">
        <f>H398/AVERAGE(K278:K397)</f>
        <v>15.861833914033641</v>
      </c>
      <c r="N398" s="4">
        <f>J398/AVERAGE(L278:L397)</f>
        <v>18.777066213619005</v>
      </c>
      <c r="O398" s="36">
        <f>1/M398-(G398/100-(((E398/E278)^(1/10))-1))</f>
        <v>4.8148955439236474E-2</v>
      </c>
      <c r="R398" s="30"/>
      <c r="S398" s="30"/>
    </row>
    <row r="399" spans="1:19" ht="13" x14ac:dyDescent="0.3">
      <c r="A399" s="52" t="s">
        <v>415</v>
      </c>
      <c r="B399" s="6">
        <v>6.5</v>
      </c>
      <c r="C399" s="1">
        <v>0.34329999999999999</v>
      </c>
      <c r="D399" s="6">
        <v>0.52329999999999999</v>
      </c>
      <c r="E399" s="6">
        <v>8.4679289260000008</v>
      </c>
      <c r="F399" s="1">
        <f t="shared" si="30"/>
        <v>1904.12499999997</v>
      </c>
      <c r="G399" s="17">
        <f>G398*11/12+G410*1/12</f>
        <v>3.4066666666666667</v>
      </c>
      <c r="H399" s="1">
        <f>B399*$E$1867/E399</f>
        <v>257.24284462422514</v>
      </c>
      <c r="I399" s="1">
        <f>C399*$E$1867/E399</f>
        <v>13.586379778384076</v>
      </c>
      <c r="J399" s="26">
        <f t="shared" si="31"/>
        <v>1376.4587524690453</v>
      </c>
      <c r="K399" s="1">
        <f>D399*$E$1867/E399</f>
        <v>20.710027783362619</v>
      </c>
      <c r="L399" s="26">
        <f t="shared" si="29"/>
        <v>110.81551771800791</v>
      </c>
      <c r="M399" s="10">
        <f>H399/AVERAGE(K279:K398)</f>
        <v>15.021498380331437</v>
      </c>
      <c r="N399" s="4">
        <f>J399/AVERAGE(L279:L398)</f>
        <v>17.803035506120366</v>
      </c>
      <c r="O399" s="36">
        <f>1/M399-(G399/100-(((E399/E279)^(1/10))-1))</f>
        <v>5.5357023109160582E-2</v>
      </c>
      <c r="R399" s="30"/>
      <c r="S399" s="30"/>
    </row>
    <row r="400" spans="1:19" ht="13" x14ac:dyDescent="0.3">
      <c r="A400" s="52" t="s">
        <v>416</v>
      </c>
      <c r="B400" s="6">
        <v>6.48</v>
      </c>
      <c r="C400" s="1">
        <v>0.34</v>
      </c>
      <c r="D400" s="6">
        <v>0.52</v>
      </c>
      <c r="E400" s="6">
        <v>8.3728446279999993</v>
      </c>
      <c r="F400" s="1">
        <f t="shared" si="30"/>
        <v>1904.2083333333032</v>
      </c>
      <c r="G400" s="17">
        <f>G398*10/12+G410*2/12</f>
        <v>3.4133333333333336</v>
      </c>
      <c r="H400" s="1">
        <f>B400*$E$1867/E400</f>
        <v>259.36365912462031</v>
      </c>
      <c r="I400" s="1">
        <f>C400*$E$1867/E400</f>
        <v>13.608587052835016</v>
      </c>
      <c r="J400" s="26">
        <f t="shared" si="31"/>
        <v>1393.8749229794867</v>
      </c>
      <c r="K400" s="1">
        <f>D400*$E$1867/E400</f>
        <v>20.813133139630022</v>
      </c>
      <c r="L400" s="26">
        <f t="shared" si="29"/>
        <v>111.85416048600817</v>
      </c>
      <c r="M400" s="10">
        <f>H400/AVERAGE(K280:K399)</f>
        <v>15.081930176258863</v>
      </c>
      <c r="N400" s="4">
        <f>J400/AVERAGE(L280:L399)</f>
        <v>17.896547323807184</v>
      </c>
      <c r="O400" s="36">
        <f>1/M400-(G400/100-(((E400/E280)^(1/10))-1))</f>
        <v>5.6792722066092108E-2</v>
      </c>
      <c r="R400" s="30"/>
      <c r="S400" s="30"/>
    </row>
    <row r="401" spans="1:19" ht="13" x14ac:dyDescent="0.3">
      <c r="A401" s="52" t="s">
        <v>417</v>
      </c>
      <c r="B401" s="6">
        <v>6.64</v>
      </c>
      <c r="C401" s="1">
        <v>0.3367</v>
      </c>
      <c r="D401" s="6">
        <v>0.51670000000000005</v>
      </c>
      <c r="E401" s="6">
        <v>8.2776793390000005</v>
      </c>
      <c r="F401" s="1">
        <f t="shared" si="30"/>
        <v>1904.2916666666365</v>
      </c>
      <c r="G401" s="17">
        <f>G398*9/12+G410*3/12</f>
        <v>3.42</v>
      </c>
      <c r="H401" s="1">
        <f>B401*$E$1867/E401</f>
        <v>268.82312890714405</v>
      </c>
      <c r="I401" s="1">
        <f>C401*$E$1867/E401</f>
        <v>13.631437876963162</v>
      </c>
      <c r="J401" s="26">
        <f t="shared" si="31"/>
        <v>1450.8169571210171</v>
      </c>
      <c r="K401" s="1">
        <f>D401*$E$1867/E401</f>
        <v>20.918811853361646</v>
      </c>
      <c r="L401" s="26">
        <f t="shared" si="29"/>
        <v>112.89715688922132</v>
      </c>
      <c r="M401" s="10">
        <f>H401/AVERAGE(K281:K400)</f>
        <v>15.565490611691489</v>
      </c>
      <c r="N401" s="4">
        <f>J401/AVERAGE(L281:L400)</f>
        <v>18.490327058739734</v>
      </c>
      <c r="O401" s="36">
        <f>1/M401-(G401/100-(((E401/E281)^(1/10))-1))</f>
        <v>5.3495648241962644E-2</v>
      </c>
      <c r="R401" s="30"/>
      <c r="S401" s="30"/>
    </row>
    <row r="402" spans="1:19" ht="13" x14ac:dyDescent="0.3">
      <c r="A402" s="52" t="s">
        <v>418</v>
      </c>
      <c r="B402" s="6">
        <v>6.5</v>
      </c>
      <c r="C402" s="1">
        <v>0.33329999999999999</v>
      </c>
      <c r="D402" s="6">
        <v>0.51329999999999998</v>
      </c>
      <c r="E402" s="6">
        <v>8.0873811569999994</v>
      </c>
      <c r="F402" s="1">
        <f t="shared" si="30"/>
        <v>1904.3749999999698</v>
      </c>
      <c r="G402" s="17">
        <f>G398*8/12+G410*4/12</f>
        <v>3.4266666666666667</v>
      </c>
      <c r="H402" s="1">
        <f>B402*$E$1867/E402</f>
        <v>269.34728099399263</v>
      </c>
      <c r="I402" s="1">
        <f>C402*$E$1867/E402</f>
        <v>13.811299808507345</v>
      </c>
      <c r="J402" s="26">
        <f t="shared" si="31"/>
        <v>1459.8573042410565</v>
      </c>
      <c r="K402" s="1">
        <f>D402*$E$1867/E402</f>
        <v>21.27014758987945</v>
      </c>
      <c r="L402" s="26">
        <f t="shared" si="29"/>
        <v>115.28380834875912</v>
      </c>
      <c r="M402" s="10">
        <f>H402/AVERAGE(K282:K401)</f>
        <v>15.525820896254638</v>
      </c>
      <c r="N402" s="4">
        <f>J402/AVERAGE(L282:L401)</f>
        <v>18.464783283770839</v>
      </c>
      <c r="O402" s="36">
        <f>1/M402-(G402/100-(((E402/E282)^(1/10))-1))</f>
        <v>5.1215587134438537E-2</v>
      </c>
      <c r="R402" s="30"/>
      <c r="S402" s="30"/>
    </row>
    <row r="403" spans="1:19" ht="13" x14ac:dyDescent="0.3">
      <c r="A403" s="52" t="s">
        <v>419</v>
      </c>
      <c r="B403" s="6">
        <v>6.51</v>
      </c>
      <c r="C403" s="1">
        <v>0.33</v>
      </c>
      <c r="D403" s="6">
        <v>0.51</v>
      </c>
      <c r="E403" s="6">
        <v>8.0873811569999994</v>
      </c>
      <c r="F403" s="1">
        <f t="shared" si="30"/>
        <v>1904.458333333303</v>
      </c>
      <c r="G403" s="17">
        <f>G398*7/12+G410*5/12</f>
        <v>3.4333333333333336</v>
      </c>
      <c r="H403" s="1">
        <f>B403*$E$1867/E403</f>
        <v>269.76166142629108</v>
      </c>
      <c r="I403" s="1">
        <f>C403*$E$1867/E403</f>
        <v>13.674554265848856</v>
      </c>
      <c r="J403" s="26">
        <f t="shared" si="31"/>
        <v>1468.2795579193705</v>
      </c>
      <c r="K403" s="1">
        <f>D403*$E$1867/E403</f>
        <v>21.133402047220962</v>
      </c>
      <c r="L403" s="26">
        <f t="shared" si="29"/>
        <v>115.02650914575715</v>
      </c>
      <c r="M403" s="10">
        <f>H403/AVERAGE(K283:K402)</f>
        <v>15.474433638652657</v>
      </c>
      <c r="N403" s="4">
        <f>J403/AVERAGE(L283:L402)</f>
        <v>18.424664376078855</v>
      </c>
      <c r="O403" s="36">
        <f>1/M403-(G403/100-(((E403/E283)^(1/10))-1))</f>
        <v>5.1362808313555254E-2</v>
      </c>
      <c r="R403" s="30"/>
      <c r="S403" s="30"/>
    </row>
    <row r="404" spans="1:19" ht="13" x14ac:dyDescent="0.3">
      <c r="A404" s="52" t="s">
        <v>420</v>
      </c>
      <c r="B404" s="6">
        <v>6.78</v>
      </c>
      <c r="C404" s="1">
        <v>0.32669999999999999</v>
      </c>
      <c r="D404" s="6">
        <v>0.50670000000000004</v>
      </c>
      <c r="E404" s="6">
        <v>8.0873811569999994</v>
      </c>
      <c r="F404" s="1">
        <f t="shared" si="30"/>
        <v>1904.5416666666363</v>
      </c>
      <c r="G404" s="17">
        <f>G398*6/12+G410*6/12</f>
        <v>3.44</v>
      </c>
      <c r="H404" s="1">
        <f>B404*$E$1867/E404</f>
        <v>280.94993309834922</v>
      </c>
      <c r="I404" s="1">
        <f>C404*$E$1867/E404</f>
        <v>13.537808723190366</v>
      </c>
      <c r="J404" s="26">
        <f t="shared" si="31"/>
        <v>1535.3163308229932</v>
      </c>
      <c r="K404" s="1">
        <f>D404*$E$1867/E404</f>
        <v>20.996656504562473</v>
      </c>
      <c r="L404" s="26">
        <f t="shared" si="29"/>
        <v>114.74111870619629</v>
      </c>
      <c r="M404" s="10">
        <f>H404/AVERAGE(K284:K403)</f>
        <v>16.036401629624109</v>
      </c>
      <c r="N404" s="4">
        <f>J404/AVERAGE(L284:L403)</f>
        <v>19.112780970977052</v>
      </c>
      <c r="O404" s="36">
        <f>1/M404-(G404/100-(((E404/E284)^(1/10))-1))</f>
        <v>4.9031550047606169E-2</v>
      </c>
      <c r="R404" s="30"/>
      <c r="S404" s="30"/>
    </row>
    <row r="405" spans="1:19" ht="13" x14ac:dyDescent="0.3">
      <c r="A405" s="52" t="s">
        <v>421</v>
      </c>
      <c r="B405" s="6">
        <v>7.01</v>
      </c>
      <c r="C405" s="1">
        <v>0.32329999999999998</v>
      </c>
      <c r="D405" s="6">
        <v>0.50329999999999997</v>
      </c>
      <c r="E405" s="6">
        <v>8.18251405</v>
      </c>
      <c r="F405" s="1">
        <f t="shared" si="30"/>
        <v>1904.6249999999695</v>
      </c>
      <c r="G405" s="17">
        <f>G398*5/12+G410*7/12</f>
        <v>3.4466666666666663</v>
      </c>
      <c r="H405" s="1">
        <f>B405*$E$1867/E405</f>
        <v>287.10344866441142</v>
      </c>
      <c r="I405" s="1">
        <f>C405*$E$1867/E405</f>
        <v>13.241161904879345</v>
      </c>
      <c r="J405" s="26">
        <f t="shared" si="31"/>
        <v>1574.9736005732038</v>
      </c>
      <c r="K405" s="1">
        <f>D405*$E$1867/E405</f>
        <v>20.613290401255099</v>
      </c>
      <c r="L405" s="26">
        <f t="shared" si="29"/>
        <v>113.07906036640418</v>
      </c>
      <c r="M405" s="10">
        <f>H405/AVERAGE(K285:K404)</f>
        <v>16.304651978851034</v>
      </c>
      <c r="N405" s="4">
        <f>J405/AVERAGE(L285:L404)</f>
        <v>19.449753427953677</v>
      </c>
      <c r="O405" s="36">
        <f>1/M405-(G405/100-(((E405/E285)^(1/10))-1))</f>
        <v>4.6216957947900691E-2</v>
      </c>
      <c r="R405" s="30"/>
      <c r="S405" s="30"/>
    </row>
    <row r="406" spans="1:19" ht="13" x14ac:dyDescent="0.3">
      <c r="A406" s="52" t="s">
        <v>422</v>
      </c>
      <c r="B406" s="6">
        <v>7.32</v>
      </c>
      <c r="C406" s="1">
        <v>0.32</v>
      </c>
      <c r="D406" s="6">
        <v>0.5</v>
      </c>
      <c r="E406" s="6">
        <v>8.2776793390000005</v>
      </c>
      <c r="F406" s="1">
        <f t="shared" si="30"/>
        <v>1904.7083333333028</v>
      </c>
      <c r="G406" s="17">
        <f>G398*4/12+G410*8/12</f>
        <v>3.4533333333333331</v>
      </c>
      <c r="H406" s="1">
        <f>B406*$E$1867/E406</f>
        <v>296.35320837353828</v>
      </c>
      <c r="I406" s="1">
        <f>C406*$E$1867/E406</f>
        <v>12.955331513597304</v>
      </c>
      <c r="J406" s="26">
        <f t="shared" si="31"/>
        <v>1631.6377966643677</v>
      </c>
      <c r="K406" s="1">
        <f>D406*$E$1867/E406</f>
        <v>20.242705489995785</v>
      </c>
      <c r="L406" s="26">
        <f t="shared" si="29"/>
        <v>111.45066917106337</v>
      </c>
      <c r="M406" s="10">
        <f>H406/AVERAGE(K286:K405)</f>
        <v>16.742600049163688</v>
      </c>
      <c r="N406" s="4">
        <f>J406/AVERAGE(L286:L405)</f>
        <v>19.988235376712051</v>
      </c>
      <c r="O406" s="36">
        <f>1/M406-(G406/100-(((E406/E286)^(1/10))-1))</f>
        <v>4.4299089228069841E-2</v>
      </c>
      <c r="R406" s="30"/>
      <c r="S406" s="30"/>
    </row>
    <row r="407" spans="1:19" ht="13" x14ac:dyDescent="0.3">
      <c r="A407" s="52" t="s">
        <v>423</v>
      </c>
      <c r="B407" s="6">
        <v>7.75</v>
      </c>
      <c r="C407" s="1">
        <v>0.31669999999999998</v>
      </c>
      <c r="D407" s="6">
        <v>0.49669999999999997</v>
      </c>
      <c r="E407" s="6">
        <v>8.2776793390000005</v>
      </c>
      <c r="F407" s="1">
        <f t="shared" si="30"/>
        <v>1904.791666666636</v>
      </c>
      <c r="G407" s="17">
        <f>G398*3/12+G410*9/12</f>
        <v>3.46</v>
      </c>
      <c r="H407" s="1">
        <f>B407*$E$1867/E407</f>
        <v>313.7619350949347</v>
      </c>
      <c r="I407" s="1">
        <f>C407*$E$1867/E407</f>
        <v>12.821729657363329</v>
      </c>
      <c r="J407" s="26">
        <f t="shared" si="31"/>
        <v>1733.3681099725618</v>
      </c>
      <c r="K407" s="1">
        <f>D407*$E$1867/E407</f>
        <v>20.109103633761812</v>
      </c>
      <c r="L407" s="26">
        <f t="shared" si="29"/>
        <v>111.0921213191447</v>
      </c>
      <c r="M407" s="10">
        <f>H407/AVERAGE(K287:K406)</f>
        <v>17.633197370821403</v>
      </c>
      <c r="N407" s="4">
        <f>J407/AVERAGE(L287:L406)</f>
        <v>21.065460476613328</v>
      </c>
      <c r="O407" s="36">
        <f>1/M407-(G407/100-(((E407/E287)^(1/10))-1))</f>
        <v>4.4090692490658778E-2</v>
      </c>
      <c r="R407" s="30"/>
      <c r="S407" s="30"/>
    </row>
    <row r="408" spans="1:19" ht="13" x14ac:dyDescent="0.3">
      <c r="A408" s="52" t="s">
        <v>424</v>
      </c>
      <c r="B408" s="6">
        <v>8.17</v>
      </c>
      <c r="C408" s="1">
        <v>0.31330000000000002</v>
      </c>
      <c r="D408" s="6">
        <v>0.49330000000000002</v>
      </c>
      <c r="E408" s="6">
        <v>8.4679289260000008</v>
      </c>
      <c r="F408" s="1">
        <f t="shared" si="30"/>
        <v>1904.8749999999693</v>
      </c>
      <c r="G408" s="17">
        <f>G398*2/12+G410*10/12</f>
        <v>3.4666666666666668</v>
      </c>
      <c r="H408" s="1">
        <f>B408*$E$1867/E408</f>
        <v>323.33446778152609</v>
      </c>
      <c r="I408" s="1">
        <f>C408*$E$1867/E408</f>
        <v>12.399105110887653</v>
      </c>
      <c r="J408" s="26">
        <f t="shared" si="31"/>
        <v>1791.959476919807</v>
      </c>
      <c r="K408" s="1">
        <f>D408*$E$1867/E408</f>
        <v>19.522753115866195</v>
      </c>
      <c r="L408" s="26">
        <f t="shared" si="29"/>
        <v>108.19750427962555</v>
      </c>
      <c r="M408" s="10">
        <f>H408/AVERAGE(K288:K407)</f>
        <v>18.076200223770066</v>
      </c>
      <c r="N408" s="4">
        <f>J408/AVERAGE(L288:L407)</f>
        <v>21.605365463826747</v>
      </c>
      <c r="O408" s="36">
        <f>1/M408-(G408/100-(((E408/E288)^(1/10))-1))</f>
        <v>4.4959090131715312E-2</v>
      </c>
      <c r="R408" s="30"/>
      <c r="S408" s="30"/>
    </row>
    <row r="409" spans="1:19" ht="13" x14ac:dyDescent="0.3">
      <c r="A409" s="52" t="s">
        <v>425</v>
      </c>
      <c r="B409" s="6">
        <v>8.25</v>
      </c>
      <c r="C409" s="1">
        <v>0.31</v>
      </c>
      <c r="D409" s="6">
        <v>0.49</v>
      </c>
      <c r="E409" s="6">
        <v>8.4679289260000008</v>
      </c>
      <c r="F409" s="1">
        <f t="shared" si="30"/>
        <v>1904.9583333333026</v>
      </c>
      <c r="G409" s="17">
        <f>G398*1/12+G410*11/12</f>
        <v>3.4733333333333332</v>
      </c>
      <c r="H409" s="1">
        <f>B409*$E$1867/E409</f>
        <v>326.50053356151653</v>
      </c>
      <c r="I409" s="1">
        <f>C409*$E$1867/E409</f>
        <v>12.268504897463044</v>
      </c>
      <c r="J409" s="26">
        <f t="shared" si="31"/>
        <v>1815.1723342809676</v>
      </c>
      <c r="K409" s="1">
        <f>D409*$E$1867/E409</f>
        <v>19.392152902441588</v>
      </c>
      <c r="L409" s="26">
        <f t="shared" si="29"/>
        <v>107.81023561183929</v>
      </c>
      <c r="M409" s="10">
        <f>H409/AVERAGE(K289:K408)</f>
        <v>18.159679118703199</v>
      </c>
      <c r="N409" s="4">
        <f>J409/AVERAGE(L289:L408)</f>
        <v>21.716798230078176</v>
      </c>
      <c r="O409" s="36">
        <f>1/M409-(G409/100-(((E409/E289)^(1/10))-1))</f>
        <v>4.611294789559358E-2</v>
      </c>
      <c r="R409" s="30"/>
      <c r="S409" s="30"/>
    </row>
    <row r="410" spans="1:19" ht="13" x14ac:dyDescent="0.3">
      <c r="A410" s="52" t="s">
        <v>426</v>
      </c>
      <c r="B410" s="6">
        <v>8.43</v>
      </c>
      <c r="C410" s="1">
        <v>0.31169999999999998</v>
      </c>
      <c r="D410" s="6">
        <v>0.505</v>
      </c>
      <c r="E410" s="6">
        <v>8.4679289260000008</v>
      </c>
      <c r="F410" s="1">
        <f t="shared" si="30"/>
        <v>1905.0416666666358</v>
      </c>
      <c r="G410" s="17">
        <v>3.48</v>
      </c>
      <c r="H410" s="1">
        <f>B410*$E$1867/E410</f>
        <v>333.62418156649505</v>
      </c>
      <c r="I410" s="1">
        <f>C410*$E$1867/E410</f>
        <v>12.335783795287842</v>
      </c>
      <c r="J410" s="26">
        <f t="shared" si="31"/>
        <v>1860.4911368935157</v>
      </c>
      <c r="K410" s="1">
        <f>D410*$E$1867/E410</f>
        <v>19.9857902361898</v>
      </c>
      <c r="L410" s="26">
        <f t="shared" si="29"/>
        <v>111.45290914961156</v>
      </c>
      <c r="M410" s="10">
        <f>H410/AVERAGE(K290:K409)</f>
        <v>18.459852032455846</v>
      </c>
      <c r="N410" s="4">
        <f>J410/AVERAGE(L290:L409)</f>
        <v>22.087689801665348</v>
      </c>
      <c r="O410" s="36">
        <f>1/M410-(G410/100-(((E410/E290)^(1/10))-1))</f>
        <v>4.5150844065334227E-2</v>
      </c>
      <c r="R410" s="30"/>
      <c r="S410" s="30"/>
    </row>
    <row r="411" spans="1:19" ht="13" x14ac:dyDescent="0.3">
      <c r="A411" s="52" t="s">
        <v>427</v>
      </c>
      <c r="B411" s="6">
        <v>8.8000000000000007</v>
      </c>
      <c r="C411" s="1">
        <v>0.31330000000000002</v>
      </c>
      <c r="D411" s="6">
        <v>0.52</v>
      </c>
      <c r="E411" s="6">
        <v>8.4679289260000008</v>
      </c>
      <c r="F411" s="1">
        <f t="shared" si="30"/>
        <v>1905.1249999999691</v>
      </c>
      <c r="G411" s="17">
        <f>G410*11/12+G422*1/12</f>
        <v>3.4758333333333331</v>
      </c>
      <c r="H411" s="1">
        <f>B411*$E$1867/E411</f>
        <v>348.26723579895099</v>
      </c>
      <c r="I411" s="1">
        <f>C411*$E$1867/E411</f>
        <v>12.399105110887653</v>
      </c>
      <c r="J411" s="26">
        <f t="shared" si="31"/>
        <v>1947.9117826131283</v>
      </c>
      <c r="K411" s="1">
        <f>D411*$E$1867/E411</f>
        <v>20.579427569938012</v>
      </c>
      <c r="L411" s="26">
        <f t="shared" si="29"/>
        <v>115.10387806350303</v>
      </c>
      <c r="M411" s="10">
        <f>H411/AVERAGE(K291:K410)</f>
        <v>19.168996375829835</v>
      </c>
      <c r="N411" s="4">
        <f>J411/AVERAGE(L291:L410)</f>
        <v>22.944184172180925</v>
      </c>
      <c r="O411" s="36">
        <f>1/M411-(G411/100-(((E411/E291)^(1/10))-1))</f>
        <v>4.3188467656359641E-2</v>
      </c>
      <c r="R411" s="30"/>
      <c r="S411" s="30"/>
    </row>
    <row r="412" spans="1:19" ht="13" x14ac:dyDescent="0.3">
      <c r="A412" s="52" t="s">
        <v>428</v>
      </c>
      <c r="B412" s="6">
        <v>9.0500000000000007</v>
      </c>
      <c r="C412" s="1">
        <v>0.315</v>
      </c>
      <c r="D412" s="6">
        <v>0.53500000000000003</v>
      </c>
      <c r="E412" s="6">
        <v>8.3728446279999993</v>
      </c>
      <c r="F412" s="1">
        <f t="shared" si="30"/>
        <v>1905.2083333333023</v>
      </c>
      <c r="G412" s="17">
        <f>G410*10/12+G422*2/12</f>
        <v>3.4716666666666667</v>
      </c>
      <c r="H412" s="1">
        <f>B412*$E$1867/E412</f>
        <v>362.22856714163794</v>
      </c>
      <c r="I412" s="1">
        <f>C412*$E$1867/E412</f>
        <v>12.607955651891263</v>
      </c>
      <c r="J412" s="26">
        <f t="shared" si="31"/>
        <v>2031.8761570885249</v>
      </c>
      <c r="K412" s="1">
        <f>D412*$E$1867/E412</f>
        <v>21.413511980196276</v>
      </c>
      <c r="L412" s="26">
        <f t="shared" si="29"/>
        <v>120.11643580578573</v>
      </c>
      <c r="M412" s="10">
        <f>H412/AVERAGE(K292:K411)</f>
        <v>19.831506074218417</v>
      </c>
      <c r="N412" s="4">
        <f>J412/AVERAGE(L292:L411)</f>
        <v>23.742093324670737</v>
      </c>
      <c r="O412" s="36">
        <f>1/M412-(G412/100-(((E412/E292)^(1/10))-1))</f>
        <v>4.0329691823584674E-2</v>
      </c>
      <c r="R412" s="30"/>
      <c r="S412" s="30"/>
    </row>
    <row r="413" spans="1:19" ht="13" x14ac:dyDescent="0.3">
      <c r="A413" s="52" t="s">
        <v>429</v>
      </c>
      <c r="B413" s="6">
        <v>8.94</v>
      </c>
      <c r="C413" s="1">
        <v>0.31669999999999998</v>
      </c>
      <c r="D413" s="6">
        <v>0.55000000000000004</v>
      </c>
      <c r="E413" s="6">
        <v>8.3728446279999993</v>
      </c>
      <c r="F413" s="1">
        <f t="shared" si="30"/>
        <v>1905.2916666666356</v>
      </c>
      <c r="G413" s="17">
        <f>G410*9/12+G422*3/12</f>
        <v>3.4674999999999998</v>
      </c>
      <c r="H413" s="1">
        <f>B413*$E$1867/E413</f>
        <v>357.82578897748539</v>
      </c>
      <c r="I413" s="1">
        <f>C413*$E$1867/E413</f>
        <v>12.675998587155437</v>
      </c>
      <c r="J413" s="26">
        <f t="shared" si="31"/>
        <v>2013.10468979196</v>
      </c>
      <c r="K413" s="1">
        <f>D413*$E$1867/E413</f>
        <v>22.013890820762526</v>
      </c>
      <c r="L413" s="26">
        <f t="shared" si="29"/>
        <v>123.84872252635103</v>
      </c>
      <c r="M413" s="10">
        <f>H413/AVERAGE(K293:K412)</f>
        <v>19.48292752471129</v>
      </c>
      <c r="N413" s="4">
        <f>J413/AVERAGE(L293:L412)</f>
        <v>23.328639790056251</v>
      </c>
      <c r="O413" s="36">
        <f>1/M413-(G413/100-(((E413/E293)^(1/10))-1))</f>
        <v>3.6922139219511027E-2</v>
      </c>
      <c r="R413" s="30"/>
      <c r="S413" s="30"/>
    </row>
    <row r="414" spans="1:19" ht="13" x14ac:dyDescent="0.3">
      <c r="A414" s="52" t="s">
        <v>430</v>
      </c>
      <c r="B414" s="6">
        <v>8.5</v>
      </c>
      <c r="C414" s="1">
        <v>0.31830000000000003</v>
      </c>
      <c r="D414" s="6">
        <v>0.56499999999999995</v>
      </c>
      <c r="E414" s="6">
        <v>8.2776793390000005</v>
      </c>
      <c r="F414" s="1">
        <f t="shared" si="30"/>
        <v>1905.3749999999688</v>
      </c>
      <c r="G414" s="17">
        <f>G410*8/12+G422*4/12</f>
        <v>3.4633333333333329</v>
      </c>
      <c r="H414" s="1">
        <f>B414*$E$1867/E414</f>
        <v>344.12599332992835</v>
      </c>
      <c r="I414" s="1">
        <f>C414*$E$1867/E414</f>
        <v>12.886506314931317</v>
      </c>
      <c r="J414" s="26">
        <f t="shared" si="31"/>
        <v>1942.072081768415</v>
      </c>
      <c r="K414" s="1">
        <f>D414*$E$1867/E414</f>
        <v>22.874257203695233</v>
      </c>
      <c r="L414" s="26">
        <f t="shared" si="29"/>
        <v>129.09067367048874</v>
      </c>
      <c r="M414" s="10">
        <f>H414/AVERAGE(K294:K413)</f>
        <v>18.629487509845134</v>
      </c>
      <c r="N414" s="4">
        <f>J414/AVERAGE(L294:L413)</f>
        <v>22.313429429486121</v>
      </c>
      <c r="O414" s="36">
        <f>1/M414-(G414/100-(((E414/E294)^(1/10))-1))</f>
        <v>3.6744785710864244E-2</v>
      </c>
      <c r="R414" s="30"/>
      <c r="S414" s="30"/>
    </row>
    <row r="415" spans="1:19" ht="13" x14ac:dyDescent="0.3">
      <c r="A415" s="52" t="s">
        <v>431</v>
      </c>
      <c r="B415" s="6">
        <v>8.6</v>
      </c>
      <c r="C415" s="1">
        <v>0.32</v>
      </c>
      <c r="D415" s="6">
        <v>0.57999999999999996</v>
      </c>
      <c r="E415" s="6">
        <v>8.2776793390000005</v>
      </c>
      <c r="F415" s="1">
        <f t="shared" si="30"/>
        <v>1905.4583333333021</v>
      </c>
      <c r="G415" s="17">
        <f>G410*7/12+G422*5/12</f>
        <v>3.4591666666666665</v>
      </c>
      <c r="H415" s="1">
        <f>B415*$E$1867/E415</f>
        <v>348.17453442792748</v>
      </c>
      <c r="I415" s="1">
        <f>C415*$E$1867/E415</f>
        <v>12.955331513597304</v>
      </c>
      <c r="J415" s="26">
        <f t="shared" si="31"/>
        <v>1971.0127637712385</v>
      </c>
      <c r="K415" s="1">
        <f>D415*$E$1867/E415</f>
        <v>23.48153836839511</v>
      </c>
      <c r="L415" s="26">
        <f t="shared" si="29"/>
        <v>132.92876778922306</v>
      </c>
      <c r="M415" s="10">
        <f>H415/AVERAGE(K295:K414)</f>
        <v>18.735862386183531</v>
      </c>
      <c r="N415" s="4">
        <f>J415/AVERAGE(L295:L414)</f>
        <v>22.445296542536891</v>
      </c>
      <c r="O415" s="36">
        <f>1/M415-(G415/100-(((E415/E295)^(1/10))-1))</f>
        <v>3.5098049687541745E-2</v>
      </c>
      <c r="R415" s="30"/>
      <c r="S415" s="30"/>
    </row>
    <row r="416" spans="1:19" ht="13" x14ac:dyDescent="0.3">
      <c r="A416" s="52" t="s">
        <v>432</v>
      </c>
      <c r="B416" s="6">
        <v>8.8699999999999992</v>
      </c>
      <c r="C416" s="1">
        <v>0.32169999999999999</v>
      </c>
      <c r="D416" s="6">
        <v>0.59499999999999997</v>
      </c>
      <c r="E416" s="6">
        <v>8.2776793390000005</v>
      </c>
      <c r="F416" s="1">
        <f t="shared" si="30"/>
        <v>1905.5416666666354</v>
      </c>
      <c r="G416" s="17">
        <f>G410*6/12+G422*6/12</f>
        <v>3.4550000000000001</v>
      </c>
      <c r="H416" s="1">
        <f>B416*$E$1867/E416</f>
        <v>359.10559539252517</v>
      </c>
      <c r="I416" s="1">
        <f>C416*$E$1867/E416</f>
        <v>13.024156712263288</v>
      </c>
      <c r="J416" s="26">
        <f t="shared" si="31"/>
        <v>2039.0375327705024</v>
      </c>
      <c r="K416" s="1">
        <f>D416*$E$1867/E416</f>
        <v>24.088819533094984</v>
      </c>
      <c r="L416" s="26">
        <f t="shared" si="29"/>
        <v>136.77872965033248</v>
      </c>
      <c r="M416" s="10">
        <f>H416/AVERAGE(K296:K415)</f>
        <v>19.205883309548049</v>
      </c>
      <c r="N416" s="4">
        <f>J416/AVERAGE(L296:L415)</f>
        <v>23.009841754484817</v>
      </c>
      <c r="O416" s="36">
        <f>1/M416-(G416/100-(((E416/E296)^(1/10))-1))</f>
        <v>3.5217155866494557E-2</v>
      </c>
      <c r="R416" s="30"/>
      <c r="S416" s="30"/>
    </row>
    <row r="417" spans="1:19" ht="13" x14ac:dyDescent="0.3">
      <c r="A417" s="52" t="s">
        <v>433</v>
      </c>
      <c r="B417" s="6">
        <v>9.1999999999999993</v>
      </c>
      <c r="C417" s="1">
        <v>0.32329999999999998</v>
      </c>
      <c r="D417" s="6">
        <v>0.61</v>
      </c>
      <c r="E417" s="6">
        <v>8.3728446279999993</v>
      </c>
      <c r="F417" s="1">
        <f t="shared" si="30"/>
        <v>1905.6249999999686</v>
      </c>
      <c r="G417" s="17">
        <f>G410*5/12+G422*7/12</f>
        <v>3.4508333333333336</v>
      </c>
      <c r="H417" s="1">
        <f>B417*$E$1867/E417</f>
        <v>368.23235554730036</v>
      </c>
      <c r="I417" s="1">
        <f>C417*$E$1867/E417</f>
        <v>12.940165277004589</v>
      </c>
      <c r="J417" s="26">
        <f t="shared" si="31"/>
        <v>2096.9831537758632</v>
      </c>
      <c r="K417" s="1">
        <f>D417*$E$1867/E417</f>
        <v>24.415406183027528</v>
      </c>
      <c r="L417" s="26">
        <f t="shared" si="29"/>
        <v>139.03910041339967</v>
      </c>
      <c r="M417" s="10">
        <f>H417/AVERAGE(K297:K416)</f>
        <v>19.573308430803724</v>
      </c>
      <c r="N417" s="4">
        <f>J417/AVERAGE(L297:L416)</f>
        <v>23.447498517743689</v>
      </c>
      <c r="O417" s="36">
        <f>1/M417-(G417/100-(((E417/E297)^(1/10))-1))</f>
        <v>3.6851800488857687E-2</v>
      </c>
      <c r="R417" s="30"/>
      <c r="S417" s="30"/>
    </row>
    <row r="418" spans="1:19" ht="13" x14ac:dyDescent="0.3">
      <c r="A418" s="52" t="s">
        <v>434</v>
      </c>
      <c r="B418" s="6">
        <v>9.23</v>
      </c>
      <c r="C418" s="1">
        <v>0.32500000000000001</v>
      </c>
      <c r="D418" s="6">
        <v>0.625</v>
      </c>
      <c r="E418" s="6">
        <v>8.2776793390000005</v>
      </c>
      <c r="F418" s="1">
        <f t="shared" si="30"/>
        <v>1905.7083333333019</v>
      </c>
      <c r="G418" s="17">
        <f>G410*4/12+G422*8/12</f>
        <v>3.4466666666666663</v>
      </c>
      <c r="H418" s="1">
        <f>B418*$E$1867/E418</f>
        <v>373.68034334532223</v>
      </c>
      <c r="I418" s="1">
        <f>C418*$E$1867/E418</f>
        <v>13.157758568497261</v>
      </c>
      <c r="J418" s="26">
        <f t="shared" si="31"/>
        <v>2134.2521179665032</v>
      </c>
      <c r="K418" s="1">
        <f>D418*$E$1867/E418</f>
        <v>25.303381862494732</v>
      </c>
      <c r="L418" s="26">
        <f t="shared" si="29"/>
        <v>144.51869704540243</v>
      </c>
      <c r="M418" s="10">
        <f>H418/AVERAGE(K298:K417)</f>
        <v>19.743492419697777</v>
      </c>
      <c r="N418" s="4">
        <f>J418/AVERAGE(L298:L417)</f>
        <v>23.647692425098626</v>
      </c>
      <c r="O418" s="36">
        <f>1/M418-(G418/100-(((E418/E298)^(1/10))-1))</f>
        <v>3.5287476611482196E-2</v>
      </c>
      <c r="R418" s="30"/>
      <c r="S418" s="30"/>
    </row>
    <row r="419" spans="1:19" ht="13" x14ac:dyDescent="0.3">
      <c r="A419" s="52" t="s">
        <v>435</v>
      </c>
      <c r="B419" s="6">
        <v>9.36</v>
      </c>
      <c r="C419" s="1">
        <v>0.32669999999999999</v>
      </c>
      <c r="D419" s="6">
        <v>0.64</v>
      </c>
      <c r="E419" s="6">
        <v>8.2776793390000005</v>
      </c>
      <c r="F419" s="1">
        <f t="shared" si="30"/>
        <v>1905.7916666666351</v>
      </c>
      <c r="G419" s="17">
        <f>G410*3/12+G422*9/12</f>
        <v>3.4425000000000003</v>
      </c>
      <c r="H419" s="1">
        <f>B419*$E$1867/E419</f>
        <v>378.94344677272107</v>
      </c>
      <c r="I419" s="1">
        <f>C419*$E$1867/E419</f>
        <v>13.226583767163245</v>
      </c>
      <c r="J419" s="26">
        <f t="shared" si="31"/>
        <v>2170.6072413952447</v>
      </c>
      <c r="K419" s="1">
        <f>D419*$E$1867/E419</f>
        <v>25.910663027194609</v>
      </c>
      <c r="L419" s="26">
        <f t="shared" si="29"/>
        <v>148.41758915523044</v>
      </c>
      <c r="M419" s="10">
        <f>H419/AVERAGE(K299:K418)</f>
        <v>19.897394814329523</v>
      </c>
      <c r="N419" s="4">
        <f>J419/AVERAGE(L299:L418)</f>
        <v>23.825645601554918</v>
      </c>
      <c r="O419" s="36">
        <f>1/M419-(G419/100-(((E419/E299)^(1/10))-1))</f>
        <v>3.4937378685382096E-2</v>
      </c>
      <c r="R419" s="30"/>
      <c r="S419" s="30"/>
    </row>
    <row r="420" spans="1:19" ht="13" x14ac:dyDescent="0.3">
      <c r="A420" s="52" t="s">
        <v>436</v>
      </c>
      <c r="B420" s="6">
        <v>9.31</v>
      </c>
      <c r="C420" s="1">
        <v>0.32829999999999998</v>
      </c>
      <c r="D420" s="6">
        <v>0.65500000000000003</v>
      </c>
      <c r="E420" s="6">
        <v>8.3728446279999993</v>
      </c>
      <c r="F420" s="1">
        <f t="shared" si="30"/>
        <v>1905.8749999999684</v>
      </c>
      <c r="G420" s="17">
        <f>G410*2/12+G422*10/12</f>
        <v>3.4383333333333339</v>
      </c>
      <c r="H420" s="1">
        <f>B420*$E$1867/E420</f>
        <v>372.63513371145291</v>
      </c>
      <c r="I420" s="1">
        <f>C420*$E$1867/E420</f>
        <v>13.140291557193338</v>
      </c>
      <c r="J420" s="26">
        <f t="shared" si="31"/>
        <v>2140.7452595063664</v>
      </c>
      <c r="K420" s="1">
        <f>D420*$E$1867/E420</f>
        <v>26.21654270472628</v>
      </c>
      <c r="L420" s="26">
        <f t="shared" si="29"/>
        <v>150.61097153347691</v>
      </c>
      <c r="M420" s="10">
        <f>H420/AVERAGE(K300:K419)</f>
        <v>19.443525693264974</v>
      </c>
      <c r="N420" s="4">
        <f>J420/AVERAGE(L300:L419)</f>
        <v>23.275233759234006</v>
      </c>
      <c r="O420" s="36">
        <f>1/M420-(G420/100-(((E420/E300)^(1/10))-1))</f>
        <v>3.7317818779079977E-2</v>
      </c>
      <c r="R420" s="30"/>
      <c r="S420" s="30"/>
    </row>
    <row r="421" spans="1:19" ht="13" x14ac:dyDescent="0.3">
      <c r="A421" s="52" t="s">
        <v>437</v>
      </c>
      <c r="B421" s="6">
        <v>9.5399999999999991</v>
      </c>
      <c r="C421" s="1">
        <v>0.33</v>
      </c>
      <c r="D421" s="6">
        <v>0.67</v>
      </c>
      <c r="E421" s="6">
        <v>8.4679289260000008</v>
      </c>
      <c r="F421" s="1">
        <f t="shared" si="30"/>
        <v>1905.9583333333017</v>
      </c>
      <c r="G421" s="17">
        <f>G410*1/12+G422*11/12</f>
        <v>3.434166666666667</v>
      </c>
      <c r="H421" s="1">
        <f>B421*$E$1867/E421</f>
        <v>377.5533442638627</v>
      </c>
      <c r="I421" s="1">
        <f>C421*$E$1867/E421</f>
        <v>13.060021342460663</v>
      </c>
      <c r="J421" s="26">
        <f t="shared" si="31"/>
        <v>2175.2521618178807</v>
      </c>
      <c r="K421" s="1">
        <f>D421*$E$1867/E421</f>
        <v>26.515800907420132</v>
      </c>
      <c r="L421" s="26">
        <f t="shared" si="29"/>
        <v>152.76928180481974</v>
      </c>
      <c r="M421" s="10">
        <f>H421/AVERAGE(K301:K420)</f>
        <v>19.577960809096112</v>
      </c>
      <c r="N421" s="4">
        <f>J421/AVERAGE(L301:L420)</f>
        <v>23.427096972362239</v>
      </c>
      <c r="O421" s="36">
        <f>1/M421-(G421/100-(((E421/E301)^(1/10))-1))</f>
        <v>3.9588610620698392E-2</v>
      </c>
      <c r="R421" s="30"/>
      <c r="S421" s="30"/>
    </row>
    <row r="422" spans="1:19" ht="13" x14ac:dyDescent="0.3">
      <c r="A422" s="52" t="s">
        <v>438</v>
      </c>
      <c r="B422" s="6">
        <v>9.8699999999999992</v>
      </c>
      <c r="C422" s="1">
        <v>0.33579999999999999</v>
      </c>
      <c r="D422" s="6">
        <v>0.67749999999999999</v>
      </c>
      <c r="E422" s="6">
        <v>8.4679289260000008</v>
      </c>
      <c r="F422" s="1">
        <f t="shared" si="30"/>
        <v>1906.0416666666349</v>
      </c>
      <c r="G422" s="17">
        <v>3.43</v>
      </c>
      <c r="H422" s="1">
        <f>B422*$E$1867/E422</f>
        <v>390.61336560632338</v>
      </c>
      <c r="I422" s="1">
        <f>C422*$E$1867/E422</f>
        <v>13.28956111150997</v>
      </c>
      <c r="J422" s="26">
        <f t="shared" si="31"/>
        <v>2256.8773211185207</v>
      </c>
      <c r="K422" s="1">
        <f>D422*$E$1867/E422</f>
        <v>26.812619574294235</v>
      </c>
      <c r="L422" s="26">
        <f t="shared" si="29"/>
        <v>154.91736424091164</v>
      </c>
      <c r="M422" s="10">
        <f>H422/AVERAGE(K302:K421)</f>
        <v>20.132402260807886</v>
      </c>
      <c r="N422" s="4">
        <f>J422/AVERAGE(L302:L421)</f>
        <v>24.078997473407554</v>
      </c>
      <c r="O422" s="36">
        <f>1/M422-(G422/100-(((E422/E302)^(1/10))-1))</f>
        <v>3.9675566924175953E-2</v>
      </c>
      <c r="R422" s="30"/>
      <c r="S422" s="30"/>
    </row>
    <row r="423" spans="1:19" ht="13" x14ac:dyDescent="0.3">
      <c r="A423" s="52" t="s">
        <v>439</v>
      </c>
      <c r="B423" s="6">
        <v>9.8000000000000007</v>
      </c>
      <c r="C423" s="1">
        <v>0.3417</v>
      </c>
      <c r="D423" s="6">
        <v>0.68500000000000005</v>
      </c>
      <c r="E423" s="6">
        <v>8.4679289260000008</v>
      </c>
      <c r="F423" s="1">
        <f t="shared" si="30"/>
        <v>1906.1249999999682</v>
      </c>
      <c r="G423" s="17">
        <f>G422*11/12+G434*1/12</f>
        <v>3.45</v>
      </c>
      <c r="H423" s="1">
        <f>B423*$E$1867/E423</f>
        <v>387.84305804883184</v>
      </c>
      <c r="I423" s="1">
        <f>C423*$E$1867/E423</f>
        <v>13.523058462784267</v>
      </c>
      <c r="J423" s="26">
        <f t="shared" si="31"/>
        <v>2247.3822014873717</v>
      </c>
      <c r="K423" s="1">
        <f>D423*$E$1867/E423</f>
        <v>27.109438241168345</v>
      </c>
      <c r="L423" s="26">
        <f t="shared" si="29"/>
        <v>157.08742938967853</v>
      </c>
      <c r="M423" s="10">
        <f>H423/AVERAGE(K303:K422)</f>
        <v>19.866752563675885</v>
      </c>
      <c r="N423" s="4">
        <f>J423/AVERAGE(L303:L422)</f>
        <v>23.75161331769667</v>
      </c>
      <c r="O423" s="36">
        <f>1/M423-(G423/100-(((E423/E303)^(1/10))-1))</f>
        <v>4.161458175295276E-2</v>
      </c>
      <c r="R423" s="30"/>
      <c r="S423" s="30"/>
    </row>
    <row r="424" spans="1:19" ht="13" x14ac:dyDescent="0.3">
      <c r="A424" s="52" t="s">
        <v>440</v>
      </c>
      <c r="B424" s="6">
        <v>9.56</v>
      </c>
      <c r="C424" s="1">
        <v>0.34749999999999998</v>
      </c>
      <c r="D424" s="6">
        <v>0.6925</v>
      </c>
      <c r="E424" s="6">
        <v>8.4679289260000008</v>
      </c>
      <c r="F424" s="1">
        <f t="shared" si="30"/>
        <v>1906.2083333333014</v>
      </c>
      <c r="G424" s="17">
        <f>G422*10/12+G434*2/12</f>
        <v>3.4700000000000006</v>
      </c>
      <c r="H424" s="1">
        <f>B424*$E$1867/E424</f>
        <v>378.34486070886038</v>
      </c>
      <c r="I424" s="1">
        <f>C424*$E$1867/E424</f>
        <v>13.752598231833574</v>
      </c>
      <c r="J424" s="26">
        <f t="shared" si="31"/>
        <v>2198.9851315446267</v>
      </c>
      <c r="K424" s="1">
        <f>D424*$E$1867/E424</f>
        <v>27.406256908042451</v>
      </c>
      <c r="L424" s="26">
        <f t="shared" si="29"/>
        <v>159.28841041785086</v>
      </c>
      <c r="M424" s="10">
        <f>H424/AVERAGE(K304:K423)</f>
        <v>19.259453020854107</v>
      </c>
      <c r="N424" s="4">
        <f>J424/AVERAGE(L304:L423)</f>
        <v>23.019077336408856</v>
      </c>
      <c r="O424" s="36">
        <f>1/M424-(G424/100-(((E424/E304)^(1/10))-1))</f>
        <v>4.3001783462784965E-2</v>
      </c>
      <c r="R424" s="30"/>
      <c r="S424" s="30"/>
    </row>
    <row r="425" spans="1:19" ht="13" x14ac:dyDescent="0.3">
      <c r="A425" s="52" t="s">
        <v>441</v>
      </c>
      <c r="B425" s="6">
        <v>9.43</v>
      </c>
      <c r="C425" s="1">
        <v>0.3533</v>
      </c>
      <c r="D425" s="6">
        <v>0.7</v>
      </c>
      <c r="E425" s="6">
        <v>8.4679289260000008</v>
      </c>
      <c r="F425" s="1">
        <f t="shared" si="30"/>
        <v>1906.2916666666347</v>
      </c>
      <c r="G425" s="17">
        <f>G422*9/12+G434*3/12</f>
        <v>3.49</v>
      </c>
      <c r="H425" s="1">
        <f>B425*$E$1867/E425</f>
        <v>373.20000381637584</v>
      </c>
      <c r="I425" s="1">
        <f>C425*$E$1867/E425</f>
        <v>13.982138000882884</v>
      </c>
      <c r="J425" s="26">
        <f t="shared" si="31"/>
        <v>2175.8547675432765</v>
      </c>
      <c r="K425" s="1">
        <f>D425*$E$1867/E425</f>
        <v>27.703075574916554</v>
      </c>
      <c r="L425" s="26">
        <f t="shared" si="29"/>
        <v>161.51626058115519</v>
      </c>
      <c r="M425" s="10">
        <f>H425/AVERAGE(K305:K424)</f>
        <v>18.876204996115874</v>
      </c>
      <c r="N425" s="4">
        <f>J425/AVERAGE(L305:L424)</f>
        <v>22.557115123058139</v>
      </c>
      <c r="O425" s="36">
        <f>1/M425-(G425/100-(((E425/E305)^(1/10))-1))</f>
        <v>4.5354641484752121E-2</v>
      </c>
      <c r="R425" s="30"/>
      <c r="S425" s="30"/>
    </row>
    <row r="426" spans="1:19" ht="13" x14ac:dyDescent="0.3">
      <c r="A426" s="52" t="s">
        <v>442</v>
      </c>
      <c r="B426" s="6">
        <v>9.18</v>
      </c>
      <c r="C426" s="1">
        <v>0.35920000000000002</v>
      </c>
      <c r="D426" s="6">
        <v>0.70750000000000002</v>
      </c>
      <c r="E426" s="6">
        <v>8.5630942149999996</v>
      </c>
      <c r="F426" s="1">
        <f t="shared" si="30"/>
        <v>1906.3749999999679</v>
      </c>
      <c r="G426" s="17">
        <f>G422*8/12+G434*4/12</f>
        <v>3.51</v>
      </c>
      <c r="H426" s="1">
        <f>B426*$E$1867/E426</f>
        <v>359.26847442726637</v>
      </c>
      <c r="I426" s="1">
        <f>C426*$E$1867/E426</f>
        <v>14.057650981947068</v>
      </c>
      <c r="J426" s="26">
        <f t="shared" si="31"/>
        <v>2101.4602504458717</v>
      </c>
      <c r="K426" s="1">
        <f>D426*$E$1867/E426</f>
        <v>27.688719570510997</v>
      </c>
      <c r="L426" s="26">
        <f t="shared" si="29"/>
        <v>161.95894631704294</v>
      </c>
      <c r="M426" s="10">
        <f>H426/AVERAGE(K306:K425)</f>
        <v>18.054044460926384</v>
      </c>
      <c r="N426" s="4">
        <f>J426/AVERAGE(L306:L425)</f>
        <v>21.57387211863319</v>
      </c>
      <c r="O426" s="36">
        <f>1/M426-(G426/100-(((E426/E306)^(1/10))-1))</f>
        <v>5.0240640291034415E-2</v>
      </c>
      <c r="R426" s="30"/>
      <c r="S426" s="30"/>
    </row>
    <row r="427" spans="1:19" ht="13" x14ac:dyDescent="0.3">
      <c r="A427" s="52" t="s">
        <v>443</v>
      </c>
      <c r="B427" s="6">
        <v>9.3000000000000007</v>
      </c>
      <c r="C427" s="1">
        <v>0.36499999999999999</v>
      </c>
      <c r="D427" s="6">
        <v>0.71499999999999997</v>
      </c>
      <c r="E427" s="6">
        <v>8.5630942149999996</v>
      </c>
      <c r="F427" s="1">
        <f t="shared" si="30"/>
        <v>1906.4583333333012</v>
      </c>
      <c r="G427" s="17">
        <f>G422*7/12+G434*5/12</f>
        <v>3.5300000000000002</v>
      </c>
      <c r="H427" s="1">
        <f>B427*$E$1867/E427</f>
        <v>363.96479435442023</v>
      </c>
      <c r="I427" s="1">
        <f>C427*$E$1867/E427</f>
        <v>14.284639778426168</v>
      </c>
      <c r="J427" s="26">
        <f t="shared" si="31"/>
        <v>2135.8932184202258</v>
      </c>
      <c r="K427" s="1">
        <f>D427*$E$1867/E427</f>
        <v>27.98223956595811</v>
      </c>
      <c r="L427" s="26">
        <f t="shared" si="29"/>
        <v>164.21114528714637</v>
      </c>
      <c r="M427" s="10">
        <f>H427/AVERAGE(K307:K426)</f>
        <v>18.172666376497496</v>
      </c>
      <c r="N427" s="4">
        <f>J427/AVERAGE(L307:L426)</f>
        <v>21.715576326751588</v>
      </c>
      <c r="O427" s="36">
        <f>1/M427-(G427/100-(((E427/E307)^(1/10))-1))</f>
        <v>5.1229005412075118E-2</v>
      </c>
      <c r="R427" s="30"/>
      <c r="S427" s="30"/>
    </row>
    <row r="428" spans="1:19" ht="13" x14ac:dyDescent="0.3">
      <c r="A428" s="52" t="s">
        <v>444</v>
      </c>
      <c r="B428" s="6">
        <v>9.06</v>
      </c>
      <c r="C428" s="1">
        <v>0.37080000000000002</v>
      </c>
      <c r="D428" s="6">
        <v>0.72250000000000003</v>
      </c>
      <c r="E428" s="6">
        <v>8.2776793390000005</v>
      </c>
      <c r="F428" s="1">
        <f t="shared" si="30"/>
        <v>1906.5416666666345</v>
      </c>
      <c r="G428" s="17">
        <f>G422*6/12+G434*6/12</f>
        <v>3.55</v>
      </c>
      <c r="H428" s="1">
        <f>B428*$E$1867/E428</f>
        <v>366.79782347872367</v>
      </c>
      <c r="I428" s="1">
        <f>C428*$E$1867/E428</f>
        <v>15.011990391380875</v>
      </c>
      <c r="J428" s="26">
        <f t="shared" si="31"/>
        <v>2159.8599551362154</v>
      </c>
      <c r="K428" s="1">
        <f>D428*$E$1867/E428</f>
        <v>29.250709433043912</v>
      </c>
      <c r="L428" s="26">
        <f t="shared" si="29"/>
        <v>172.2404875922644</v>
      </c>
      <c r="M428" s="10">
        <f>H428/AVERAGE(K308:K427)</f>
        <v>18.195200143513745</v>
      </c>
      <c r="N428" s="4">
        <f>J428/AVERAGE(L308:L427)</f>
        <v>21.745449504726249</v>
      </c>
      <c r="O428" s="36">
        <f>1/M428-(G428/100-(((E428/E308)^(1/10))-1))</f>
        <v>4.7470096242974616E-2</v>
      </c>
      <c r="R428" s="30"/>
      <c r="S428" s="30"/>
    </row>
    <row r="429" spans="1:19" ht="13" x14ac:dyDescent="0.3">
      <c r="A429" s="52" t="s">
        <v>445</v>
      </c>
      <c r="B429" s="6">
        <v>9.73</v>
      </c>
      <c r="C429" s="1">
        <v>0.37669999999999998</v>
      </c>
      <c r="D429" s="6">
        <v>0.73</v>
      </c>
      <c r="E429" s="6">
        <v>8.4679289260000008</v>
      </c>
      <c r="F429" s="1">
        <f t="shared" si="30"/>
        <v>1906.6249999999677</v>
      </c>
      <c r="G429" s="17">
        <f>G422*5/12+G434*7/12</f>
        <v>3.5700000000000003</v>
      </c>
      <c r="H429" s="1">
        <f>B429*$E$1867/E429</f>
        <v>385.07275049134012</v>
      </c>
      <c r="I429" s="1">
        <f>C429*$E$1867/E429</f>
        <v>14.908212241530094</v>
      </c>
      <c r="J429" s="26">
        <f t="shared" si="31"/>
        <v>2274.7859022325961</v>
      </c>
      <c r="K429" s="1">
        <f>D429*$E$1867/E429</f>
        <v>28.890350242412975</v>
      </c>
      <c r="L429" s="26">
        <f t="shared" si="29"/>
        <v>170.66739040388438</v>
      </c>
      <c r="M429" s="10">
        <f>H429/AVERAGE(K309:K428)</f>
        <v>18.96725147754929</v>
      </c>
      <c r="N429" s="4">
        <f>J429/AVERAGE(L309:L428)</f>
        <v>22.66560945231647</v>
      </c>
      <c r="O429" s="36">
        <f>1/M429-(G429/100-(((E429/E309)^(1/10))-1))</f>
        <v>4.737163429194409E-2</v>
      </c>
      <c r="R429" s="30"/>
      <c r="S429" s="30"/>
    </row>
    <row r="430" spans="1:19" ht="13" x14ac:dyDescent="0.3">
      <c r="A430" s="52" t="s">
        <v>446</v>
      </c>
      <c r="B430" s="6">
        <v>10.029999999999999</v>
      </c>
      <c r="C430" s="1">
        <v>0.38250000000000001</v>
      </c>
      <c r="D430" s="6">
        <v>0.73750000000000004</v>
      </c>
      <c r="E430" s="6">
        <v>8.5630942149999996</v>
      </c>
      <c r="F430" s="1">
        <f t="shared" si="30"/>
        <v>1906.708333333301</v>
      </c>
      <c r="G430" s="17">
        <f>G422*4/12+G434*8/12</f>
        <v>3.59</v>
      </c>
      <c r="H430" s="1">
        <f>B430*$E$1867/E430</f>
        <v>392.53407391127251</v>
      </c>
      <c r="I430" s="1">
        <f>C430*$E$1867/E430</f>
        <v>14.969519767802767</v>
      </c>
      <c r="J430" s="26">
        <f t="shared" si="31"/>
        <v>2326.2323306801163</v>
      </c>
      <c r="K430" s="1">
        <f>D430*$E$1867/E430</f>
        <v>28.86279955229945</v>
      </c>
      <c r="L430" s="26">
        <f t="shared" si="29"/>
        <v>171.04649490294972</v>
      </c>
      <c r="M430" s="10">
        <f>H430/AVERAGE(K310:K429)</f>
        <v>19.200993682001354</v>
      </c>
      <c r="N430" s="4">
        <f>J430/AVERAGE(L310:L429)</f>
        <v>22.942876422324751</v>
      </c>
      <c r="O430" s="36">
        <f>1/M430-(G430/100-(((E430/E310)^(1/10))-1))</f>
        <v>4.7681945197023012E-2</v>
      </c>
      <c r="R430" s="30"/>
      <c r="S430" s="30"/>
    </row>
    <row r="431" spans="1:19" ht="13" x14ac:dyDescent="0.3">
      <c r="A431" s="52" t="s">
        <v>447</v>
      </c>
      <c r="B431" s="6">
        <v>9.73</v>
      </c>
      <c r="C431" s="1">
        <v>0.38829999999999998</v>
      </c>
      <c r="D431" s="6">
        <v>0.745</v>
      </c>
      <c r="E431" s="6">
        <v>8.7534247930000006</v>
      </c>
      <c r="F431" s="1">
        <f t="shared" si="30"/>
        <v>1906.7916666666342</v>
      </c>
      <c r="G431" s="17">
        <f>G422*3/12+G434*9/12</f>
        <v>3.61</v>
      </c>
      <c r="H431" s="1">
        <f>B431*$E$1867/E431</f>
        <v>372.51347439548397</v>
      </c>
      <c r="I431" s="1">
        <f>C431*$E$1867/E431</f>
        <v>14.866082436563865</v>
      </c>
      <c r="J431" s="26">
        <f t="shared" si="31"/>
        <v>2214.9280168787432</v>
      </c>
      <c r="K431" s="1">
        <f>D431*$E$1867/E431</f>
        <v>28.522357494823794</v>
      </c>
      <c r="L431" s="26">
        <f t="shared" si="29"/>
        <v>169.59109687303837</v>
      </c>
      <c r="M431" s="10">
        <f>H431/AVERAGE(K311:K430)</f>
        <v>18.095380908869096</v>
      </c>
      <c r="N431" s="4">
        <f>J431/AVERAGE(L311:L430)</f>
        <v>21.623963085973966</v>
      </c>
      <c r="O431" s="36">
        <f>1/M431-(G431/100-(((E431/E311)^(1/10))-1))</f>
        <v>4.9852624506333092E-2</v>
      </c>
      <c r="R431" s="30"/>
      <c r="S431" s="30"/>
    </row>
    <row r="432" spans="1:19" ht="13" x14ac:dyDescent="0.3">
      <c r="A432" s="52" t="s">
        <v>448</v>
      </c>
      <c r="B432" s="6">
        <v>9.93</v>
      </c>
      <c r="C432" s="1">
        <v>0.39419999999999999</v>
      </c>
      <c r="D432" s="6">
        <v>0.75249999999999995</v>
      </c>
      <c r="E432" s="6">
        <v>8.8485090910000004</v>
      </c>
      <c r="F432" s="1">
        <f t="shared" si="30"/>
        <v>1906.8749999999675</v>
      </c>
      <c r="G432" s="17">
        <f>G422*2/12+G434*10/12</f>
        <v>3.6300000000000003</v>
      </c>
      <c r="H432" s="1">
        <f>B432*$E$1867/E432</f>
        <v>376.08524761360837</v>
      </c>
      <c r="I432" s="1">
        <f>C432*$E$1867/E432</f>
        <v>14.929788983815149</v>
      </c>
      <c r="J432" s="26">
        <f t="shared" si="31"/>
        <v>2243.5630112153449</v>
      </c>
      <c r="K432" s="1">
        <f>D432*$E$1867/E432</f>
        <v>28.49991428290436</v>
      </c>
      <c r="L432" s="26">
        <f t="shared" si="29"/>
        <v>170.01824430408328</v>
      </c>
      <c r="M432" s="10">
        <f>H432/AVERAGE(K312:K431)</f>
        <v>18.141851654007958</v>
      </c>
      <c r="N432" s="4">
        <f>J432/AVERAGE(L312:L431)</f>
        <v>21.683247782770643</v>
      </c>
      <c r="O432" s="36">
        <f>1/M432-(G432/100-(((E432/E312)^(1/10))-1))</f>
        <v>4.7638625427103377E-2</v>
      </c>
      <c r="R432" s="30"/>
      <c r="S432" s="30"/>
    </row>
    <row r="433" spans="1:19" ht="13" x14ac:dyDescent="0.3">
      <c r="A433" s="52" t="s">
        <v>449</v>
      </c>
      <c r="B433" s="6">
        <v>9.84</v>
      </c>
      <c r="C433" s="1">
        <v>0.4</v>
      </c>
      <c r="D433" s="6">
        <v>0.76</v>
      </c>
      <c r="E433" s="6">
        <v>8.9436743799999991</v>
      </c>
      <c r="F433" s="1">
        <f t="shared" si="30"/>
        <v>1906.9583333333007</v>
      </c>
      <c r="G433" s="17">
        <f>G422*1/12+G434*11/12</f>
        <v>3.6499999999999995</v>
      </c>
      <c r="H433" s="1">
        <f>B433*$E$1867/E433</f>
        <v>368.71114934307349</v>
      </c>
      <c r="I433" s="1">
        <f>C433*$E$1867/E433</f>
        <v>14.988258103376973</v>
      </c>
      <c r="J433" s="26">
        <f t="shared" si="31"/>
        <v>2207.0234347467213</v>
      </c>
      <c r="K433" s="1">
        <f>D433*$E$1867/E433</f>
        <v>28.477690396416246</v>
      </c>
      <c r="L433" s="26">
        <f t="shared" si="29"/>
        <v>170.46115959425896</v>
      </c>
      <c r="M433" s="10">
        <f>H433/AVERAGE(K313:K432)</f>
        <v>17.660003667768663</v>
      </c>
      <c r="N433" s="4">
        <f>J433/AVERAGE(L313:L432)</f>
        <v>21.113963621900119</v>
      </c>
      <c r="O433" s="36">
        <f>1/M433-(G433/100-(((E433/E313)^(1/10))-1))</f>
        <v>5.0043759456829949E-2</v>
      </c>
      <c r="R433" s="30"/>
      <c r="S433" s="30"/>
    </row>
    <row r="434" spans="1:19" ht="13" x14ac:dyDescent="0.3">
      <c r="A434" s="52" t="s">
        <v>450</v>
      </c>
      <c r="B434" s="6">
        <v>9.56</v>
      </c>
      <c r="C434" s="1">
        <v>0.40329999999999999</v>
      </c>
      <c r="D434" s="6">
        <v>0.75170000000000003</v>
      </c>
      <c r="E434" s="6">
        <v>8.8485090910000004</v>
      </c>
      <c r="F434" s="1">
        <f t="shared" si="30"/>
        <v>1907.041666666634</v>
      </c>
      <c r="G434" s="17">
        <v>3.67</v>
      </c>
      <c r="H434" s="1">
        <f>B434*$E$1867/E434</f>
        <v>362.07200072367539</v>
      </c>
      <c r="I434" s="1">
        <f>C434*$E$1867/E434</f>
        <v>15.274439110027016</v>
      </c>
      <c r="J434" s="26">
        <f t="shared" si="31"/>
        <v>2174.9020767265588</v>
      </c>
      <c r="K434" s="1">
        <f>D434*$E$1867/E434</f>
        <v>28.469615370709914</v>
      </c>
      <c r="L434" s="26">
        <f t="shared" si="29"/>
        <v>171.01191329240106</v>
      </c>
      <c r="M434" s="10">
        <f>H434/AVERAGE(K314:K433)</f>
        <v>17.218913853705981</v>
      </c>
      <c r="N434" s="4">
        <f>J434/AVERAGE(L314:L433)</f>
        <v>20.596389814753092</v>
      </c>
      <c r="O434" s="36">
        <f>1/M434-(G434/100-(((E434/E314)^(1/10))-1))</f>
        <v>5.3179729321433278E-2</v>
      </c>
      <c r="R434" s="30"/>
      <c r="S434" s="30"/>
    </row>
    <row r="435" spans="1:19" ht="13" x14ac:dyDescent="0.3">
      <c r="A435" s="52" t="s">
        <v>451</v>
      </c>
      <c r="B435" s="6">
        <v>9.26</v>
      </c>
      <c r="C435" s="1">
        <v>0.40670000000000001</v>
      </c>
      <c r="D435" s="6">
        <v>0.74329999999999996</v>
      </c>
      <c r="E435" s="6">
        <v>9.0388396689999997</v>
      </c>
      <c r="F435" s="1">
        <f t="shared" si="30"/>
        <v>1907.1249999999673</v>
      </c>
      <c r="G435" s="17">
        <f>G434*11/12+G446*1/12</f>
        <v>3.6866666666666665</v>
      </c>
      <c r="H435" s="1">
        <f>B435*$E$1867/E435</f>
        <v>343.32502053809799</v>
      </c>
      <c r="I435" s="1">
        <f>C435*$E$1867/E435</f>
        <v>15.078864562942169</v>
      </c>
      <c r="J435" s="26">
        <f t="shared" si="31"/>
        <v>2069.8403074995867</v>
      </c>
      <c r="K435" s="1">
        <f>D435*$E$1867/E435</f>
        <v>27.5586919833659</v>
      </c>
      <c r="L435" s="26">
        <f t="shared" si="29"/>
        <v>166.14603677801759</v>
      </c>
      <c r="M435" s="10">
        <f>H435/AVERAGE(K315:K434)</f>
        <v>16.217071288766157</v>
      </c>
      <c r="N435" s="4">
        <f>J435/AVERAGE(L315:L434)</f>
        <v>19.409252150981253</v>
      </c>
      <c r="O435" s="36">
        <f>1/M435-(G435/100-(((E435/E315)^(1/10))-1))</f>
        <v>5.8799011605750996E-2</v>
      </c>
      <c r="R435" s="30"/>
      <c r="S435" s="30"/>
    </row>
    <row r="436" spans="1:19" ht="13" x14ac:dyDescent="0.3">
      <c r="A436" s="52" t="s">
        <v>452</v>
      </c>
      <c r="B436" s="6">
        <v>8.35</v>
      </c>
      <c r="C436" s="1">
        <v>0.41</v>
      </c>
      <c r="D436" s="6">
        <v>0.73499999999999999</v>
      </c>
      <c r="E436" s="6">
        <v>8.9436743799999991</v>
      </c>
      <c r="F436" s="1">
        <f t="shared" si="30"/>
        <v>1907.2083333333005</v>
      </c>
      <c r="G436" s="17">
        <f>G434*10/12+G446*2/12</f>
        <v>3.7033333333333336</v>
      </c>
      <c r="H436" s="1">
        <f>B436*$E$1867/E436</f>
        <v>312.87988790799426</v>
      </c>
      <c r="I436" s="1">
        <f>C436*$E$1867/E436</f>
        <v>15.362964555961396</v>
      </c>
      <c r="J436" s="26">
        <f t="shared" si="31"/>
        <v>1894.0108394046169</v>
      </c>
      <c r="K436" s="1">
        <f>D436*$E$1867/E436</f>
        <v>27.540924264955187</v>
      </c>
      <c r="L436" s="26">
        <f t="shared" si="29"/>
        <v>166.71831939669386</v>
      </c>
      <c r="M436" s="10">
        <f>H436/AVERAGE(K316:K435)</f>
        <v>14.68754525597865</v>
      </c>
      <c r="N436" s="4">
        <f>J436/AVERAGE(L316:L435)</f>
        <v>17.597254765750471</v>
      </c>
      <c r="O436" s="36">
        <f>1/M436-(G436/100-(((E436/E316)^(1/10))-1))</f>
        <v>6.3959986130681698E-2</v>
      </c>
      <c r="R436" s="30"/>
      <c r="S436" s="30"/>
    </row>
    <row r="437" spans="1:19" ht="13" x14ac:dyDescent="0.3">
      <c r="A437" s="52" t="s">
        <v>453</v>
      </c>
      <c r="B437" s="6">
        <v>8.39</v>
      </c>
      <c r="C437" s="1">
        <v>0.4133</v>
      </c>
      <c r="D437" s="6">
        <v>0.72670000000000001</v>
      </c>
      <c r="E437" s="6">
        <v>8.9436743799999991</v>
      </c>
      <c r="F437" s="1">
        <f t="shared" si="30"/>
        <v>1907.2916666666338</v>
      </c>
      <c r="G437" s="17">
        <f>G434*9/12+G446*3/12</f>
        <v>3.7199999999999998</v>
      </c>
      <c r="H437" s="1">
        <f>B437*$E$1867/E437</f>
        <v>314.37871371833199</v>
      </c>
      <c r="I437" s="1">
        <f>C437*$E$1867/E437</f>
        <v>15.486617685314254</v>
      </c>
      <c r="J437" s="26">
        <f t="shared" si="31"/>
        <v>1910.8962673770739</v>
      </c>
      <c r="K437" s="1">
        <f>D437*$E$1867/E437</f>
        <v>27.229917909310114</v>
      </c>
      <c r="L437" s="26">
        <f t="shared" si="29"/>
        <v>165.51231436268409</v>
      </c>
      <c r="M437" s="10">
        <f>H437/AVERAGE(K317:K436)</f>
        <v>14.66970990560274</v>
      </c>
      <c r="N437" s="4">
        <f>J437/AVERAGE(L317:L436)</f>
        <v>17.594277669579984</v>
      </c>
      <c r="O437" s="36">
        <f>1/M437-(G437/100-(((E437/E317)^(1/10))-1))</f>
        <v>6.5407549545247703E-2</v>
      </c>
      <c r="R437" s="30"/>
      <c r="S437" s="30"/>
    </row>
    <row r="438" spans="1:19" ht="13" x14ac:dyDescent="0.3">
      <c r="A438" s="52" t="s">
        <v>454</v>
      </c>
      <c r="B438" s="6">
        <v>8.1</v>
      </c>
      <c r="C438" s="1">
        <v>0.41670000000000001</v>
      </c>
      <c r="D438" s="6">
        <v>0.71830000000000005</v>
      </c>
      <c r="E438" s="6">
        <v>9.1340049590000003</v>
      </c>
      <c r="F438" s="1">
        <f t="shared" si="30"/>
        <v>1907.374999999967</v>
      </c>
      <c r="G438" s="17">
        <f>G434*8/12+G446*4/12</f>
        <v>3.7366666666666668</v>
      </c>
      <c r="H438" s="1">
        <f>B438*$E$1867/E438</f>
        <v>297.18776562796916</v>
      </c>
      <c r="I438" s="1">
        <f>C438*$E$1867/E438</f>
        <v>15.288659498416635</v>
      </c>
      <c r="J438" s="26">
        <f t="shared" si="31"/>
        <v>1814.148204142303</v>
      </c>
      <c r="K438" s="1">
        <f>D438*$E$1867/E438</f>
        <v>26.354317537107438</v>
      </c>
      <c r="L438" s="26">
        <f t="shared" si="29"/>
        <v>160.87687099202671</v>
      </c>
      <c r="M438" s="10">
        <f>H438/AVERAGE(K318:K437)</f>
        <v>13.79010715342425</v>
      </c>
      <c r="N438" s="4">
        <f>J438/AVERAGE(L318:L437)</f>
        <v>16.559343931780727</v>
      </c>
      <c r="O438" s="36">
        <f>1/M438-(G438/100-(((E438/E318)^(1/10))-1))</f>
        <v>7.332950822119555E-2</v>
      </c>
      <c r="R438" s="30"/>
      <c r="S438" s="30"/>
    </row>
    <row r="439" spans="1:19" ht="13" x14ac:dyDescent="0.3">
      <c r="A439" s="52" t="s">
        <v>455</v>
      </c>
      <c r="B439" s="6">
        <v>7.84</v>
      </c>
      <c r="C439" s="1">
        <v>0.42</v>
      </c>
      <c r="D439" s="6">
        <v>0.71</v>
      </c>
      <c r="E439" s="6">
        <v>9.229089256</v>
      </c>
      <c r="F439" s="1">
        <f t="shared" si="30"/>
        <v>1907.4583333333003</v>
      </c>
      <c r="G439" s="17">
        <f>G434*7/12+G446*5/12</f>
        <v>3.753333333333333</v>
      </c>
      <c r="H439" s="1">
        <f>B439*$E$1867/E439</f>
        <v>284.68485753259898</v>
      </c>
      <c r="I439" s="1">
        <f>C439*$E$1867/E439</f>
        <v>15.250974510674945</v>
      </c>
      <c r="J439" s="26">
        <f t="shared" si="31"/>
        <v>1745.583803822125</v>
      </c>
      <c r="K439" s="1">
        <f>D439*$E$1867/E439</f>
        <v>25.781409291855262</v>
      </c>
      <c r="L439" s="26">
        <f t="shared" si="29"/>
        <v>158.08220672368734</v>
      </c>
      <c r="M439" s="10">
        <f>H439/AVERAGE(K319:K438)</f>
        <v>13.144269952673206</v>
      </c>
      <c r="N439" s="4">
        <f>J439/AVERAGE(L319:L438)</f>
        <v>15.80605611125495</v>
      </c>
      <c r="O439" s="36">
        <f>1/M439-(G439/100-(((E439/E319)^(1/10))-1))</f>
        <v>7.7801575557402358E-2</v>
      </c>
      <c r="R439" s="30"/>
      <c r="S439" s="30"/>
    </row>
    <row r="440" spans="1:19" ht="13" x14ac:dyDescent="0.3">
      <c r="A440" s="52" t="s">
        <v>456</v>
      </c>
      <c r="B440" s="6">
        <v>8.14</v>
      </c>
      <c r="C440" s="1">
        <v>0.42330000000000001</v>
      </c>
      <c r="D440" s="6">
        <v>0.70169999999999999</v>
      </c>
      <c r="E440" s="6">
        <v>9.229089256</v>
      </c>
      <c r="F440" s="1">
        <f t="shared" si="30"/>
        <v>1907.5416666666335</v>
      </c>
      <c r="G440" s="17">
        <f>G434*6/12+G446*6/12</f>
        <v>3.7699999999999996</v>
      </c>
      <c r="H440" s="1">
        <f>B440*$E$1867/E440</f>
        <v>295.57841075450966</v>
      </c>
      <c r="I440" s="1">
        <f>C440*$E$1867/E440</f>
        <v>15.370803596115964</v>
      </c>
      <c r="J440" s="26">
        <f t="shared" si="31"/>
        <v>1820.2331162999899</v>
      </c>
      <c r="K440" s="1">
        <f>D440*$E$1867/E440</f>
        <v>25.48002098604907</v>
      </c>
      <c r="L440" s="26">
        <f t="shared" si="29"/>
        <v>156.91125033264163</v>
      </c>
      <c r="M440" s="10">
        <f>H440/AVERAGE(K320:K439)</f>
        <v>13.585007357961844</v>
      </c>
      <c r="N440" s="4">
        <f>J440/AVERAGE(L320:L439)</f>
        <v>16.357098050767242</v>
      </c>
      <c r="O440" s="36">
        <f>1/M440-(G440/100-(((E440/E320)^(1/10))-1))</f>
        <v>7.5166690620855167E-2</v>
      </c>
      <c r="R440" s="30"/>
      <c r="S440" s="30"/>
    </row>
    <row r="441" spans="1:19" ht="13" x14ac:dyDescent="0.3">
      <c r="A441" s="52" t="s">
        <v>457</v>
      </c>
      <c r="B441" s="6">
        <v>7.53</v>
      </c>
      <c r="C441" s="1">
        <v>0.42670000000000002</v>
      </c>
      <c r="D441" s="6">
        <v>0.69330000000000003</v>
      </c>
      <c r="E441" s="6">
        <v>9.229089256</v>
      </c>
      <c r="F441" s="1">
        <f t="shared" si="30"/>
        <v>1907.6249999999668</v>
      </c>
      <c r="G441" s="17">
        <f>G434*5/12+G446*7/12</f>
        <v>3.7866666666666666</v>
      </c>
      <c r="H441" s="1">
        <f>B441*$E$1867/E441</f>
        <v>273.42818586995799</v>
      </c>
      <c r="I441" s="1">
        <f>C441*$E$1867/E441</f>
        <v>15.494263865964285</v>
      </c>
      <c r="J441" s="26">
        <f t="shared" si="31"/>
        <v>1691.7788478664243</v>
      </c>
      <c r="K441" s="1">
        <f>D441*$E$1867/E441</f>
        <v>25.17500149583557</v>
      </c>
      <c r="L441" s="26">
        <f t="shared" si="29"/>
        <v>155.76497678961377</v>
      </c>
      <c r="M441" s="10">
        <f>H441/AVERAGE(K321:K440)</f>
        <v>12.513471604446613</v>
      </c>
      <c r="N441" s="4">
        <f>J441/AVERAGE(L321:L440)</f>
        <v>15.092007281741035</v>
      </c>
      <c r="O441" s="36">
        <f>1/M441-(G441/100-(((E441/E321)^(1/10))-1))</f>
        <v>7.6693879394750669E-2</v>
      </c>
      <c r="R441" s="30"/>
      <c r="S441" s="30"/>
    </row>
    <row r="442" spans="1:19" ht="13" x14ac:dyDescent="0.3">
      <c r="A442" s="52" t="s">
        <v>458</v>
      </c>
      <c r="B442" s="6">
        <v>7.45</v>
      </c>
      <c r="C442" s="1">
        <v>0.43</v>
      </c>
      <c r="D442" s="6">
        <v>0.68500000000000005</v>
      </c>
      <c r="E442" s="6">
        <v>9.229089256</v>
      </c>
      <c r="F442" s="1">
        <f t="shared" si="30"/>
        <v>1907.7083333333001</v>
      </c>
      <c r="G442" s="17">
        <f>G434*4/12+G446*8/12</f>
        <v>3.8033333333333337</v>
      </c>
      <c r="H442" s="1">
        <f>B442*$E$1867/E442</f>
        <v>270.5232383441151</v>
      </c>
      <c r="I442" s="1">
        <f>C442*$E$1867/E442</f>
        <v>15.614092951405302</v>
      </c>
      <c r="J442" s="26">
        <f t="shared" si="31"/>
        <v>1681.8558422293147</v>
      </c>
      <c r="K442" s="1">
        <f>D442*$E$1867/E442</f>
        <v>24.873613190029378</v>
      </c>
      <c r="L442" s="26">
        <f t="shared" si="29"/>
        <v>154.64043650027929</v>
      </c>
      <c r="M442" s="10">
        <f>H442/AVERAGE(K322:K441)</f>
        <v>12.328569657736626</v>
      </c>
      <c r="N442" s="4">
        <f>J442/AVERAGE(L322:L441)</f>
        <v>14.895547932371391</v>
      </c>
      <c r="O442" s="36">
        <f>1/M442-(G442/100-(((E442/E322)^(1/10))-1))</f>
        <v>7.477365329913245E-2</v>
      </c>
      <c r="R442" s="30"/>
      <c r="S442" s="30"/>
    </row>
    <row r="443" spans="1:19" ht="13" x14ac:dyDescent="0.3">
      <c r="A443" s="52" t="s">
        <v>459</v>
      </c>
      <c r="B443" s="6">
        <v>6.64</v>
      </c>
      <c r="C443" s="1">
        <v>0.43330000000000002</v>
      </c>
      <c r="D443" s="6">
        <v>0.67669999999999997</v>
      </c>
      <c r="E443" s="6">
        <v>9.3242545450000005</v>
      </c>
      <c r="F443" s="1">
        <f t="shared" si="30"/>
        <v>1907.7916666666333</v>
      </c>
      <c r="G443" s="17">
        <f>G434*3/12+G446*9/12</f>
        <v>3.82</v>
      </c>
      <c r="H443" s="1">
        <f>B443*$E$1867/E443</f>
        <v>238.64981905639297</v>
      </c>
      <c r="I443" s="1">
        <f>C443*$E$1867/E443</f>
        <v>15.57333834294203</v>
      </c>
      <c r="J443" s="26">
        <f t="shared" si="31"/>
        <v>1491.7656270002772</v>
      </c>
      <c r="K443" s="1">
        <f>D443*$E$1867/E443</f>
        <v>24.32143562582246</v>
      </c>
      <c r="L443" s="26">
        <f t="shared" si="29"/>
        <v>152.0297891251638</v>
      </c>
      <c r="M443" s="10">
        <f>H443/AVERAGE(K323:K442)</f>
        <v>10.831840153050605</v>
      </c>
      <c r="N443" s="4">
        <f>J443/AVERAGE(L323:L442)</f>
        <v>13.118926370609231</v>
      </c>
      <c r="O443" s="36">
        <f>1/M443-(G443/100-(((E443/E323)^(1/10))-1))</f>
        <v>8.8339931481562148E-2</v>
      </c>
      <c r="R443" s="30"/>
      <c r="S443" s="30"/>
    </row>
    <row r="444" spans="1:19" ht="13" x14ac:dyDescent="0.3">
      <c r="A444" s="52" t="s">
        <v>460</v>
      </c>
      <c r="B444" s="6">
        <v>6.25</v>
      </c>
      <c r="C444" s="1">
        <v>0.43669999999999998</v>
      </c>
      <c r="D444" s="6">
        <v>0.66830000000000001</v>
      </c>
      <c r="E444" s="6">
        <v>8.9436743799999991</v>
      </c>
      <c r="F444" s="1">
        <f t="shared" si="30"/>
        <v>1907.8749999999666</v>
      </c>
      <c r="G444" s="17">
        <f>G434*2/12+G446*10/12</f>
        <v>3.8366666666666669</v>
      </c>
      <c r="H444" s="1">
        <f>B444*$E$1867/E444</f>
        <v>234.1915328652652</v>
      </c>
      <c r="I444" s="1">
        <f>C444*$E$1867/E444</f>
        <v>16.36343078436181</v>
      </c>
      <c r="J444" s="26">
        <f t="shared" si="31"/>
        <v>1472.4213098126559</v>
      </c>
      <c r="K444" s="1">
        <f>D444*$E$1867/E444</f>
        <v>25.041632226217075</v>
      </c>
      <c r="L444" s="26">
        <f t="shared" si="29"/>
        <v>157.44306581564766</v>
      </c>
      <c r="M444" s="10">
        <f>H444/AVERAGE(K324:K443)</f>
        <v>10.591177559189784</v>
      </c>
      <c r="N444" s="4">
        <f>J444/AVERAGE(L324:L443)</f>
        <v>12.86325662492669</v>
      </c>
      <c r="O444" s="36">
        <f>1/M444-(G444/100-(((E444/E324)^(1/10))-1))</f>
        <v>8.5970170444900462E-2</v>
      </c>
      <c r="R444" s="30"/>
      <c r="S444" s="30"/>
    </row>
    <row r="445" spans="1:19" ht="13" x14ac:dyDescent="0.3">
      <c r="A445" s="52" t="s">
        <v>461</v>
      </c>
      <c r="B445" s="6">
        <v>6.57</v>
      </c>
      <c r="C445" s="1">
        <v>0.44</v>
      </c>
      <c r="D445" s="6">
        <v>0.66</v>
      </c>
      <c r="E445" s="6">
        <v>8.7534247930000006</v>
      </c>
      <c r="F445" s="1">
        <f t="shared" si="30"/>
        <v>1907.9583333332998</v>
      </c>
      <c r="G445" s="17">
        <f>G434*1/12+G446*11/12</f>
        <v>3.8533333333333331</v>
      </c>
      <c r="H445" s="1">
        <f>B445*$E$1867/E445</f>
        <v>251.5327365650904</v>
      </c>
      <c r="I445" s="1">
        <f>C445*$E$1867/E445</f>
        <v>16.845419191573786</v>
      </c>
      <c r="J445" s="26">
        <f t="shared" si="31"/>
        <v>1590.2757872010582</v>
      </c>
      <c r="K445" s="1">
        <f>D445*$E$1867/E445</f>
        <v>25.268128787360681</v>
      </c>
      <c r="L445" s="26">
        <f t="shared" si="29"/>
        <v>159.75373204759489</v>
      </c>
      <c r="M445" s="10">
        <f>H445/AVERAGE(K325:K444)</f>
        <v>11.333306235811174</v>
      </c>
      <c r="N445" s="4">
        <f>J445/AVERAGE(L325:L444)</f>
        <v>13.798214088041615</v>
      </c>
      <c r="O445" s="36">
        <f>1/M445-(G445/100-(((E445/E325)^(1/10))-1))</f>
        <v>7.7408702893090153E-2</v>
      </c>
      <c r="R445" s="30"/>
      <c r="S445" s="30"/>
    </row>
    <row r="446" spans="1:19" ht="13" x14ac:dyDescent="0.3">
      <c r="A446" s="52" t="s">
        <v>462</v>
      </c>
      <c r="B446" s="6">
        <v>6.85</v>
      </c>
      <c r="C446" s="1">
        <v>0.43669999999999998</v>
      </c>
      <c r="D446" s="6">
        <v>0.65329999999999999</v>
      </c>
      <c r="E446" s="6">
        <v>8.6582595040000001</v>
      </c>
      <c r="F446" s="1">
        <f t="shared" si="30"/>
        <v>1908.0416666666331</v>
      </c>
      <c r="G446" s="17">
        <v>3.87</v>
      </c>
      <c r="H446" s="1">
        <f>B446*$E$1867/E446</f>
        <v>265.13503798765322</v>
      </c>
      <c r="I446" s="1">
        <f>C446*$E$1867/E446</f>
        <v>16.902842494774916</v>
      </c>
      <c r="J446" s="26">
        <f t="shared" si="31"/>
        <v>1685.1796395770596</v>
      </c>
      <c r="K446" s="1">
        <f>D446*$E$1867/E446</f>
        <v>25.286528513479396</v>
      </c>
      <c r="L446" s="26">
        <f t="shared" si="29"/>
        <v>160.71939540667054</v>
      </c>
      <c r="M446" s="10">
        <f>H446/AVERAGE(K326:K445)</f>
        <v>11.902968628266979</v>
      </c>
      <c r="N446" s="4">
        <f>J446/AVERAGE(L326:L445)</f>
        <v>14.522352358595427</v>
      </c>
      <c r="O446" s="36">
        <f>1/M446-(G446/100-(((E446/E326)^(1/10))-1))</f>
        <v>7.1896382604064821E-2</v>
      </c>
      <c r="R446" s="30"/>
      <c r="S446" s="30"/>
    </row>
    <row r="447" spans="1:19" ht="13" x14ac:dyDescent="0.3">
      <c r="A447" s="52" t="s">
        <v>463</v>
      </c>
      <c r="B447" s="6">
        <v>6.6</v>
      </c>
      <c r="C447" s="1">
        <v>0.43330000000000002</v>
      </c>
      <c r="D447" s="6">
        <v>0.64670000000000005</v>
      </c>
      <c r="E447" s="6">
        <v>8.5630942149999996</v>
      </c>
      <c r="F447" s="1">
        <f t="shared" si="30"/>
        <v>1908.1249999999663</v>
      </c>
      <c r="G447" s="17">
        <f>G446*11/12+G458*1/12</f>
        <v>3.8608333333333333</v>
      </c>
      <c r="H447" s="1">
        <f>B447*$E$1867/E447</f>
        <v>258.29759599345948</v>
      </c>
      <c r="I447" s="1">
        <f>C447*$E$1867/E447</f>
        <v>16.957628536964545</v>
      </c>
      <c r="J447" s="26">
        <f t="shared" si="31"/>
        <v>1650.7031306405208</v>
      </c>
      <c r="K447" s="1">
        <f>D447*$E$1867/E447</f>
        <v>25.309250807419737</v>
      </c>
      <c r="L447" s="26">
        <f t="shared" si="29"/>
        <v>161.74389614927651</v>
      </c>
      <c r="M447" s="10">
        <f>H447/AVERAGE(K327:K446)</f>
        <v>11.554846295144795</v>
      </c>
      <c r="N447" s="4">
        <f>J447/AVERAGE(L327:L446)</f>
        <v>14.129214575724509</v>
      </c>
      <c r="O447" s="36">
        <f>1/M447-(G447/100-(((E447/E327)^(1/10))-1))</f>
        <v>7.1931616729456221E-2</v>
      </c>
      <c r="R447" s="30"/>
      <c r="S447" s="30"/>
    </row>
    <row r="448" spans="1:19" ht="13" x14ac:dyDescent="0.3">
      <c r="A448" s="52" t="s">
        <v>464</v>
      </c>
      <c r="B448" s="6">
        <v>6.87</v>
      </c>
      <c r="C448" s="1">
        <v>0.43</v>
      </c>
      <c r="D448" s="6">
        <v>0.64</v>
      </c>
      <c r="E448" s="6">
        <v>8.5630942149999996</v>
      </c>
      <c r="F448" s="1">
        <f t="shared" si="30"/>
        <v>1908.2083333332996</v>
      </c>
      <c r="G448" s="17">
        <f>G446*10/12+G458*2/12</f>
        <v>3.8516666666666666</v>
      </c>
      <c r="H448" s="1">
        <f>B448*$E$1867/E448</f>
        <v>268.86431582955555</v>
      </c>
      <c r="I448" s="1">
        <f>C448*$E$1867/E448</f>
        <v>16.828479738967815</v>
      </c>
      <c r="J448" s="26">
        <f t="shared" si="31"/>
        <v>1727.1940459113634</v>
      </c>
      <c r="K448" s="1">
        <f>D448*$E$1867/E448</f>
        <v>25.047039611486984</v>
      </c>
      <c r="L448" s="26">
        <f t="shared" si="29"/>
        <v>160.90308433526533</v>
      </c>
      <c r="M448" s="10">
        <f>H448/AVERAGE(K328:K447)</f>
        <v>11.984662664464297</v>
      </c>
      <c r="N448" s="4">
        <f>J448/AVERAGE(L328:L447)</f>
        <v>14.683723501046032</v>
      </c>
      <c r="O448" s="36">
        <f>1/M448-(G448/100-(((E448/E328)^(1/10))-1))</f>
        <v>6.8919488860364503E-2</v>
      </c>
      <c r="R448" s="30"/>
      <c r="S448" s="30"/>
    </row>
    <row r="449" spans="1:19" ht="13" x14ac:dyDescent="0.3">
      <c r="A449" s="52" t="s">
        <v>465</v>
      </c>
      <c r="B449" s="6">
        <v>7.24</v>
      </c>
      <c r="C449" s="1">
        <v>0.42670000000000002</v>
      </c>
      <c r="D449" s="6">
        <v>0.63329999999999997</v>
      </c>
      <c r="E449" s="6">
        <v>8.6582595040000001</v>
      </c>
      <c r="F449" s="1">
        <f t="shared" si="30"/>
        <v>1908.2916666666329</v>
      </c>
      <c r="G449" s="17">
        <f>G446*9/12+G458*3/12</f>
        <v>3.8424999999999998</v>
      </c>
      <c r="H449" s="1">
        <f>B449*$E$1867/E449</f>
        <v>280.23031752271675</v>
      </c>
      <c r="I449" s="1">
        <f>C449*$E$1867/E449</f>
        <v>16.515784045157908</v>
      </c>
      <c r="J449" s="26">
        <f t="shared" si="31"/>
        <v>1809.0511493275271</v>
      </c>
      <c r="K449" s="1">
        <f>D449*$E$1867/E449</f>
        <v>24.512411614245373</v>
      </c>
      <c r="L449" s="26">
        <f t="shared" si="29"/>
        <v>158.24200177750316</v>
      </c>
      <c r="M449" s="10">
        <f>H449/AVERAGE(K329:K448)</f>
        <v>12.44888915837037</v>
      </c>
      <c r="N449" s="4">
        <f>J449/AVERAGE(L329:L448)</f>
        <v>15.277960676657017</v>
      </c>
      <c r="O449" s="36">
        <f>1/M449-(G449/100-(((E449/E329)^(1/10))-1))</f>
        <v>6.7031987776984228E-2</v>
      </c>
      <c r="R449" s="30"/>
      <c r="S449" s="30"/>
    </row>
    <row r="450" spans="1:19" ht="13" x14ac:dyDescent="0.3">
      <c r="A450" s="52" t="s">
        <v>466</v>
      </c>
      <c r="B450" s="6">
        <v>7.63</v>
      </c>
      <c r="C450" s="1">
        <v>0.42330000000000001</v>
      </c>
      <c r="D450" s="6">
        <v>0.62670000000000003</v>
      </c>
      <c r="E450" s="6">
        <v>8.6582595040000001</v>
      </c>
      <c r="F450" s="1">
        <f t="shared" si="30"/>
        <v>1908.3749999999661</v>
      </c>
      <c r="G450" s="17">
        <f>G446*8/12+G458*4/12</f>
        <v>3.833333333333333</v>
      </c>
      <c r="H450" s="1">
        <f>B450*$E$1867/E450</f>
        <v>295.32559705778021</v>
      </c>
      <c r="I450" s="1">
        <f>C450*$E$1867/E450</f>
        <v>16.384184172288123</v>
      </c>
      <c r="J450" s="26">
        <f t="shared" si="31"/>
        <v>1915.3141641797733</v>
      </c>
      <c r="K450" s="1">
        <f>D450*$E$1867/E450</f>
        <v>24.256953037498146</v>
      </c>
      <c r="L450" s="26">
        <f t="shared" si="29"/>
        <v>157.31682656506734</v>
      </c>
      <c r="M450" s="10">
        <f>H450/AVERAGE(K330:K449)</f>
        <v>13.078451355438339</v>
      </c>
      <c r="N450" s="4">
        <f>J450/AVERAGE(L330:L449)</f>
        <v>16.073179553710759</v>
      </c>
      <c r="O450" s="36">
        <f>1/M450-(G450/100-(((E450/E330)^(1/10))-1))</f>
        <v>5.630417127224624E-2</v>
      </c>
      <c r="R450" s="30"/>
      <c r="S450" s="30"/>
    </row>
    <row r="451" spans="1:19" ht="13" x14ac:dyDescent="0.3">
      <c r="A451" s="52" t="s">
        <v>467</v>
      </c>
      <c r="B451" s="6">
        <v>7.64</v>
      </c>
      <c r="C451" s="1">
        <v>0.42</v>
      </c>
      <c r="D451" s="6">
        <v>0.62</v>
      </c>
      <c r="E451" s="6">
        <v>8.6582595040000001</v>
      </c>
      <c r="F451" s="1">
        <f t="shared" si="30"/>
        <v>1908.4583333332994</v>
      </c>
      <c r="G451" s="17">
        <f>G446*7/12+G458*5/12</f>
        <v>3.8241666666666663</v>
      </c>
      <c r="H451" s="1">
        <f>B451*$E$1867/E451</f>
        <v>295.71265550739724</v>
      </c>
      <c r="I451" s="1">
        <f>C451*$E$1867/E451</f>
        <v>16.256454883914508</v>
      </c>
      <c r="J451" s="26">
        <f t="shared" si="31"/>
        <v>1926.6102503381078</v>
      </c>
      <c r="K451" s="1">
        <f>D451*$E$1867/E451</f>
        <v>23.997623876254746</v>
      </c>
      <c r="L451" s="26">
        <f t="shared" ref="L451:L514" si="32">K451*(J451/H451)</f>
        <v>156.34795225256892</v>
      </c>
      <c r="M451" s="10">
        <f>H451/AVERAGE(K331:K450)</f>
        <v>13.051684129229992</v>
      </c>
      <c r="N451" s="4">
        <f>J451/AVERAGE(L331:L450)</f>
        <v>16.063482493706548</v>
      </c>
      <c r="O451" s="36">
        <f>1/M451-(G451/100-(((E451/E331)^(1/10))-1))</f>
        <v>6.3505333446276291E-2</v>
      </c>
      <c r="R451" s="30"/>
      <c r="S451" s="30"/>
    </row>
    <row r="452" spans="1:19" ht="13" x14ac:dyDescent="0.3">
      <c r="A452" s="52" t="s">
        <v>468</v>
      </c>
      <c r="B452" s="6">
        <v>7.92</v>
      </c>
      <c r="C452" s="1">
        <v>0.41670000000000001</v>
      </c>
      <c r="D452" s="6">
        <v>0.61329999999999996</v>
      </c>
      <c r="E452" s="6">
        <v>8.7534247930000006</v>
      </c>
      <c r="F452" s="1">
        <f t="shared" ref="F452:F515" si="33">F451+1/12</f>
        <v>1908.5416666666326</v>
      </c>
      <c r="G452" s="17">
        <f>G446*6/12+G458*6/12</f>
        <v>3.8149999999999995</v>
      </c>
      <c r="H452" s="1">
        <f>B452*$E$1867/E452</f>
        <v>303.21754544832817</v>
      </c>
      <c r="I452" s="1">
        <f>C452*$E$1867/E452</f>
        <v>15.953377675292719</v>
      </c>
      <c r="J452" s="26">
        <f t="shared" ref="J452:J515" si="34">J451*((H452+(I452/12))/H451)</f>
        <v>1984.1672266254898</v>
      </c>
      <c r="K452" s="1">
        <f>D452*$E$1867/E452</f>
        <v>23.480217250436823</v>
      </c>
      <c r="L452" s="26">
        <f t="shared" si="32"/>
        <v>153.64769698098647</v>
      </c>
      <c r="M452" s="10">
        <f>H452/AVERAGE(K332:K451)</f>
        <v>13.345487104834405</v>
      </c>
      <c r="N452" s="4">
        <f>J452/AVERAGE(L332:L451)</f>
        <v>16.4444187480896</v>
      </c>
      <c r="O452" s="36">
        <f>1/M452-(G452/100-(((E452/E332)^(1/10))-1))</f>
        <v>6.4488228436870243E-2</v>
      </c>
      <c r="R452" s="30"/>
      <c r="S452" s="30"/>
    </row>
    <row r="453" spans="1:19" ht="13" x14ac:dyDescent="0.3">
      <c r="A453" s="52" t="s">
        <v>469</v>
      </c>
      <c r="B453" s="6">
        <v>8.26</v>
      </c>
      <c r="C453" s="1">
        <v>0.4133</v>
      </c>
      <c r="D453" s="6">
        <v>0.60670000000000002</v>
      </c>
      <c r="E453" s="6">
        <v>8.7534247930000006</v>
      </c>
      <c r="F453" s="1">
        <f t="shared" si="33"/>
        <v>1908.6249999999659</v>
      </c>
      <c r="G453" s="17">
        <f>G446*5/12+G458*7/12</f>
        <v>3.8058333333333332</v>
      </c>
      <c r="H453" s="1">
        <f>B453*$E$1867/E453</f>
        <v>316.23446027818056</v>
      </c>
      <c r="I453" s="1">
        <f>C453*$E$1867/E453</f>
        <v>15.823208526994193</v>
      </c>
      <c r="J453" s="26">
        <f t="shared" si="34"/>
        <v>2077.9746613834473</v>
      </c>
      <c r="K453" s="1">
        <f>D453*$E$1867/E453</f>
        <v>23.227535962563216</v>
      </c>
      <c r="L453" s="26">
        <f t="shared" si="32"/>
        <v>152.62799359096095</v>
      </c>
      <c r="M453" s="10">
        <f>H453/AVERAGE(K333:K452)</f>
        <v>13.884232895208612</v>
      </c>
      <c r="N453" s="4">
        <f>J453/AVERAGE(L333:L452)</f>
        <v>17.124917552510816</v>
      </c>
      <c r="O453" s="36">
        <f>1/M453-(G453/100-(((E453/E333)^(1/10))-1))</f>
        <v>6.1672342573396183E-2</v>
      </c>
      <c r="R453" s="30"/>
      <c r="S453" s="30"/>
    </row>
    <row r="454" spans="1:19" ht="13" x14ac:dyDescent="0.3">
      <c r="A454" s="52" t="s">
        <v>470</v>
      </c>
      <c r="B454" s="6">
        <v>8.17</v>
      </c>
      <c r="C454" s="1">
        <v>0.41</v>
      </c>
      <c r="D454" s="6">
        <v>0.6</v>
      </c>
      <c r="E454" s="6">
        <v>8.7534247930000006</v>
      </c>
      <c r="F454" s="1">
        <f t="shared" si="33"/>
        <v>1908.7083333332992</v>
      </c>
      <c r="G454" s="17">
        <f>G446*4/12+G458*8/12</f>
        <v>3.7966666666666664</v>
      </c>
      <c r="H454" s="1">
        <f>B454*$E$1867/E454</f>
        <v>312.78880635263141</v>
      </c>
      <c r="I454" s="1">
        <f>C454*$E$1867/E454</f>
        <v>15.696867883057392</v>
      </c>
      <c r="J454" s="26">
        <f t="shared" si="34"/>
        <v>2063.9286260411664</v>
      </c>
      <c r="K454" s="1">
        <f>D454*$E$1867/E454</f>
        <v>22.971026170327885</v>
      </c>
      <c r="L454" s="26">
        <f t="shared" si="32"/>
        <v>151.57370570681758</v>
      </c>
      <c r="M454" s="10">
        <f>H454/AVERAGE(K334:K453)</f>
        <v>13.701442268825108</v>
      </c>
      <c r="N454" s="4">
        <f>J454/AVERAGE(L334:L453)</f>
        <v>16.916213689856775</v>
      </c>
      <c r="O454" s="36">
        <f>1/M454-(G454/100-(((E454/E334)^(1/10))-1))</f>
        <v>6.2724881699916593E-2</v>
      </c>
      <c r="R454" s="30"/>
      <c r="S454" s="30"/>
    </row>
    <row r="455" spans="1:19" ht="13" x14ac:dyDescent="0.3">
      <c r="A455" s="52" t="s">
        <v>471</v>
      </c>
      <c r="B455" s="6">
        <v>8.27</v>
      </c>
      <c r="C455" s="1">
        <v>0.40670000000000001</v>
      </c>
      <c r="D455" s="6">
        <v>0.59330000000000005</v>
      </c>
      <c r="E455" s="6">
        <v>8.8485090910000004</v>
      </c>
      <c r="F455" s="1">
        <f t="shared" si="33"/>
        <v>1908.7916666666324</v>
      </c>
      <c r="G455" s="17">
        <f>G446*3/12+G458*9/12</f>
        <v>3.7874999999999996</v>
      </c>
      <c r="H455" s="1">
        <f>B455*$E$1867/E455</f>
        <v>313.21500481012498</v>
      </c>
      <c r="I455" s="1">
        <f>C455*$E$1867/E455</f>
        <v>15.403209486853429</v>
      </c>
      <c r="J455" s="26">
        <f t="shared" si="34"/>
        <v>2075.210690939889</v>
      </c>
      <c r="K455" s="1">
        <f>D455*$E$1867/E455</f>
        <v>22.470430756208849</v>
      </c>
      <c r="L455" s="26">
        <f t="shared" si="32"/>
        <v>148.8781744781906</v>
      </c>
      <c r="M455" s="10">
        <f>H455/AVERAGE(K335:K454)</f>
        <v>13.690810359178705</v>
      </c>
      <c r="N455" s="4">
        <f>J455/AVERAGE(L335:L454)</f>
        <v>16.918532418224835</v>
      </c>
      <c r="O455" s="36">
        <f>1/M455-(G455/100-(((E455/E335)^(1/10))-1))</f>
        <v>6.3984155737842913E-2</v>
      </c>
      <c r="R455" s="30"/>
      <c r="S455" s="30"/>
    </row>
    <row r="456" spans="1:19" ht="13" x14ac:dyDescent="0.3">
      <c r="A456" s="52" t="s">
        <v>472</v>
      </c>
      <c r="B456" s="6">
        <v>8.83</v>
      </c>
      <c r="C456" s="1">
        <v>0.40329999999999999</v>
      </c>
      <c r="D456" s="6">
        <v>0.5867</v>
      </c>
      <c r="E456" s="6">
        <v>8.9436743799999991</v>
      </c>
      <c r="F456" s="1">
        <f t="shared" si="33"/>
        <v>1908.8749999999657</v>
      </c>
      <c r="G456" s="17">
        <f>G446*2/12+G458*10/12</f>
        <v>3.7783333333333329</v>
      </c>
      <c r="H456" s="1">
        <f>B456*$E$1867/E456</f>
        <v>330.86579763204668</v>
      </c>
      <c r="I456" s="1">
        <f>C456*$E$1867/E456</f>
        <v>15.111911232729833</v>
      </c>
      <c r="J456" s="26">
        <f t="shared" si="34"/>
        <v>2200.4999651152993</v>
      </c>
      <c r="K456" s="1">
        <f>D456*$E$1867/E456</f>
        <v>21.984027573128174</v>
      </c>
      <c r="L456" s="26">
        <f t="shared" si="32"/>
        <v>146.20989009435402</v>
      </c>
      <c r="M456" s="10">
        <f>H456/AVERAGE(K336:K455)</f>
        <v>14.435014091256262</v>
      </c>
      <c r="N456" s="4">
        <f>J456/AVERAGE(L336:L455)</f>
        <v>17.849788804262833</v>
      </c>
      <c r="O456" s="36">
        <f>1/M456-(G456/100-(((E456/E336)^(1/10))-1))</f>
        <v>6.1411293814185967E-2</v>
      </c>
      <c r="R456" s="30"/>
      <c r="S456" s="30"/>
    </row>
    <row r="457" spans="1:19" ht="13" x14ac:dyDescent="0.3">
      <c r="A457" s="52" t="s">
        <v>473</v>
      </c>
      <c r="B457" s="6">
        <v>9.0299999999999994</v>
      </c>
      <c r="C457" s="1">
        <v>0.4</v>
      </c>
      <c r="D457" s="6">
        <v>0.57999999999999996</v>
      </c>
      <c r="E457" s="6">
        <v>9.0388396689999997</v>
      </c>
      <c r="F457" s="1">
        <f t="shared" si="33"/>
        <v>1908.9583333332989</v>
      </c>
      <c r="G457" s="17">
        <f>G446*1/12+G458*11/12</f>
        <v>3.769166666666667</v>
      </c>
      <c r="H457" s="1">
        <f>B457*$E$1867/E457</f>
        <v>334.79750922883636</v>
      </c>
      <c r="I457" s="1">
        <f>C457*$E$1867/E457</f>
        <v>14.830454450889764</v>
      </c>
      <c r="J457" s="26">
        <f t="shared" si="34"/>
        <v>2234.868176803483</v>
      </c>
      <c r="K457" s="1">
        <f>D457*$E$1867/E457</f>
        <v>21.504158953790153</v>
      </c>
      <c r="L457" s="26">
        <f t="shared" si="32"/>
        <v>143.5463502265803</v>
      </c>
      <c r="M457" s="10">
        <f>H457/AVERAGE(K337:K456)</f>
        <v>14.58248290896244</v>
      </c>
      <c r="N457" s="4">
        <f>J457/AVERAGE(L337:L456)</f>
        <v>18.042310998691583</v>
      </c>
      <c r="O457" s="36">
        <f>1/M457-(G457/100-(((E457/E337)^(1/10))-1))</f>
        <v>6.0431599334800086E-2</v>
      </c>
      <c r="R457" s="30"/>
      <c r="S457" s="30"/>
    </row>
    <row r="458" spans="1:19" ht="13" x14ac:dyDescent="0.3">
      <c r="A458" s="52" t="s">
        <v>474</v>
      </c>
      <c r="B458" s="6">
        <v>9.06</v>
      </c>
      <c r="C458" s="1">
        <v>0.40329999999999999</v>
      </c>
      <c r="D458" s="6">
        <v>0.59499999999999997</v>
      </c>
      <c r="E458" s="6">
        <v>8.9436743799999991</v>
      </c>
      <c r="F458" s="1">
        <f t="shared" si="33"/>
        <v>1909.0416666666322</v>
      </c>
      <c r="G458" s="17">
        <v>3.76</v>
      </c>
      <c r="H458" s="1">
        <f>B458*$E$1867/E458</f>
        <v>339.4840460414884</v>
      </c>
      <c r="I458" s="1">
        <f>C458*$E$1867/E458</f>
        <v>15.111911232729833</v>
      </c>
      <c r="J458" s="26">
        <f t="shared" si="34"/>
        <v>2274.5584943071804</v>
      </c>
      <c r="K458" s="1">
        <f>D458*$E$1867/E458</f>
        <v>22.295033928773243</v>
      </c>
      <c r="L458" s="26">
        <f t="shared" si="32"/>
        <v>149.37773776079163</v>
      </c>
      <c r="M458" s="10">
        <f>H458/AVERAGE(K338:K457)</f>
        <v>14.764418456441353</v>
      </c>
      <c r="N458" s="4">
        <f>J458/AVERAGE(L338:L457)</f>
        <v>18.278868975062473</v>
      </c>
      <c r="O458" s="36">
        <f>1/M458-(G458/100-(((E458/E338)^(1/10))-1))</f>
        <v>5.8589112632355819E-2</v>
      </c>
      <c r="R458" s="30"/>
      <c r="S458" s="30"/>
    </row>
    <row r="459" spans="1:19" ht="13" x14ac:dyDescent="0.3">
      <c r="A459" s="52" t="s">
        <v>475</v>
      </c>
      <c r="B459" s="6">
        <v>8.8000000000000007</v>
      </c>
      <c r="C459" s="1">
        <v>0.40670000000000001</v>
      </c>
      <c r="D459" s="6">
        <v>0.61</v>
      </c>
      <c r="E459" s="6">
        <v>9.0388396689999997</v>
      </c>
      <c r="F459" s="1">
        <f t="shared" si="33"/>
        <v>1909.1249999999654</v>
      </c>
      <c r="G459" s="17">
        <f>G458*11/12+G470*1/12</f>
        <v>3.7725</v>
      </c>
      <c r="H459" s="1">
        <f>B459*$E$1867/E459</f>
        <v>326.26999791957485</v>
      </c>
      <c r="I459" s="1">
        <f>C459*$E$1867/E459</f>
        <v>15.078864562942169</v>
      </c>
      <c r="J459" s="26">
        <f t="shared" si="34"/>
        <v>2194.4428626773333</v>
      </c>
      <c r="K459" s="1">
        <f>D459*$E$1867/E459</f>
        <v>22.616443037606889</v>
      </c>
      <c r="L459" s="26">
        <f t="shared" si="32"/>
        <v>152.11478934467874</v>
      </c>
      <c r="M459" s="10">
        <f>H459/AVERAGE(K339:K458)</f>
        <v>14.167157516701369</v>
      </c>
      <c r="N459" s="4">
        <f>J459/AVERAGE(L339:L458)</f>
        <v>17.551012942214435</v>
      </c>
      <c r="O459" s="36">
        <f>1/M459-(G459/100-(((E459/E339)^(1/10))-1))</f>
        <v>5.9552576468414255E-2</v>
      </c>
      <c r="R459" s="30"/>
      <c r="S459" s="30"/>
    </row>
    <row r="460" spans="1:19" ht="13" x14ac:dyDescent="0.3">
      <c r="A460" s="52" t="s">
        <v>476</v>
      </c>
      <c r="B460" s="6">
        <v>8.92</v>
      </c>
      <c r="C460" s="1">
        <v>0.41</v>
      </c>
      <c r="D460" s="6">
        <v>0.625</v>
      </c>
      <c r="E460" s="6">
        <v>9.0388396689999997</v>
      </c>
      <c r="F460" s="1">
        <f t="shared" si="33"/>
        <v>1909.2083333332987</v>
      </c>
      <c r="G460" s="17">
        <f>G458*10/12+G470*2/12</f>
        <v>3.7849999999999997</v>
      </c>
      <c r="H460" s="1">
        <f>B460*$E$1867/E460</f>
        <v>330.71913425484172</v>
      </c>
      <c r="I460" s="1">
        <f>C460*$E$1867/E460</f>
        <v>15.201215812162008</v>
      </c>
      <c r="J460" s="26">
        <f t="shared" si="34"/>
        <v>2232.8871741920402</v>
      </c>
      <c r="K460" s="1">
        <f>D460*$E$1867/E460</f>
        <v>23.172585079515255</v>
      </c>
      <c r="L460" s="26">
        <f t="shared" si="32"/>
        <v>156.45229639798487</v>
      </c>
      <c r="M460" s="10">
        <f>H460/AVERAGE(K340:K459)</f>
        <v>14.336058380586216</v>
      </c>
      <c r="N460" s="4">
        <f>J460/AVERAGE(L340:L459)</f>
        <v>17.770999224836935</v>
      </c>
      <c r="O460" s="36">
        <f>1/M460-(G460/100-(((E460/E340)^(1/10))-1))</f>
        <v>5.8595967072828339E-2</v>
      </c>
      <c r="R460" s="30"/>
      <c r="S460" s="30"/>
    </row>
    <row r="461" spans="1:19" ht="13" x14ac:dyDescent="0.3">
      <c r="A461" s="52" t="s">
        <v>477</v>
      </c>
      <c r="B461" s="6">
        <v>9.32</v>
      </c>
      <c r="C461" s="1">
        <v>0.4133</v>
      </c>
      <c r="D461" s="6">
        <v>0.64</v>
      </c>
      <c r="E461" s="6">
        <v>9.229089256</v>
      </c>
      <c r="F461" s="1">
        <f t="shared" si="33"/>
        <v>1909.291666666632</v>
      </c>
      <c r="G461" s="17">
        <f>G458*9/12+G470*3/12</f>
        <v>3.7974999999999999</v>
      </c>
      <c r="H461" s="1">
        <f>B461*$E$1867/E461</f>
        <v>338.42638676069168</v>
      </c>
      <c r="I461" s="1">
        <f>C461*$E$1867/E461</f>
        <v>15.007685155385607</v>
      </c>
      <c r="J461" s="26">
        <f t="shared" si="34"/>
        <v>2293.3673888867647</v>
      </c>
      <c r="K461" s="1">
        <f>D461*$E$1867/E461</f>
        <v>23.239580206742776</v>
      </c>
      <c r="L461" s="26">
        <f t="shared" si="32"/>
        <v>157.4844558892199</v>
      </c>
      <c r="M461" s="10">
        <f>H461/AVERAGE(K341:K460)</f>
        <v>14.645198603086124</v>
      </c>
      <c r="N461" s="4">
        <f>J461/AVERAGE(L341:L460)</f>
        <v>18.161144521921884</v>
      </c>
      <c r="O461" s="36">
        <f>1/M461-(G461/100-(((E461/E341)^(1/10))-1))</f>
        <v>5.7740559903484763E-2</v>
      </c>
      <c r="R461" s="30"/>
      <c r="S461" s="30"/>
    </row>
    <row r="462" spans="1:19" ht="13" x14ac:dyDescent="0.3">
      <c r="A462" s="52" t="s">
        <v>478</v>
      </c>
      <c r="B462" s="6">
        <v>9.6300000000000008</v>
      </c>
      <c r="C462" s="1">
        <v>0.41670000000000001</v>
      </c>
      <c r="D462" s="6">
        <v>0.65500000000000003</v>
      </c>
      <c r="E462" s="6">
        <v>9.3242545450000005</v>
      </c>
      <c r="F462" s="1">
        <f t="shared" si="33"/>
        <v>1909.3749999999652</v>
      </c>
      <c r="G462" s="17">
        <f>G458*8/12+G470*4/12</f>
        <v>3.8099999999999996</v>
      </c>
      <c r="H462" s="1">
        <f>B462*$E$1867/E462</f>
        <v>346.11412010738928</v>
      </c>
      <c r="I462" s="1">
        <f>C462*$E$1867/E462</f>
        <v>14.976713795301048</v>
      </c>
      <c r="J462" s="26">
        <f t="shared" si="34"/>
        <v>2353.9213429253255</v>
      </c>
      <c r="K462" s="1">
        <f>D462*$E$1867/E462</f>
        <v>23.541510765352019</v>
      </c>
      <c r="L462" s="26">
        <f t="shared" si="32"/>
        <v>160.10576112316593</v>
      </c>
      <c r="M462" s="10">
        <f>H462/AVERAGE(K342:K461)</f>
        <v>14.953509786582782</v>
      </c>
      <c r="N462" s="4">
        <f>J462/AVERAGE(L342:L461)</f>
        <v>18.548405152076857</v>
      </c>
      <c r="O462" s="36">
        <f>1/M462-(G462/100-(((E462/E342)^(1/10))-1))</f>
        <v>5.7262276887974667E-2</v>
      </c>
      <c r="R462" s="30"/>
      <c r="S462" s="30"/>
    </row>
    <row r="463" spans="1:19" ht="13" x14ac:dyDescent="0.3">
      <c r="A463" s="52" t="s">
        <v>479</v>
      </c>
      <c r="B463" s="6">
        <v>9.8000000000000007</v>
      </c>
      <c r="C463" s="1">
        <v>0.42</v>
      </c>
      <c r="D463" s="6">
        <v>0.67</v>
      </c>
      <c r="E463" s="6">
        <v>9.4194198349999994</v>
      </c>
      <c r="F463" s="1">
        <f t="shared" si="33"/>
        <v>1909.4583333332985</v>
      </c>
      <c r="G463" s="17">
        <f>G458*7/12+G470*5/12</f>
        <v>3.8224999999999998</v>
      </c>
      <c r="H463" s="1">
        <f>B463*$E$1867/E463</f>
        <v>348.66557681150437</v>
      </c>
      <c r="I463" s="1">
        <f>C463*$E$1867/E463</f>
        <v>14.942810434778757</v>
      </c>
      <c r="J463" s="26">
        <f t="shared" si="34"/>
        <v>2379.7426291407978</v>
      </c>
      <c r="K463" s="1">
        <f>D463*$E$1867/E463</f>
        <v>23.837340455480401</v>
      </c>
      <c r="L463" s="26">
        <f t="shared" si="32"/>
        <v>162.6966899514627</v>
      </c>
      <c r="M463" s="10">
        <f>H463/AVERAGE(K343:K462)</f>
        <v>15.040444676080995</v>
      </c>
      <c r="N463" s="4">
        <f>J463/AVERAGE(L343:L462)</f>
        <v>18.65937322726257</v>
      </c>
      <c r="O463" s="36">
        <f>1/M463-(G463/100-(((E463/E343)^(1/10))-1))</f>
        <v>5.6414579208054955E-2</v>
      </c>
      <c r="R463" s="30"/>
      <c r="S463" s="30"/>
    </row>
    <row r="464" spans="1:19" ht="13" x14ac:dyDescent="0.3">
      <c r="A464" s="52" t="s">
        <v>480</v>
      </c>
      <c r="B464" s="6">
        <v>9.94</v>
      </c>
      <c r="C464" s="1">
        <v>0.42330000000000001</v>
      </c>
      <c r="D464" s="6">
        <v>0.68500000000000005</v>
      </c>
      <c r="E464" s="6">
        <v>9.4194198349999994</v>
      </c>
      <c r="F464" s="1">
        <f t="shared" si="33"/>
        <v>1909.5416666666317</v>
      </c>
      <c r="G464" s="17">
        <f>G458*6/12+G470*6/12</f>
        <v>3.835</v>
      </c>
      <c r="H464" s="1">
        <f>B464*$E$1867/E464</f>
        <v>353.64651362309729</v>
      </c>
      <c r="I464" s="1">
        <f>C464*$E$1867/E464</f>
        <v>15.060218231052021</v>
      </c>
      <c r="J464" s="26">
        <f t="shared" si="34"/>
        <v>2422.3048117247422</v>
      </c>
      <c r="K464" s="1">
        <f>D464*$E$1867/E464</f>
        <v>24.371012256722501</v>
      </c>
      <c r="L464" s="26">
        <f t="shared" si="32"/>
        <v>166.92945634119201</v>
      </c>
      <c r="M464" s="10">
        <f>H464/AVERAGE(K344:K463)</f>
        <v>15.231503240497686</v>
      </c>
      <c r="N464" s="4">
        <f>J464/AVERAGE(L344:L463)</f>
        <v>18.898339079013805</v>
      </c>
      <c r="O464" s="36">
        <f>1/M464-(G464/100-(((E464/E344)^(1/10))-1))</f>
        <v>5.4094626464790664E-2</v>
      </c>
      <c r="R464" s="30"/>
      <c r="S464" s="30"/>
    </row>
    <row r="465" spans="1:19" ht="13" x14ac:dyDescent="0.3">
      <c r="A465" s="52" t="s">
        <v>481</v>
      </c>
      <c r="B465" s="6">
        <v>10.18</v>
      </c>
      <c r="C465" s="1">
        <v>0.42670000000000002</v>
      </c>
      <c r="D465" s="6">
        <v>0.7</v>
      </c>
      <c r="E465" s="6">
        <v>9.5145851239999999</v>
      </c>
      <c r="F465" s="1">
        <f t="shared" si="33"/>
        <v>1909.624999999965</v>
      </c>
      <c r="G465" s="17">
        <f>G458*5/12+G470*7/12</f>
        <v>3.8474999999999997</v>
      </c>
      <c r="H465" s="1">
        <f>B465*$E$1867/E465</f>
        <v>358.56266989450711</v>
      </c>
      <c r="I465" s="1">
        <f>C465*$E$1867/E465</f>
        <v>15.029340986639117</v>
      </c>
      <c r="J465" s="26">
        <f t="shared" si="34"/>
        <v>2464.5566993156208</v>
      </c>
      <c r="K465" s="1">
        <f>D465*$E$1867/E465</f>
        <v>24.655586338522099</v>
      </c>
      <c r="L465" s="26">
        <f t="shared" si="32"/>
        <v>169.46853531639829</v>
      </c>
      <c r="M465" s="10">
        <f>H465/AVERAGE(K345:K464)</f>
        <v>15.417580706254755</v>
      </c>
      <c r="N465" s="4">
        <f>J465/AVERAGE(L345:L464)</f>
        <v>19.128911647815695</v>
      </c>
      <c r="O465" s="36">
        <f>1/M465-(G465/100-(((E465/E345)^(1/10))-1))</f>
        <v>5.2867298335827678E-2</v>
      </c>
      <c r="R465" s="30"/>
      <c r="S465" s="30"/>
    </row>
    <row r="466" spans="1:19" ht="13" x14ac:dyDescent="0.3">
      <c r="A466" s="52" t="s">
        <v>482</v>
      </c>
      <c r="B466" s="6">
        <v>10.19</v>
      </c>
      <c r="C466" s="1">
        <v>0.43</v>
      </c>
      <c r="D466" s="6">
        <v>0.71499999999999997</v>
      </c>
      <c r="E466" s="6">
        <v>9.6096694209999995</v>
      </c>
      <c r="F466" s="1">
        <f t="shared" si="33"/>
        <v>1909.7083333332982</v>
      </c>
      <c r="G466" s="17">
        <f>G458*4/12+G470*8/12</f>
        <v>3.8600000000000003</v>
      </c>
      <c r="H466" s="1">
        <f>B466*$E$1867/E466</f>
        <v>355.36355600717803</v>
      </c>
      <c r="I466" s="1">
        <f>C466*$E$1867/E466</f>
        <v>14.995714335926063</v>
      </c>
      <c r="J466" s="26">
        <f t="shared" si="34"/>
        <v>2451.1571396830795</v>
      </c>
      <c r="K466" s="1">
        <f>D466*$E$1867/E466</f>
        <v>24.934734302760777</v>
      </c>
      <c r="L466" s="26">
        <f t="shared" si="32"/>
        <v>171.98992687668323</v>
      </c>
      <c r="M466" s="10">
        <f>H466/AVERAGE(K346:K465)</f>
        <v>15.254446436821176</v>
      </c>
      <c r="N466" s="4">
        <f>J466/AVERAGE(L346:L465)</f>
        <v>18.925890785476803</v>
      </c>
      <c r="O466" s="36">
        <f>1/M466-(G466/100-(((E466/E346)^(1/10))-1))</f>
        <v>5.0537394058907399E-2</v>
      </c>
      <c r="R466" s="30"/>
      <c r="S466" s="30"/>
    </row>
    <row r="467" spans="1:19" ht="13" x14ac:dyDescent="0.3">
      <c r="A467" s="52" t="s">
        <v>483</v>
      </c>
      <c r="B467" s="6">
        <v>10.23</v>
      </c>
      <c r="C467" s="1">
        <v>0.43330000000000002</v>
      </c>
      <c r="D467" s="6">
        <v>0.73</v>
      </c>
      <c r="E467" s="6">
        <v>9.8000000000000007</v>
      </c>
      <c r="F467" s="1">
        <f t="shared" si="33"/>
        <v>1909.7916666666315</v>
      </c>
      <c r="G467" s="17">
        <f>G458*3/12+G470*9/12</f>
        <v>3.8724999999999996</v>
      </c>
      <c r="H467" s="1">
        <f>B467*$E$1867/E467</f>
        <v>349.82972525510201</v>
      </c>
      <c r="I467" s="1">
        <f>C467*$E$1867/E467</f>
        <v>14.817323553571427</v>
      </c>
      <c r="J467" s="26">
        <f t="shared" si="34"/>
        <v>2421.5039684128706</v>
      </c>
      <c r="K467" s="1">
        <f>D467*$E$1867/E467</f>
        <v>24.963411479591834</v>
      </c>
      <c r="L467" s="26">
        <f t="shared" si="32"/>
        <v>172.79549334715497</v>
      </c>
      <c r="M467" s="10">
        <f>H467/AVERAGE(K347:K466)</f>
        <v>14.988845296121767</v>
      </c>
      <c r="N467" s="4">
        <f>J467/AVERAGE(L347:L466)</f>
        <v>18.595961438316664</v>
      </c>
      <c r="O467" s="36">
        <f>1/M467-(G467/100-(((E467/E347)^(1/10))-1))</f>
        <v>5.2310304239140487E-2</v>
      </c>
      <c r="R467" s="30"/>
      <c r="S467" s="30"/>
    </row>
    <row r="468" spans="1:19" ht="13" x14ac:dyDescent="0.3">
      <c r="A468" s="52" t="s">
        <v>484</v>
      </c>
      <c r="B468" s="6">
        <v>10.18</v>
      </c>
      <c r="C468" s="1">
        <v>0.43669999999999998</v>
      </c>
      <c r="D468" s="6">
        <v>0.745</v>
      </c>
      <c r="E468" s="6">
        <v>9.8951652889999995</v>
      </c>
      <c r="F468" s="1">
        <f t="shared" si="33"/>
        <v>1909.8749999999648</v>
      </c>
      <c r="G468" s="17">
        <f>G458*2/12+G470*10/12</f>
        <v>3.8849999999999998</v>
      </c>
      <c r="H468" s="1">
        <f>B468*$E$1867/E468</f>
        <v>344.77191086363069</v>
      </c>
      <c r="I468" s="1">
        <f>C468*$E$1867/E468</f>
        <v>14.789969889405453</v>
      </c>
      <c r="J468" s="26">
        <f t="shared" si="34"/>
        <v>2395.0253149802702</v>
      </c>
      <c r="K468" s="1">
        <f>D468*$E$1867/E468</f>
        <v>25.231343182063345</v>
      </c>
      <c r="L468" s="26">
        <f t="shared" si="32"/>
        <v>175.27444593912585</v>
      </c>
      <c r="M468" s="10">
        <f>H468/AVERAGE(K348:K467)</f>
        <v>14.74563117682459</v>
      </c>
      <c r="N468" s="4">
        <f>J468/AVERAGE(L348:L467)</f>
        <v>18.294340914901586</v>
      </c>
      <c r="O468" s="36">
        <f>1/M468-(G468/100-(((E468/E348)^(1/10))-1))</f>
        <v>5.3018752451290424E-2</v>
      </c>
      <c r="R468" s="30"/>
      <c r="S468" s="30"/>
    </row>
    <row r="469" spans="1:19" ht="13" x14ac:dyDescent="0.3">
      <c r="A469" s="52" t="s">
        <v>485</v>
      </c>
      <c r="B469" s="6">
        <v>10.3</v>
      </c>
      <c r="C469" s="1">
        <v>0.44</v>
      </c>
      <c r="D469" s="6">
        <v>0.76</v>
      </c>
      <c r="E469" s="6">
        <v>9.9903305790000001</v>
      </c>
      <c r="F469" s="1">
        <f t="shared" si="33"/>
        <v>1909.958333333298</v>
      </c>
      <c r="G469" s="17">
        <f>G458*1/12+G470*11/12</f>
        <v>3.8975000000000004</v>
      </c>
      <c r="H469" s="1">
        <f>B469*$E$1867/E469</f>
        <v>345.51309866119698</v>
      </c>
      <c r="I469" s="1">
        <f>C469*$E$1867/E469</f>
        <v>14.759782855429773</v>
      </c>
      <c r="J469" s="26">
        <f t="shared" si="34"/>
        <v>2408.7184297268586</v>
      </c>
      <c r="K469" s="1">
        <f>D469*$E$1867/E469</f>
        <v>25.494170386651426</v>
      </c>
      <c r="L469" s="26">
        <f t="shared" si="32"/>
        <v>177.73068025169053</v>
      </c>
      <c r="M469" s="10">
        <f>H469/AVERAGE(K349:K468)</f>
        <v>14.750638489265036</v>
      </c>
      <c r="N469" s="4">
        <f>J469/AVERAGE(L349:L468)</f>
        <v>18.299718545945861</v>
      </c>
      <c r="O469" s="36">
        <f>1/M469-(G469/100-(((E469/E349)^(1/10))-1))</f>
        <v>5.2609590345711811E-2</v>
      </c>
      <c r="R469" s="30"/>
      <c r="S469" s="30"/>
    </row>
    <row r="470" spans="1:19" ht="13" x14ac:dyDescent="0.3">
      <c r="A470" s="52" t="s">
        <v>486</v>
      </c>
      <c r="B470" s="6">
        <v>10.08</v>
      </c>
      <c r="C470" s="1">
        <v>0.4425</v>
      </c>
      <c r="D470" s="6">
        <v>0.75749999999999995</v>
      </c>
      <c r="E470" s="6">
        <v>9.8951652889999995</v>
      </c>
      <c r="F470" s="1">
        <f t="shared" si="33"/>
        <v>1910.0416666666313</v>
      </c>
      <c r="G470" s="17">
        <v>3.91</v>
      </c>
      <c r="H470" s="1">
        <f>B470*$E$1867/E470</f>
        <v>341.38515338952817</v>
      </c>
      <c r="I470" s="1">
        <f>C470*$E$1867/E470</f>
        <v>14.986401822903394</v>
      </c>
      <c r="J470" s="26">
        <f t="shared" si="34"/>
        <v>2388.6471520894338</v>
      </c>
      <c r="K470" s="1">
        <f>D470*$E$1867/E470</f>
        <v>25.65468786632615</v>
      </c>
      <c r="L470" s="26">
        <f t="shared" si="32"/>
        <v>179.50398985195895</v>
      </c>
      <c r="M470" s="10">
        <f t="shared" ref="M470:M505" si="35">H470/AVERAGE(K350:K469)</f>
        <v>14.547885040564143</v>
      </c>
      <c r="N470" s="4">
        <f t="shared" ref="N470:N505" si="36">J470/AVERAGE(L350:L469)</f>
        <v>18.048500786602414</v>
      </c>
      <c r="O470" s="36">
        <f>1/M470-(G470/100-(((E470/E350)^(1/10))-1))</f>
        <v>5.2449986402138209E-2</v>
      </c>
      <c r="R470" s="30"/>
      <c r="S470" s="30"/>
    </row>
    <row r="471" spans="1:19" ht="13" x14ac:dyDescent="0.3">
      <c r="A471" s="52" t="s">
        <v>487</v>
      </c>
      <c r="B471" s="6">
        <v>9.7200000000000006</v>
      </c>
      <c r="C471" s="1">
        <v>0.44500000000000001</v>
      </c>
      <c r="D471" s="6">
        <v>0.755</v>
      </c>
      <c r="E471" s="6">
        <v>9.8951652889999995</v>
      </c>
      <c r="F471" s="1">
        <f t="shared" si="33"/>
        <v>1910.1249999999645</v>
      </c>
      <c r="G471" s="17">
        <f>G470*11/12+G482*1/12</f>
        <v>3.9158333333333335</v>
      </c>
      <c r="H471" s="1">
        <f>B471*$E$1867/E471</f>
        <v>329.19282648275936</v>
      </c>
      <c r="I471" s="1">
        <f>C471*$E$1867/E471</f>
        <v>15.071070759755958</v>
      </c>
      <c r="J471" s="26">
        <f t="shared" si="34"/>
        <v>2312.125924292257</v>
      </c>
      <c r="K471" s="1">
        <f>D471*$E$1867/E471</f>
        <v>25.570018929473591</v>
      </c>
      <c r="L471" s="26">
        <f t="shared" si="32"/>
        <v>179.59414329636357</v>
      </c>
      <c r="M471" s="10">
        <f t="shared" si="35"/>
        <v>14.002037903032697</v>
      </c>
      <c r="N471" s="4">
        <f t="shared" si="36"/>
        <v>17.37414248591352</v>
      </c>
      <c r="O471" s="36">
        <f>1/M471-(G471/100-(((E471/E351)^(1/10))-1))</f>
        <v>5.3847169033190145E-2</v>
      </c>
      <c r="R471" s="30"/>
      <c r="S471" s="30"/>
    </row>
    <row r="472" spans="1:19" ht="13" x14ac:dyDescent="0.3">
      <c r="A472" s="52" t="s">
        <v>488</v>
      </c>
      <c r="B472" s="6">
        <v>9.9600000000000009</v>
      </c>
      <c r="C472" s="1">
        <v>0.44750000000000001</v>
      </c>
      <c r="D472" s="6">
        <v>0.75249999999999995</v>
      </c>
      <c r="E472" s="6">
        <v>10.08541488</v>
      </c>
      <c r="F472" s="1">
        <f t="shared" si="33"/>
        <v>1910.2083333332978</v>
      </c>
      <c r="G472" s="17">
        <f>G470*10/12+G482*2/12</f>
        <v>3.9216666666666669</v>
      </c>
      <c r="H472" s="1">
        <f>B472*$E$1867/E472</f>
        <v>330.95787627132302</v>
      </c>
      <c r="I472" s="1">
        <f>C472*$E$1867/E472</f>
        <v>14.86984434050372</v>
      </c>
      <c r="J472" s="26">
        <f t="shared" si="34"/>
        <v>2333.2263134790715</v>
      </c>
      <c r="K472" s="1">
        <f>D472*$E$1867/E472</f>
        <v>25.004598583752063</v>
      </c>
      <c r="L472" s="26">
        <f t="shared" si="32"/>
        <v>176.28040169608445</v>
      </c>
      <c r="M472" s="10">
        <f t="shared" si="35"/>
        <v>14.05000696507782</v>
      </c>
      <c r="N472" s="4">
        <f t="shared" si="36"/>
        <v>17.43573047456362</v>
      </c>
      <c r="O472" s="36">
        <f>1/M472-(G472/100-(((E472/E352)^(1/10))-1))</f>
        <v>5.5492369388224765E-2</v>
      </c>
      <c r="R472" s="30"/>
      <c r="S472" s="30"/>
    </row>
    <row r="473" spans="1:19" ht="13" x14ac:dyDescent="0.3">
      <c r="A473" s="52" t="s">
        <v>489</v>
      </c>
      <c r="B473" s="6">
        <v>9.7200000000000006</v>
      </c>
      <c r="C473" s="1">
        <v>0.45</v>
      </c>
      <c r="D473" s="6">
        <v>0.75</v>
      </c>
      <c r="E473" s="6">
        <v>10.180580170000001</v>
      </c>
      <c r="F473" s="1">
        <f t="shared" si="33"/>
        <v>1910.291666666631</v>
      </c>
      <c r="G473" s="17">
        <f>G470*9/12+G482*3/12</f>
        <v>3.9274999999999998</v>
      </c>
      <c r="H473" s="1">
        <f>B473*$E$1867/E473</f>
        <v>319.96383070573074</v>
      </c>
      <c r="I473" s="1">
        <f>C473*$E$1867/E473</f>
        <v>14.8131403104505</v>
      </c>
      <c r="J473" s="26">
        <f t="shared" si="34"/>
        <v>2264.4217999501066</v>
      </c>
      <c r="K473" s="1">
        <f>D473*$E$1867/E473</f>
        <v>24.688567184084164</v>
      </c>
      <c r="L473" s="26">
        <f t="shared" si="32"/>
        <v>174.72390431713788</v>
      </c>
      <c r="M473" s="10">
        <f t="shared" si="35"/>
        <v>13.559883620820077</v>
      </c>
      <c r="N473" s="4">
        <f t="shared" si="36"/>
        <v>16.832242284802895</v>
      </c>
      <c r="O473" s="36">
        <f>1/M473-(G473/100-(((E473/E353)^(1/10))-1))</f>
        <v>5.8968363511062598E-2</v>
      </c>
      <c r="R473" s="30"/>
      <c r="S473" s="30"/>
    </row>
    <row r="474" spans="1:19" ht="13" x14ac:dyDescent="0.3">
      <c r="A474" s="52" t="s">
        <v>490</v>
      </c>
      <c r="B474" s="6">
        <v>9.56</v>
      </c>
      <c r="C474" s="1">
        <v>0.45250000000000001</v>
      </c>
      <c r="D474" s="6">
        <v>0.74750000000000005</v>
      </c>
      <c r="E474" s="6">
        <v>9.9903305790000001</v>
      </c>
      <c r="F474" s="1">
        <f t="shared" si="33"/>
        <v>1910.3749999999643</v>
      </c>
      <c r="G474" s="17">
        <f>G470*8/12+G482*4/12</f>
        <v>3.9333333333333336</v>
      </c>
      <c r="H474" s="1">
        <f>B474*$E$1867/E474</f>
        <v>320.6898274952469</v>
      </c>
      <c r="I474" s="1">
        <f>C474*$E$1867/E474</f>
        <v>15.17909486836812</v>
      </c>
      <c r="J474" s="26">
        <f t="shared" si="34"/>
        <v>2278.5117854459177</v>
      </c>
      <c r="K474" s="1">
        <f>D474*$E$1867/E474</f>
        <v>25.074858373713081</v>
      </c>
      <c r="L474" s="26">
        <f t="shared" si="32"/>
        <v>178.15769452100662</v>
      </c>
      <c r="M474" s="10">
        <f t="shared" si="35"/>
        <v>13.568792287251451</v>
      </c>
      <c r="N474" s="4">
        <f t="shared" si="36"/>
        <v>16.849954664554481</v>
      </c>
      <c r="O474" s="36">
        <f>1/M474-(G474/100-(((E474/E354)^(1/10))-1))</f>
        <v>5.9397879275674505E-2</v>
      </c>
      <c r="R474" s="30"/>
      <c r="S474" s="30"/>
    </row>
    <row r="475" spans="1:19" ht="13" x14ac:dyDescent="0.3">
      <c r="A475" s="52" t="s">
        <v>491</v>
      </c>
      <c r="B475" s="6">
        <v>9.1</v>
      </c>
      <c r="C475" s="1">
        <v>0.45500000000000002</v>
      </c>
      <c r="D475" s="6">
        <v>0.745</v>
      </c>
      <c r="E475" s="6">
        <v>9.8951652889999995</v>
      </c>
      <c r="F475" s="1">
        <f t="shared" si="33"/>
        <v>1910.4583333332976</v>
      </c>
      <c r="G475" s="17">
        <f>G470*7/12+G482*5/12</f>
        <v>3.9391666666666665</v>
      </c>
      <c r="H475" s="1">
        <f>B475*$E$1867/E475</f>
        <v>308.19493014332403</v>
      </c>
      <c r="I475" s="1">
        <f>C475*$E$1867/E475</f>
        <v>15.409746507166204</v>
      </c>
      <c r="J475" s="26">
        <f t="shared" si="34"/>
        <v>2198.8590246410995</v>
      </c>
      <c r="K475" s="1">
        <f>D475*$E$1867/E475</f>
        <v>25.231343182063345</v>
      </c>
      <c r="L475" s="26">
        <f t="shared" si="32"/>
        <v>180.01648058874937</v>
      </c>
      <c r="M475" s="10">
        <f t="shared" si="35"/>
        <v>13.019657302315935</v>
      </c>
      <c r="N475" s="4">
        <f t="shared" si="36"/>
        <v>16.176908272404535</v>
      </c>
      <c r="O475" s="36">
        <f>1/M475-(G475/100-(((E475/E355)^(1/10))-1))</f>
        <v>6.2724664562796406E-2</v>
      </c>
      <c r="R475" s="30"/>
      <c r="S475" s="30"/>
    </row>
    <row r="476" spans="1:19" ht="13" x14ac:dyDescent="0.3">
      <c r="A476" s="52" t="s">
        <v>492</v>
      </c>
      <c r="B476" s="6">
        <v>8.64</v>
      </c>
      <c r="C476" s="1">
        <v>0.45750000000000002</v>
      </c>
      <c r="D476" s="6">
        <v>0.74250000000000005</v>
      </c>
      <c r="E476" s="6">
        <v>9.8951652889999995</v>
      </c>
      <c r="F476" s="1">
        <f t="shared" si="33"/>
        <v>1910.5416666666308</v>
      </c>
      <c r="G476" s="17">
        <f>G470*6/12+G482*6/12</f>
        <v>3.9450000000000003</v>
      </c>
      <c r="H476" s="1">
        <f>B476*$E$1867/E476</f>
        <v>292.61584576245275</v>
      </c>
      <c r="I476" s="1">
        <f>C476*$E$1867/E476</f>
        <v>15.494415444018765</v>
      </c>
      <c r="J476" s="26">
        <f t="shared" si="34"/>
        <v>2096.9201618915981</v>
      </c>
      <c r="K476" s="1">
        <f>D476*$E$1867/E476</f>
        <v>25.146674245210786</v>
      </c>
      <c r="L476" s="26">
        <f t="shared" si="32"/>
        <v>180.20407641255923</v>
      </c>
      <c r="M476" s="10">
        <f t="shared" si="35"/>
        <v>12.342581259985216</v>
      </c>
      <c r="N476" s="4">
        <f t="shared" si="36"/>
        <v>15.347332499645297</v>
      </c>
      <c r="O476" s="36">
        <f>1/M476-(G476/100-(((E476/E356)^(1/10))-1))</f>
        <v>6.5622385013548029E-2</v>
      </c>
      <c r="R476" s="30"/>
      <c r="S476" s="30"/>
    </row>
    <row r="477" spans="1:19" ht="13" x14ac:dyDescent="0.3">
      <c r="A477" s="52" t="s">
        <v>493</v>
      </c>
      <c r="B477" s="6">
        <v>8.85</v>
      </c>
      <c r="C477" s="1">
        <v>0.46</v>
      </c>
      <c r="D477" s="6">
        <v>0.74</v>
      </c>
      <c r="E477" s="6">
        <v>9.8000000000000007</v>
      </c>
      <c r="F477" s="1">
        <f t="shared" si="33"/>
        <v>1910.6249999999641</v>
      </c>
      <c r="G477" s="17">
        <f>G470*5/12+G482*7/12</f>
        <v>3.9508333333333336</v>
      </c>
      <c r="H477" s="1">
        <f>B477*$E$1867/E477</f>
        <v>302.63861862244892</v>
      </c>
      <c r="I477" s="1">
        <f>C477*$E$1867/E477</f>
        <v>15.730368877551019</v>
      </c>
      <c r="J477" s="26">
        <f t="shared" si="34"/>
        <v>2178.1383602113265</v>
      </c>
      <c r="K477" s="1">
        <f>D477*$E$1867/E477</f>
        <v>25.305376020408161</v>
      </c>
      <c r="L477" s="26">
        <f t="shared" si="32"/>
        <v>182.12682333970415</v>
      </c>
      <c r="M477" s="10">
        <f t="shared" si="35"/>
        <v>12.745055150886252</v>
      </c>
      <c r="N477" s="4">
        <f t="shared" si="36"/>
        <v>15.85895531084854</v>
      </c>
      <c r="O477" s="36">
        <f>1/M477-(G477/100-(((E477/E357)^(1/10))-1))</f>
        <v>6.3272493374758348E-2</v>
      </c>
      <c r="R477" s="30"/>
      <c r="S477" s="30"/>
    </row>
    <row r="478" spans="1:19" ht="13" x14ac:dyDescent="0.3">
      <c r="A478" s="52" t="s">
        <v>494</v>
      </c>
      <c r="B478" s="6">
        <v>8.91</v>
      </c>
      <c r="C478" s="1">
        <v>0.46250000000000002</v>
      </c>
      <c r="D478" s="6">
        <v>0.73750000000000004</v>
      </c>
      <c r="E478" s="6">
        <v>9.7048347110000002</v>
      </c>
      <c r="F478" s="1">
        <f t="shared" si="33"/>
        <v>1910.7083333332973</v>
      </c>
      <c r="G478" s="17">
        <f>G470*4/12+G482*8/12</f>
        <v>3.956666666666667</v>
      </c>
      <c r="H478" s="1">
        <f>B478*$E$1867/E478</f>
        <v>307.67818993511963</v>
      </c>
      <c r="I478" s="1">
        <f>C478*$E$1867/E478</f>
        <v>15.970949814252846</v>
      </c>
      <c r="J478" s="26">
        <f t="shared" si="34"/>
        <v>2223.9877471630912</v>
      </c>
      <c r="K478" s="1">
        <f>D478*$E$1867/E478</f>
        <v>25.46719024434913</v>
      </c>
      <c r="L478" s="26">
        <f t="shared" si="32"/>
        <v>184.08428322477889</v>
      </c>
      <c r="M478" s="10">
        <f t="shared" si="35"/>
        <v>12.937161101070846</v>
      </c>
      <c r="N478" s="4">
        <f t="shared" si="36"/>
        <v>16.108720433280791</v>
      </c>
      <c r="O478" s="36">
        <f>1/M478-(G478/100-(((E478/E358)^(1/10))-1))</f>
        <v>5.9795105936958456E-2</v>
      </c>
      <c r="R478" s="30"/>
      <c r="S478" s="30"/>
    </row>
    <row r="479" spans="1:19" ht="13" x14ac:dyDescent="0.3">
      <c r="A479" s="52" t="s">
        <v>495</v>
      </c>
      <c r="B479" s="6">
        <v>9.32</v>
      </c>
      <c r="C479" s="1">
        <v>0.46500000000000002</v>
      </c>
      <c r="D479" s="6">
        <v>0.73499999999999999</v>
      </c>
      <c r="E479" s="6">
        <v>9.4194198349999994</v>
      </c>
      <c r="F479" s="1">
        <f t="shared" si="33"/>
        <v>1910.7916666666306</v>
      </c>
      <c r="G479" s="17">
        <f>G470*3/12+G482*9/12</f>
        <v>3.9624999999999999</v>
      </c>
      <c r="H479" s="1">
        <f>B479*$E$1867/E479</f>
        <v>331.58807917175722</v>
      </c>
      <c r="I479" s="1">
        <f>C479*$E$1867/E479</f>
        <v>16.543825838505054</v>
      </c>
      <c r="J479" s="26">
        <f t="shared" si="34"/>
        <v>2406.7807043320881</v>
      </c>
      <c r="K479" s="1">
        <f>D479*$E$1867/E479</f>
        <v>26.149918260862826</v>
      </c>
      <c r="L479" s="26">
        <f t="shared" si="32"/>
        <v>189.80513065279879</v>
      </c>
      <c r="M479" s="10">
        <f t="shared" si="35"/>
        <v>13.918866656445815</v>
      </c>
      <c r="N479" s="4">
        <f t="shared" si="36"/>
        <v>17.339823908583167</v>
      </c>
      <c r="O479" s="36">
        <f>1/M479-(G479/100-(((E479/E359)^(1/10))-1))</f>
        <v>5.248976494758454E-2</v>
      </c>
      <c r="R479" s="30"/>
      <c r="S479" s="30"/>
    </row>
    <row r="480" spans="1:19" ht="13" x14ac:dyDescent="0.3">
      <c r="A480" s="52" t="s">
        <v>496</v>
      </c>
      <c r="B480" s="6">
        <v>9.31</v>
      </c>
      <c r="C480" s="1">
        <v>0.46750000000000003</v>
      </c>
      <c r="D480" s="6">
        <v>0.73250000000000004</v>
      </c>
      <c r="E480" s="6">
        <v>9.229089256</v>
      </c>
      <c r="F480" s="1">
        <f t="shared" si="33"/>
        <v>1910.8749999999638</v>
      </c>
      <c r="G480" s="17">
        <f>G470*2/12+G482*10/12</f>
        <v>3.9683333333333333</v>
      </c>
      <c r="H480" s="1">
        <f>B480*$E$1867/E480</f>
        <v>338.06326831996131</v>
      </c>
      <c r="I480" s="1">
        <f>C480*$E$1867/E480</f>
        <v>16.975787104144139</v>
      </c>
      <c r="J480" s="26">
        <f t="shared" si="34"/>
        <v>2464.0478717259057</v>
      </c>
      <c r="K480" s="1">
        <f>D480*$E$1867/E480</f>
        <v>26.598425783498566</v>
      </c>
      <c r="L480" s="26">
        <f t="shared" si="32"/>
        <v>193.86842814599635</v>
      </c>
      <c r="M480" s="10">
        <f t="shared" si="35"/>
        <v>14.164523175780355</v>
      </c>
      <c r="N480" s="4">
        <f t="shared" si="36"/>
        <v>17.65392169100571</v>
      </c>
      <c r="O480" s="36">
        <f>1/M480-(G480/100-(((E480/E360)^(1/10))-1))</f>
        <v>4.9104853476430455E-2</v>
      </c>
      <c r="R480" s="30"/>
      <c r="S480" s="30"/>
    </row>
    <row r="481" spans="1:19" ht="13" x14ac:dyDescent="0.3">
      <c r="A481" s="52" t="s">
        <v>497</v>
      </c>
      <c r="B481" s="6">
        <v>9.0500000000000007</v>
      </c>
      <c r="C481" s="1">
        <v>0.47</v>
      </c>
      <c r="D481" s="6">
        <v>0.73</v>
      </c>
      <c r="E481" s="6">
        <v>9.229089256</v>
      </c>
      <c r="F481" s="1">
        <f t="shared" si="33"/>
        <v>1910.9583333332971</v>
      </c>
      <c r="G481" s="17">
        <f>G470*1/12+G482*11/12</f>
        <v>3.9741666666666666</v>
      </c>
      <c r="H481" s="1">
        <f>B481*$E$1867/E481</f>
        <v>328.62218886097207</v>
      </c>
      <c r="I481" s="1">
        <f>C481*$E$1867/E481</f>
        <v>17.066566714326722</v>
      </c>
      <c r="J481" s="26">
        <f t="shared" si="34"/>
        <v>2405.6006209196612</v>
      </c>
      <c r="K481" s="1">
        <f>D481*$E$1867/E481</f>
        <v>26.507646173315976</v>
      </c>
      <c r="L481" s="26">
        <f t="shared" si="32"/>
        <v>194.04292301340911</v>
      </c>
      <c r="M481" s="10">
        <f t="shared" si="35"/>
        <v>13.741478417781551</v>
      </c>
      <c r="N481" s="4">
        <f t="shared" si="36"/>
        <v>17.13631638581224</v>
      </c>
      <c r="O481" s="36">
        <f>1/M481-(G481/100-(((E481/E361)^(1/10))-1))</f>
        <v>5.248554838487441E-2</v>
      </c>
      <c r="R481" s="30"/>
      <c r="S481" s="30"/>
    </row>
    <row r="482" spans="1:19" ht="13" x14ac:dyDescent="0.3">
      <c r="A482" s="52" t="s">
        <v>498</v>
      </c>
      <c r="B482" s="6">
        <v>9.27</v>
      </c>
      <c r="C482" s="1">
        <v>0.47</v>
      </c>
      <c r="D482" s="6">
        <v>0.71830000000000005</v>
      </c>
      <c r="E482" s="6">
        <v>9.229089256</v>
      </c>
      <c r="F482" s="1">
        <f t="shared" si="33"/>
        <v>1911.0416666666304</v>
      </c>
      <c r="G482" s="17">
        <v>3.98</v>
      </c>
      <c r="H482" s="1">
        <f>B482*$E$1867/E482</f>
        <v>336.61079455703987</v>
      </c>
      <c r="I482" s="1">
        <f>C482*$E$1867/E482</f>
        <v>17.066566714326722</v>
      </c>
      <c r="J482" s="26">
        <f t="shared" si="34"/>
        <v>2474.490288793143</v>
      </c>
      <c r="K482" s="1">
        <f>D482*$E$1867/E482</f>
        <v>26.082797597661465</v>
      </c>
      <c r="L482" s="26">
        <f t="shared" si="32"/>
        <v>191.73963046818932</v>
      </c>
      <c r="M482" s="10">
        <f t="shared" si="35"/>
        <v>14.049215181401207</v>
      </c>
      <c r="N482" s="4">
        <f t="shared" si="36"/>
        <v>17.527975125717894</v>
      </c>
      <c r="O482" s="36">
        <f>1/M482-(G482/100-(((E482/E362)^(1/10))-1))</f>
        <v>4.956762270364154E-2</v>
      </c>
      <c r="R482" s="30"/>
      <c r="S482" s="30"/>
    </row>
    <row r="483" spans="1:19" ht="13" x14ac:dyDescent="0.3">
      <c r="A483" s="52" t="s">
        <v>499</v>
      </c>
      <c r="B483" s="6">
        <v>9.43</v>
      </c>
      <c r="C483" s="1">
        <v>0.47</v>
      </c>
      <c r="D483" s="6">
        <v>0.70669999999999999</v>
      </c>
      <c r="E483" s="6">
        <v>8.9436743799999991</v>
      </c>
      <c r="F483" s="1">
        <f t="shared" si="33"/>
        <v>1911.1249999999636</v>
      </c>
      <c r="G483" s="17">
        <f>G482*11/12+G494*1/12</f>
        <v>3.9824999999999999</v>
      </c>
      <c r="H483" s="1">
        <f>B483*$E$1867/E483</f>
        <v>353.34818478711207</v>
      </c>
      <c r="I483" s="1">
        <f>C483*$E$1867/E483</f>
        <v>17.611203271467939</v>
      </c>
      <c r="J483" s="26">
        <f t="shared" si="34"/>
        <v>2608.3186535839091</v>
      </c>
      <c r="K483" s="1">
        <f>D483*$E$1867/E483</f>
        <v>26.480505004141264</v>
      </c>
      <c r="L483" s="26">
        <f t="shared" si="32"/>
        <v>195.47177014716317</v>
      </c>
      <c r="M483" s="10">
        <f t="shared" si="35"/>
        <v>14.721488469928307</v>
      </c>
      <c r="N483" s="4">
        <f t="shared" si="36"/>
        <v>18.374592785196668</v>
      </c>
      <c r="O483" s="36">
        <f>1/M483-(G483/100-(((E483/E363)^(1/10))-1))</f>
        <v>4.4360278841051662E-2</v>
      </c>
      <c r="R483" s="30"/>
      <c r="S483" s="30"/>
    </row>
    <row r="484" spans="1:19" ht="13" x14ac:dyDescent="0.3">
      <c r="A484" s="52" t="s">
        <v>500</v>
      </c>
      <c r="B484" s="6">
        <v>9.32</v>
      </c>
      <c r="C484" s="1">
        <v>0.47</v>
      </c>
      <c r="D484" s="6">
        <v>0.69499999999999995</v>
      </c>
      <c r="E484" s="6">
        <v>9.0388396689999997</v>
      </c>
      <c r="F484" s="1">
        <f t="shared" si="33"/>
        <v>1911.2083333332969</v>
      </c>
      <c r="G484" s="17">
        <f>G482*10/12+G494*2/12</f>
        <v>3.9849999999999999</v>
      </c>
      <c r="H484" s="1">
        <f>B484*$E$1867/E484</f>
        <v>345.54958870573148</v>
      </c>
      <c r="I484" s="1">
        <f>C484*$E$1867/E484</f>
        <v>17.425783979795469</v>
      </c>
      <c r="J484" s="26">
        <f t="shared" si="34"/>
        <v>2561.4709325742406</v>
      </c>
      <c r="K484" s="1">
        <f>D484*$E$1867/E484</f>
        <v>25.767914608420959</v>
      </c>
      <c r="L484" s="26">
        <f t="shared" si="32"/>
        <v>191.01097619518205</v>
      </c>
      <c r="M484" s="10">
        <f t="shared" si="35"/>
        <v>14.370623221979537</v>
      </c>
      <c r="N484" s="4">
        <f t="shared" si="36"/>
        <v>17.944211955514476</v>
      </c>
      <c r="O484" s="36">
        <f>1/M484-(G484/100-(((E484/E364)^(1/10))-1))</f>
        <v>4.7069976401038285E-2</v>
      </c>
      <c r="R484" s="30"/>
      <c r="S484" s="30"/>
    </row>
    <row r="485" spans="1:19" ht="13" x14ac:dyDescent="0.3">
      <c r="A485" s="52" t="s">
        <v>501</v>
      </c>
      <c r="B485" s="6">
        <v>9.2799999999999994</v>
      </c>
      <c r="C485" s="1">
        <v>0.47</v>
      </c>
      <c r="D485" s="6">
        <v>0.68330000000000002</v>
      </c>
      <c r="E485" s="6">
        <v>8.7534247930000006</v>
      </c>
      <c r="F485" s="1">
        <f t="shared" si="33"/>
        <v>1911.2916666666301</v>
      </c>
      <c r="G485" s="17">
        <f>G482*9/12+G494*3/12</f>
        <v>3.9874999999999998</v>
      </c>
      <c r="H485" s="1">
        <f>B485*$E$1867/E485</f>
        <v>355.28520476773798</v>
      </c>
      <c r="I485" s="1">
        <f>C485*$E$1867/E485</f>
        <v>17.993970500090178</v>
      </c>
      <c r="J485" s="26">
        <f t="shared" si="34"/>
        <v>2644.7539630295455</v>
      </c>
      <c r="K485" s="1">
        <f>D485*$E$1867/E485</f>
        <v>26.160170303641745</v>
      </c>
      <c r="L485" s="26">
        <f t="shared" si="32"/>
        <v>194.73711023039749</v>
      </c>
      <c r="M485" s="10">
        <f t="shared" si="35"/>
        <v>14.752935420329354</v>
      </c>
      <c r="N485" s="4">
        <f t="shared" si="36"/>
        <v>18.430686396998276</v>
      </c>
      <c r="O485" s="36">
        <f>1/M485-(G485/100-(((E485/E365)^(1/10))-1))</f>
        <v>4.3259160708309825E-2</v>
      </c>
      <c r="R485" s="30"/>
      <c r="S485" s="30"/>
    </row>
    <row r="486" spans="1:19" ht="13" x14ac:dyDescent="0.3">
      <c r="A486" s="52" t="s">
        <v>502</v>
      </c>
      <c r="B486" s="6">
        <v>9.48</v>
      </c>
      <c r="C486" s="1">
        <v>0.47</v>
      </c>
      <c r="D486" s="6">
        <v>0.67169999999999996</v>
      </c>
      <c r="E486" s="6">
        <v>8.7534247930000006</v>
      </c>
      <c r="F486" s="1">
        <f t="shared" si="33"/>
        <v>1911.3749999999634</v>
      </c>
      <c r="G486" s="17">
        <f>G482*8/12+G494*4/12</f>
        <v>3.99</v>
      </c>
      <c r="H486" s="1">
        <f>B486*$E$1867/E486</f>
        <v>362.94221349118067</v>
      </c>
      <c r="I486" s="1">
        <f>C486*$E$1867/E486</f>
        <v>17.993970500090178</v>
      </c>
      <c r="J486" s="26">
        <f t="shared" si="34"/>
        <v>2712.9152765523081</v>
      </c>
      <c r="K486" s="1">
        <f>D486*$E$1867/E486</f>
        <v>25.716063797682068</v>
      </c>
      <c r="L486" s="26">
        <f t="shared" si="32"/>
        <v>192.22206658862711</v>
      </c>
      <c r="M486" s="10">
        <f t="shared" si="35"/>
        <v>15.047660591685041</v>
      </c>
      <c r="N486" s="4">
        <f t="shared" si="36"/>
        <v>18.805342832580809</v>
      </c>
      <c r="O486" s="36">
        <f>1/M486-(G486/100-(((E486/E366)^(1/10))-1))</f>
        <v>4.1906552892054888E-2</v>
      </c>
      <c r="R486" s="30"/>
      <c r="S486" s="30"/>
    </row>
    <row r="487" spans="1:19" ht="13" x14ac:dyDescent="0.3">
      <c r="A487" s="52" t="s">
        <v>503</v>
      </c>
      <c r="B487" s="6">
        <v>9.67</v>
      </c>
      <c r="C487" s="1">
        <v>0.47</v>
      </c>
      <c r="D487" s="6">
        <v>0.66</v>
      </c>
      <c r="E487" s="6">
        <v>8.7534247930000006</v>
      </c>
      <c r="F487" s="1">
        <f t="shared" si="33"/>
        <v>1911.4583333332967</v>
      </c>
      <c r="G487" s="17">
        <f>G482*7/12+G494*5/12</f>
        <v>3.9924999999999997</v>
      </c>
      <c r="H487" s="1">
        <f>B487*$E$1867/E487</f>
        <v>370.21637177845116</v>
      </c>
      <c r="I487" s="1">
        <f>C487*$E$1867/E487</f>
        <v>17.993970500090178</v>
      </c>
      <c r="J487" s="26">
        <f t="shared" si="34"/>
        <v>2778.4964739021575</v>
      </c>
      <c r="K487" s="1">
        <f>D487*$E$1867/E487</f>
        <v>25.268128787360681</v>
      </c>
      <c r="L487" s="26">
        <f t="shared" si="32"/>
        <v>189.638849304594</v>
      </c>
      <c r="M487" s="10">
        <f t="shared" si="35"/>
        <v>15.328355684719282</v>
      </c>
      <c r="N487" s="4">
        <f t="shared" si="36"/>
        <v>19.161771874042586</v>
      </c>
      <c r="O487" s="36">
        <f>1/M487-(G487/100-(((E487/E367)^(1/10))-1))</f>
        <v>4.0664609815320156E-2</v>
      </c>
      <c r="R487" s="30"/>
      <c r="S487" s="30"/>
    </row>
    <row r="488" spans="1:19" ht="13" x14ac:dyDescent="0.3">
      <c r="A488" s="52" t="s">
        <v>504</v>
      </c>
      <c r="B488" s="6">
        <v>9.6300000000000008</v>
      </c>
      <c r="C488" s="1">
        <v>0.47</v>
      </c>
      <c r="D488" s="6">
        <v>0.64829999999999999</v>
      </c>
      <c r="E488" s="6">
        <v>8.8485090910000004</v>
      </c>
      <c r="F488" s="1">
        <f t="shared" si="33"/>
        <v>1911.5416666666299</v>
      </c>
      <c r="G488" s="17">
        <f>G482*6/12+G494*6/12</f>
        <v>3.9950000000000001</v>
      </c>
      <c r="H488" s="1">
        <f>B488*$E$1867/E488</f>
        <v>364.72315554068973</v>
      </c>
      <c r="I488" s="1">
        <f>C488*$E$1867/E488</f>
        <v>17.800610914239268</v>
      </c>
      <c r="J488" s="26">
        <f t="shared" si="34"/>
        <v>2748.4024399585164</v>
      </c>
      <c r="K488" s="1">
        <f>D488*$E$1867/E488</f>
        <v>24.553480969577272</v>
      </c>
      <c r="L488" s="26">
        <f t="shared" si="32"/>
        <v>185.02484961839107</v>
      </c>
      <c r="M488" s="10">
        <f t="shared" si="35"/>
        <v>15.083110578700268</v>
      </c>
      <c r="N488" s="4">
        <f t="shared" si="36"/>
        <v>18.861627429791689</v>
      </c>
      <c r="O488" s="36">
        <f>1/M488-(G488/100-(((E488/E368)^(1/10))-1))</f>
        <v>4.1520123743291004E-2</v>
      </c>
      <c r="R488" s="30"/>
      <c r="S488" s="30"/>
    </row>
    <row r="489" spans="1:19" ht="13" x14ac:dyDescent="0.3">
      <c r="A489" s="52" t="s">
        <v>505</v>
      </c>
      <c r="B489" s="6">
        <v>9.17</v>
      </c>
      <c r="C489" s="1">
        <v>0.47</v>
      </c>
      <c r="D489" s="6">
        <v>0.63670000000000004</v>
      </c>
      <c r="E489" s="6">
        <v>9.1340049590000003</v>
      </c>
      <c r="F489" s="1">
        <f t="shared" si="33"/>
        <v>1911.6249999999632</v>
      </c>
      <c r="G489" s="17">
        <f>G482*5/12+G494*7/12</f>
        <v>3.9975000000000001</v>
      </c>
      <c r="H489" s="1">
        <f>B489*$E$1867/E489</f>
        <v>336.44590256894776</v>
      </c>
      <c r="I489" s="1">
        <f>C489*$E$1867/E489</f>
        <v>17.244228375943887</v>
      </c>
      <c r="J489" s="26">
        <f t="shared" si="34"/>
        <v>2546.1455683279473</v>
      </c>
      <c r="K489" s="1">
        <f>D489*$E$1867/E489</f>
        <v>23.360425972262714</v>
      </c>
      <c r="L489" s="26">
        <f t="shared" si="32"/>
        <v>176.78635587289034</v>
      </c>
      <c r="M489" s="10">
        <f t="shared" si="35"/>
        <v>13.899790665654447</v>
      </c>
      <c r="N489" s="4">
        <f t="shared" si="36"/>
        <v>17.392599372771915</v>
      </c>
      <c r="O489" s="36">
        <f>1/M489-(G489/100-(((E489/E369)^(1/10))-1))</f>
        <v>4.9103896459398839E-2</v>
      </c>
      <c r="R489" s="30"/>
      <c r="S489" s="30"/>
    </row>
    <row r="490" spans="1:19" ht="13" x14ac:dyDescent="0.3">
      <c r="A490" s="52" t="s">
        <v>506</v>
      </c>
      <c r="B490" s="6">
        <v>8.67</v>
      </c>
      <c r="C490" s="1">
        <v>0.47</v>
      </c>
      <c r="D490" s="6">
        <v>0.625</v>
      </c>
      <c r="E490" s="6">
        <v>9.229089256</v>
      </c>
      <c r="F490" s="1">
        <f t="shared" si="33"/>
        <v>1911.7083333332964</v>
      </c>
      <c r="G490" s="17">
        <f>G482*4/12+G494*8/12</f>
        <v>4</v>
      </c>
      <c r="H490" s="1">
        <f>B490*$E$1867/E490</f>
        <v>314.82368811321851</v>
      </c>
      <c r="I490" s="1">
        <f>C490*$E$1867/E490</f>
        <v>17.066566714326722</v>
      </c>
      <c r="J490" s="26">
        <f t="shared" si="34"/>
        <v>2393.2765884394785</v>
      </c>
      <c r="K490" s="1">
        <f>D490*$E$1867/E490</f>
        <v>22.694902545647242</v>
      </c>
      <c r="L490" s="26">
        <f t="shared" si="32"/>
        <v>172.52570562568329</v>
      </c>
      <c r="M490" s="10">
        <f t="shared" si="35"/>
        <v>12.997953983252437</v>
      </c>
      <c r="N490" s="4">
        <f t="shared" si="36"/>
        <v>16.279970359273165</v>
      </c>
      <c r="O490" s="36">
        <f>1/M490-(G490/100-(((E490/E370)^(1/10))-1))</f>
        <v>5.3875847855920846E-2</v>
      </c>
      <c r="R490" s="30"/>
      <c r="S490" s="30"/>
    </row>
    <row r="491" spans="1:19" ht="13" x14ac:dyDescent="0.3">
      <c r="A491" s="52" t="s">
        <v>507</v>
      </c>
      <c r="B491" s="6">
        <v>8.7200000000000006</v>
      </c>
      <c r="C491" s="1">
        <v>0.47</v>
      </c>
      <c r="D491" s="6">
        <v>0.61329999999999996</v>
      </c>
      <c r="E491" s="6">
        <v>9.229089256</v>
      </c>
      <c r="F491" s="1">
        <f t="shared" si="33"/>
        <v>1911.7916666666297</v>
      </c>
      <c r="G491" s="17">
        <f>G482*3/12+G494*9/12</f>
        <v>4.0024999999999995</v>
      </c>
      <c r="H491" s="1">
        <f>B491*$E$1867/E491</f>
        <v>316.63928031687033</v>
      </c>
      <c r="I491" s="1">
        <f>C491*$E$1867/E491</f>
        <v>17.066566714326722</v>
      </c>
      <c r="J491" s="26">
        <f t="shared" si="34"/>
        <v>2417.8902557754095</v>
      </c>
      <c r="K491" s="1">
        <f>D491*$E$1867/E491</f>
        <v>22.270053969992723</v>
      </c>
      <c r="L491" s="26">
        <f t="shared" si="32"/>
        <v>170.05643278291956</v>
      </c>
      <c r="M491" s="10">
        <f t="shared" si="35"/>
        <v>13.066472850619192</v>
      </c>
      <c r="N491" s="4">
        <f t="shared" si="36"/>
        <v>16.382298462120719</v>
      </c>
      <c r="O491" s="36">
        <f>1/M491-(G491/100-(((E491/E371)^(1/10))-1))</f>
        <v>5.3447409848813347E-2</v>
      </c>
      <c r="R491" s="30"/>
      <c r="S491" s="30"/>
    </row>
    <row r="492" spans="1:19" ht="13" x14ac:dyDescent="0.3">
      <c r="A492" s="52" t="s">
        <v>508</v>
      </c>
      <c r="B492" s="6">
        <v>9.07</v>
      </c>
      <c r="C492" s="1">
        <v>0.47</v>
      </c>
      <c r="D492" s="6">
        <v>0.60170000000000001</v>
      </c>
      <c r="E492" s="6">
        <v>9.1340049590000003</v>
      </c>
      <c r="F492" s="1">
        <f t="shared" si="33"/>
        <v>1911.8749999999629</v>
      </c>
      <c r="G492" s="17">
        <f>G482*2/12+G494*10/12</f>
        <v>4.0049999999999999</v>
      </c>
      <c r="H492" s="1">
        <f>B492*$E$1867/E492</f>
        <v>332.77691780810869</v>
      </c>
      <c r="I492" s="1">
        <f>C492*$E$1867/E492</f>
        <v>17.244228375943887</v>
      </c>
      <c r="J492" s="26">
        <f t="shared" si="34"/>
        <v>2552.0921485790755</v>
      </c>
      <c r="K492" s="1">
        <f>D492*$E$1867/E492</f>
        <v>22.076281305969019</v>
      </c>
      <c r="L492" s="26">
        <f t="shared" si="32"/>
        <v>169.30472390298013</v>
      </c>
      <c r="M492" s="10">
        <f t="shared" si="35"/>
        <v>13.727997586413096</v>
      </c>
      <c r="N492" s="4">
        <f t="shared" si="36"/>
        <v>17.226467153366851</v>
      </c>
      <c r="O492" s="36">
        <f>1/M492-(G492/100-(((E492/E372)^(1/10))-1))</f>
        <v>4.7451194942915206E-2</v>
      </c>
      <c r="R492" s="30"/>
      <c r="S492" s="30"/>
    </row>
    <row r="493" spans="1:19" ht="13" x14ac:dyDescent="0.3">
      <c r="A493" s="52" t="s">
        <v>509</v>
      </c>
      <c r="B493" s="6">
        <v>9.11</v>
      </c>
      <c r="C493" s="1">
        <v>0.47</v>
      </c>
      <c r="D493" s="6">
        <v>0.59</v>
      </c>
      <c r="E493" s="6">
        <v>9.0388396689999997</v>
      </c>
      <c r="F493" s="1">
        <f t="shared" si="33"/>
        <v>1911.9583333332962</v>
      </c>
      <c r="G493" s="17">
        <f>G482*1/12+G494*11/12</f>
        <v>4.0075000000000003</v>
      </c>
      <c r="H493" s="1">
        <f>B493*$E$1867/E493</f>
        <v>337.76360011901431</v>
      </c>
      <c r="I493" s="1">
        <f>C493*$E$1867/E493</f>
        <v>17.425783979795469</v>
      </c>
      <c r="J493" s="26">
        <f t="shared" si="34"/>
        <v>2601.4720457421008</v>
      </c>
      <c r="K493" s="1">
        <f>D493*$E$1867/E493</f>
        <v>21.874920315062401</v>
      </c>
      <c r="L493" s="26">
        <f t="shared" si="32"/>
        <v>168.48172414795167</v>
      </c>
      <c r="M493" s="10">
        <f t="shared" si="35"/>
        <v>13.929258419578233</v>
      </c>
      <c r="N493" s="4">
        <f t="shared" si="36"/>
        <v>17.494076442996057</v>
      </c>
      <c r="O493" s="36">
        <f>1/M493-(G493/100-(((E493/E373)^(1/10))-1))</f>
        <v>4.4098435429173577E-2</v>
      </c>
      <c r="R493" s="30"/>
      <c r="S493" s="30"/>
    </row>
    <row r="494" spans="1:19" ht="13" x14ac:dyDescent="0.3">
      <c r="A494" s="52" t="s">
        <v>510</v>
      </c>
      <c r="B494" s="6">
        <v>9.1199999999999992</v>
      </c>
      <c r="C494" s="1">
        <v>0.4708</v>
      </c>
      <c r="D494" s="6">
        <v>0.59919999999999995</v>
      </c>
      <c r="E494" s="6">
        <v>9.1340049590000003</v>
      </c>
      <c r="F494" s="1">
        <f t="shared" si="33"/>
        <v>1912.0416666666295</v>
      </c>
      <c r="G494" s="17">
        <v>4.01</v>
      </c>
      <c r="H494" s="1">
        <f>B494*$E$1867/E494</f>
        <v>334.61141018852823</v>
      </c>
      <c r="I494" s="1">
        <f>C494*$E$1867/E494</f>
        <v>17.273580254030602</v>
      </c>
      <c r="J494" s="26">
        <f t="shared" si="34"/>
        <v>2588.2805533134788</v>
      </c>
      <c r="K494" s="1">
        <f>D494*$E$1867/E494</f>
        <v>21.984556686948036</v>
      </c>
      <c r="L494" s="26">
        <f t="shared" si="32"/>
        <v>170.05457319577152</v>
      </c>
      <c r="M494" s="10">
        <f t="shared" si="35"/>
        <v>13.794952631845826</v>
      </c>
      <c r="N494" s="4">
        <f t="shared" si="36"/>
        <v>17.340766146480291</v>
      </c>
      <c r="O494" s="36">
        <f>1/M494-(G494/100-(((E494/E374)^(1/10))-1))</f>
        <v>4.7047640823835599E-2</v>
      </c>
      <c r="R494" s="30"/>
      <c r="S494" s="30"/>
    </row>
    <row r="495" spans="1:19" ht="13" x14ac:dyDescent="0.3">
      <c r="A495" s="52" t="s">
        <v>511</v>
      </c>
      <c r="B495" s="6">
        <v>9.0399999999999991</v>
      </c>
      <c r="C495" s="1">
        <v>0.47170000000000001</v>
      </c>
      <c r="D495" s="6">
        <v>0.60829999999999995</v>
      </c>
      <c r="E495" s="6">
        <v>9.229089256</v>
      </c>
      <c r="F495" s="1">
        <f t="shared" si="33"/>
        <v>1912.1249999999627</v>
      </c>
      <c r="G495" s="17">
        <f>G494*11/12+G506*1/12</f>
        <v>4.0466666666666669</v>
      </c>
      <c r="H495" s="1">
        <f>B495*$E$1867/E495</f>
        <v>328.25907042024164</v>
      </c>
      <c r="I495" s="1">
        <f>C495*$E$1867/E495</f>
        <v>17.128296849250887</v>
      </c>
      <c r="J495" s="26">
        <f t="shared" si="34"/>
        <v>2550.1849177046315</v>
      </c>
      <c r="K495" s="1">
        <f>D495*$E$1867/E495</f>
        <v>22.088494749627547</v>
      </c>
      <c r="L495" s="26">
        <f t="shared" si="32"/>
        <v>171.60149175218226</v>
      </c>
      <c r="M495" s="10">
        <f t="shared" si="35"/>
        <v>13.531634369686595</v>
      </c>
      <c r="N495" s="4">
        <f t="shared" si="36"/>
        <v>17.024470442136423</v>
      </c>
      <c r="O495" s="36">
        <f>1/M495-(G495/100-(((E495/E375)^(1/10))-1))</f>
        <v>4.9142930702847858E-2</v>
      </c>
      <c r="R495" s="30"/>
      <c r="S495" s="30"/>
    </row>
    <row r="496" spans="1:19" ht="13" x14ac:dyDescent="0.3">
      <c r="A496" s="52" t="s">
        <v>512</v>
      </c>
      <c r="B496" s="6">
        <v>9.3000000000000007</v>
      </c>
      <c r="C496" s="1">
        <v>0.47249999999999998</v>
      </c>
      <c r="D496" s="6">
        <v>0.61750000000000005</v>
      </c>
      <c r="E496" s="6">
        <v>9.4194198349999994</v>
      </c>
      <c r="F496" s="1">
        <f t="shared" si="33"/>
        <v>1912.208333333296</v>
      </c>
      <c r="G496" s="17">
        <f>G494*10/12+G506*2/12</f>
        <v>4.083333333333333</v>
      </c>
      <c r="H496" s="1">
        <f>B496*$E$1867/E496</f>
        <v>330.87651677010109</v>
      </c>
      <c r="I496" s="1">
        <f>C496*$E$1867/E496</f>
        <v>16.8106617391261</v>
      </c>
      <c r="J496" s="26">
        <f t="shared" si="34"/>
        <v>2581.4026289466692</v>
      </c>
      <c r="K496" s="1">
        <f>D496*$E$1867/E496</f>
        <v>21.969489151133057</v>
      </c>
      <c r="L496" s="26">
        <f t="shared" si="32"/>
        <v>171.39958315855574</v>
      </c>
      <c r="M496" s="10">
        <f t="shared" si="35"/>
        <v>13.639769173944165</v>
      </c>
      <c r="N496" s="4">
        <f t="shared" si="36"/>
        <v>17.172513777043751</v>
      </c>
      <c r="O496" s="36">
        <f>1/M496-(G496/100-(((E496/E376)^(1/10))-1))</f>
        <v>5.0265881303448723E-2</v>
      </c>
      <c r="R496" s="30"/>
      <c r="S496" s="30"/>
    </row>
    <row r="497" spans="1:19" ht="13" x14ac:dyDescent="0.3">
      <c r="A497" s="52" t="s">
        <v>513</v>
      </c>
      <c r="B497" s="6">
        <v>9.59</v>
      </c>
      <c r="C497" s="1">
        <v>0.4733</v>
      </c>
      <c r="D497" s="6">
        <v>0.62670000000000003</v>
      </c>
      <c r="E497" s="6">
        <v>9.7048347110000002</v>
      </c>
      <c r="F497" s="1">
        <f t="shared" si="33"/>
        <v>1912.2916666666292</v>
      </c>
      <c r="G497" s="17">
        <f>G494*9/12+G506*3/12</f>
        <v>4.12</v>
      </c>
      <c r="H497" s="1">
        <f>B497*$E$1867/E497</f>
        <v>331.15980263499409</v>
      </c>
      <c r="I497" s="1">
        <f>C497*$E$1867/E497</f>
        <v>16.343893074780262</v>
      </c>
      <c r="J497" s="26">
        <f t="shared" si="34"/>
        <v>2594.2386026115346</v>
      </c>
      <c r="K497" s="1">
        <f>D497*$E$1867/E497</f>
        <v>21.641068645604882</v>
      </c>
      <c r="L497" s="26">
        <f t="shared" si="32"/>
        <v>169.53173433333149</v>
      </c>
      <c r="M497" s="10">
        <f t="shared" si="35"/>
        <v>13.654392690553236</v>
      </c>
      <c r="N497" s="4">
        <f t="shared" si="36"/>
        <v>17.200337051440432</v>
      </c>
      <c r="O497" s="36">
        <f>1/M497-(G497/100-(((E497/E377)^(1/10))-1))</f>
        <v>5.1641620629539031E-2</v>
      </c>
      <c r="R497" s="30"/>
      <c r="S497" s="30"/>
    </row>
    <row r="498" spans="1:19" ht="13" x14ac:dyDescent="0.3">
      <c r="A498" s="52" t="s">
        <v>514</v>
      </c>
      <c r="B498" s="6">
        <v>9.58</v>
      </c>
      <c r="C498" s="1">
        <v>0.47420000000000001</v>
      </c>
      <c r="D498" s="6">
        <v>0.63580000000000003</v>
      </c>
      <c r="E498" s="6">
        <v>9.7048347110000002</v>
      </c>
      <c r="F498" s="1">
        <f t="shared" si="33"/>
        <v>1912.3749999999625</v>
      </c>
      <c r="G498" s="17">
        <f>G494*8/12+G506*4/12</f>
        <v>4.1566666666666663</v>
      </c>
      <c r="H498" s="1">
        <f>B498*$E$1867/E498</f>
        <v>330.8144848011724</v>
      </c>
      <c r="I498" s="1">
        <f>C498*$E$1867/E498</f>
        <v>16.374971679824213</v>
      </c>
      <c r="J498" s="26">
        <f t="shared" si="34"/>
        <v>2602.2233029334416</v>
      </c>
      <c r="K498" s="1">
        <f>D498*$E$1867/E498</f>
        <v>21.955307874382612</v>
      </c>
      <c r="L498" s="26">
        <f t="shared" si="32"/>
        <v>172.70287849739898</v>
      </c>
      <c r="M498" s="10">
        <f t="shared" si="35"/>
        <v>13.645500685612369</v>
      </c>
      <c r="N498" s="4">
        <f t="shared" si="36"/>
        <v>17.198878723155374</v>
      </c>
      <c r="O498" s="36">
        <f>1/M498-(G498/100-(((E498/E378)^(1/10))-1))</f>
        <v>5.0116700725255391E-2</v>
      </c>
      <c r="R498" s="30"/>
      <c r="S498" s="30"/>
    </row>
    <row r="499" spans="1:19" ht="13" x14ac:dyDescent="0.3">
      <c r="A499" s="52" t="s">
        <v>515</v>
      </c>
      <c r="B499" s="6">
        <v>9.58</v>
      </c>
      <c r="C499" s="1">
        <v>0.47499999999999998</v>
      </c>
      <c r="D499" s="6">
        <v>0.64500000000000002</v>
      </c>
      <c r="E499" s="6">
        <v>9.6096694209999995</v>
      </c>
      <c r="F499" s="1">
        <f t="shared" si="33"/>
        <v>1912.4583333332957</v>
      </c>
      <c r="G499" s="17">
        <f>G494*7/12+G506*5/12</f>
        <v>4.1933333333333334</v>
      </c>
      <c r="H499" s="1">
        <f>B499*$E$1867/E499</f>
        <v>334.09056590272485</v>
      </c>
      <c r="I499" s="1">
        <f>C499*$E$1867/E499</f>
        <v>16.565033278057861</v>
      </c>
      <c r="J499" s="26">
        <f t="shared" si="34"/>
        <v>2638.8518508829411</v>
      </c>
      <c r="K499" s="1">
        <f>D499*$E$1867/E499</f>
        <v>22.493571503889093</v>
      </c>
      <c r="L499" s="26">
        <f t="shared" si="32"/>
        <v>177.66800039869489</v>
      </c>
      <c r="M499" s="10">
        <f t="shared" si="35"/>
        <v>13.785417404502526</v>
      </c>
      <c r="N499" s="4">
        <f t="shared" si="36"/>
        <v>17.384332578345745</v>
      </c>
      <c r="O499" s="36">
        <f>1/M499-(G499/100-(((E499/E379)^(1/10))-1))</f>
        <v>4.681405774368827E-2</v>
      </c>
      <c r="R499" s="30"/>
      <c r="S499" s="30"/>
    </row>
    <row r="500" spans="1:19" ht="13" x14ac:dyDescent="0.3">
      <c r="A500" s="52" t="s">
        <v>516</v>
      </c>
      <c r="B500" s="6">
        <v>9.59</v>
      </c>
      <c r="C500" s="1">
        <v>0.4758</v>
      </c>
      <c r="D500" s="6">
        <v>0.6542</v>
      </c>
      <c r="E500" s="6">
        <v>9.6096694209999995</v>
      </c>
      <c r="F500" s="1">
        <f t="shared" si="33"/>
        <v>1912.541666666629</v>
      </c>
      <c r="G500" s="17">
        <f>G494*6/12+G506*6/12</f>
        <v>4.2300000000000004</v>
      </c>
      <c r="H500" s="1">
        <f>B500*$E$1867/E500</f>
        <v>334.43930344542082</v>
      </c>
      <c r="I500" s="1">
        <f>C500*$E$1867/E500</f>
        <v>16.592932281473537</v>
      </c>
      <c r="J500" s="26">
        <f t="shared" si="34"/>
        <v>2652.5281550996783</v>
      </c>
      <c r="K500" s="1">
        <f>D500*$E$1867/E500</f>
        <v>22.814410043169374</v>
      </c>
      <c r="L500" s="26">
        <f t="shared" si="32"/>
        <v>180.94722826550674</v>
      </c>
      <c r="M500" s="10">
        <f t="shared" si="35"/>
        <v>13.802876645015784</v>
      </c>
      <c r="N500" s="4">
        <f t="shared" si="36"/>
        <v>17.414315464952505</v>
      </c>
      <c r="O500" s="36">
        <f>1/M500-(G500/100-(((E500/E380)^(1/10))-1))</f>
        <v>4.6355634792276848E-2</v>
      </c>
      <c r="R500" s="30"/>
      <c r="S500" s="30"/>
    </row>
    <row r="501" spans="1:19" ht="13" x14ac:dyDescent="0.3">
      <c r="A501" s="52" t="s">
        <v>517</v>
      </c>
      <c r="B501" s="6">
        <v>9.81</v>
      </c>
      <c r="C501" s="1">
        <v>0.47670000000000001</v>
      </c>
      <c r="D501" s="6">
        <v>0.6633</v>
      </c>
      <c r="E501" s="6">
        <v>9.7048347110000002</v>
      </c>
      <c r="F501" s="1">
        <f t="shared" si="33"/>
        <v>1912.6249999999623</v>
      </c>
      <c r="G501" s="17">
        <f>G494*5/12+G506*7/12</f>
        <v>4.2666666666666666</v>
      </c>
      <c r="H501" s="1">
        <f>B501*$E$1867/E501</f>
        <v>338.75679497907112</v>
      </c>
      <c r="I501" s="1">
        <f>C501*$E$1867/E501</f>
        <v>16.461301138279634</v>
      </c>
      <c r="J501" s="26">
        <f t="shared" si="34"/>
        <v>2697.6512604240688</v>
      </c>
      <c r="K501" s="1">
        <f>D501*$E$1867/E501</f>
        <v>22.90493191739224</v>
      </c>
      <c r="L501" s="26">
        <f t="shared" si="32"/>
        <v>182.40082375527879</v>
      </c>
      <c r="M501" s="10">
        <f t="shared" si="35"/>
        <v>13.984761763426274</v>
      </c>
      <c r="N501" s="4">
        <f t="shared" si="36"/>
        <v>17.649150043747628</v>
      </c>
      <c r="O501" s="36">
        <f>1/M501-(G501/100-(((E501/E381)^(1/10))-1))</f>
        <v>4.7238873758240686E-2</v>
      </c>
      <c r="R501" s="30"/>
      <c r="S501" s="30"/>
    </row>
    <row r="502" spans="1:19" ht="13" x14ac:dyDescent="0.3">
      <c r="A502" s="52" t="s">
        <v>518</v>
      </c>
      <c r="B502" s="6">
        <v>9.86</v>
      </c>
      <c r="C502" s="1">
        <v>0.47749999999999998</v>
      </c>
      <c r="D502" s="6">
        <v>0.67249999999999999</v>
      </c>
      <c r="E502" s="6">
        <v>9.8000000000000007</v>
      </c>
      <c r="F502" s="1">
        <f t="shared" si="33"/>
        <v>1912.7083333332955</v>
      </c>
      <c r="G502" s="17">
        <f>G494*4/12+G506*8/12</f>
        <v>4.3033333333333337</v>
      </c>
      <c r="H502" s="1">
        <f>B502*$E$1867/E502</f>
        <v>337.17703724489792</v>
      </c>
      <c r="I502" s="1">
        <f>C502*$E$1867/E502</f>
        <v>16.32880682397959</v>
      </c>
      <c r="J502" s="26">
        <f t="shared" si="34"/>
        <v>2695.9070890135263</v>
      </c>
      <c r="K502" s="1">
        <f>D502*$E$1867/E502</f>
        <v>22.997115369897958</v>
      </c>
      <c r="L502" s="26">
        <f t="shared" si="32"/>
        <v>183.87398756202805</v>
      </c>
      <c r="M502" s="10">
        <f t="shared" si="35"/>
        <v>13.926285001315872</v>
      </c>
      <c r="N502" s="4">
        <f t="shared" si="36"/>
        <v>17.579229265969406</v>
      </c>
      <c r="O502" s="36">
        <f>1/M502-(G502/100-(((E502/E382)^(1/10))-1))</f>
        <v>4.6975292586145051E-2</v>
      </c>
      <c r="R502" s="30"/>
      <c r="S502" s="30"/>
    </row>
    <row r="503" spans="1:19" ht="13" x14ac:dyDescent="0.3">
      <c r="A503" s="52" t="s">
        <v>519</v>
      </c>
      <c r="B503" s="6">
        <v>9.84</v>
      </c>
      <c r="C503" s="1">
        <v>0.4783</v>
      </c>
      <c r="D503" s="6">
        <v>0.68169999999999997</v>
      </c>
      <c r="E503" s="6">
        <v>9.8000000000000007</v>
      </c>
      <c r="F503" s="1">
        <f t="shared" si="33"/>
        <v>1912.7916666666288</v>
      </c>
      <c r="G503" s="17">
        <f>G494*3/12+G506*9/12</f>
        <v>4.34</v>
      </c>
      <c r="H503" s="1">
        <f>B503*$E$1867/E503</f>
        <v>336.49310816326528</v>
      </c>
      <c r="I503" s="1">
        <f>C503*$E$1867/E503</f>
        <v>16.356163987244894</v>
      </c>
      <c r="J503" s="26">
        <f t="shared" si="34"/>
        <v>2701.3367260935797</v>
      </c>
      <c r="K503" s="1">
        <f>D503*$E$1867/E503</f>
        <v>23.311722747448979</v>
      </c>
      <c r="L503" s="26">
        <f t="shared" si="32"/>
        <v>187.14443558719444</v>
      </c>
      <c r="M503" s="10">
        <f t="shared" si="35"/>
        <v>13.905092701178464</v>
      </c>
      <c r="N503" s="4">
        <f t="shared" si="36"/>
        <v>17.55610976501486</v>
      </c>
      <c r="O503" s="36">
        <f>1/M503-(G503/100-(((E503/E383)^(1/10))-1))</f>
        <v>3.987384801686799E-2</v>
      </c>
      <c r="R503" s="30"/>
      <c r="S503" s="30"/>
    </row>
    <row r="504" spans="1:19" ht="13" x14ac:dyDescent="0.3">
      <c r="A504" s="52" t="s">
        <v>520</v>
      </c>
      <c r="B504" s="6">
        <v>9.73</v>
      </c>
      <c r="C504" s="1">
        <v>0.47920000000000001</v>
      </c>
      <c r="D504" s="6">
        <v>0.69079999999999997</v>
      </c>
      <c r="E504" s="6">
        <v>9.8000000000000007</v>
      </c>
      <c r="F504" s="1">
        <f t="shared" si="33"/>
        <v>1912.874999999962</v>
      </c>
      <c r="G504" s="17">
        <f>G494*2/12+G506*10/12</f>
        <v>4.3766666666666669</v>
      </c>
      <c r="H504" s="1">
        <f>B504*$E$1867/E504</f>
        <v>332.73149821428569</v>
      </c>
      <c r="I504" s="1">
        <f>C504*$E$1867/E504</f>
        <v>16.386940795918367</v>
      </c>
      <c r="J504" s="26">
        <f t="shared" si="34"/>
        <v>2682.1015980507318</v>
      </c>
      <c r="K504" s="1">
        <f>D504*$E$1867/E504</f>
        <v>23.622910479591834</v>
      </c>
      <c r="L504" s="26">
        <f t="shared" si="32"/>
        <v>190.42094387805196</v>
      </c>
      <c r="M504" s="10">
        <f t="shared" si="35"/>
        <v>13.74954101860653</v>
      </c>
      <c r="N504" s="4">
        <f t="shared" si="36"/>
        <v>17.365109945477712</v>
      </c>
      <c r="O504" s="36">
        <f>1/M504-(G504/100-(((E504/E384)^(1/10))-1))</f>
        <v>4.367991882974321E-2</v>
      </c>
      <c r="R504" s="30"/>
      <c r="S504" s="30"/>
    </row>
    <row r="505" spans="1:19" ht="13" x14ac:dyDescent="0.3">
      <c r="A505" s="52" t="s">
        <v>521</v>
      </c>
      <c r="B505" s="6">
        <v>9.3800000000000008</v>
      </c>
      <c r="C505" s="1">
        <v>0.48</v>
      </c>
      <c r="D505" s="6">
        <v>0.7</v>
      </c>
      <c r="E505" s="6">
        <v>9.7048347110000002</v>
      </c>
      <c r="F505" s="1">
        <f t="shared" si="33"/>
        <v>1912.9583333332953</v>
      </c>
      <c r="G505" s="17">
        <f>G494*1/12+G506*11/12</f>
        <v>4.4133333333333331</v>
      </c>
      <c r="H505" s="1">
        <f>B505*$E$1867/E505</f>
        <v>323.90812812473877</v>
      </c>
      <c r="I505" s="1">
        <f>C505*$E$1867/E505</f>
        <v>16.575256023440787</v>
      </c>
      <c r="J505" s="26">
        <f t="shared" si="34"/>
        <v>2622.1118914290951</v>
      </c>
      <c r="K505" s="1">
        <f>D505*$E$1867/E505</f>
        <v>24.172248367517817</v>
      </c>
      <c r="L505" s="26">
        <f t="shared" si="32"/>
        <v>195.67999189769364</v>
      </c>
      <c r="M505" s="10">
        <f t="shared" si="35"/>
        <v>13.388999452579633</v>
      </c>
      <c r="N505" s="4">
        <f t="shared" si="36"/>
        <v>16.915632310225803</v>
      </c>
      <c r="O505" s="36">
        <f>1/M505-(G505/100-(((E505/E385)^(1/10))-1))</f>
        <v>4.3149761425109096E-2</v>
      </c>
      <c r="R505" s="30"/>
      <c r="S505" s="30"/>
    </row>
    <row r="506" spans="1:19" ht="13" x14ac:dyDescent="0.3">
      <c r="A506" s="52" t="s">
        <v>522</v>
      </c>
      <c r="B506" s="6">
        <v>9.3000000000000007</v>
      </c>
      <c r="C506" s="1">
        <v>0.48</v>
      </c>
      <c r="D506" s="6">
        <v>0.69420000000000004</v>
      </c>
      <c r="E506" s="6">
        <v>9.8000000000000007</v>
      </c>
      <c r="F506" s="1">
        <f t="shared" si="33"/>
        <v>1913.0416666666285</v>
      </c>
      <c r="G506" s="17">
        <v>4.45</v>
      </c>
      <c r="H506" s="1">
        <f>B506*$E$1867/E506</f>
        <v>318.02702295918368</v>
      </c>
      <c r="I506" s="1">
        <f>C506*$E$1867/E506</f>
        <v>16.414297959183671</v>
      </c>
      <c r="J506" s="26">
        <f t="shared" si="34"/>
        <v>2585.5761036358867</v>
      </c>
      <c r="K506" s="1">
        <f>D506*$E$1867/E506</f>
        <v>23.739178423469387</v>
      </c>
      <c r="L506" s="26">
        <f t="shared" si="32"/>
        <v>193.00074528430457</v>
      </c>
      <c r="M506" s="10">
        <f t="shared" ref="M506:M569" si="37">H506/AVERAGE(K386:K505)</f>
        <v>13.148088791761563</v>
      </c>
      <c r="N506" s="4">
        <f t="shared" ref="N506:N569" si="38">J506/AVERAGE(L386:L505)</f>
        <v>16.616510711718941</v>
      </c>
      <c r="O506" s="36">
        <f>1/M506-(G506/100-(((E506/E386)^(1/10))-1))</f>
        <v>4.4020582792522737E-2</v>
      </c>
      <c r="R506" s="30"/>
      <c r="S506" s="30"/>
    </row>
    <row r="507" spans="1:19" ht="13" x14ac:dyDescent="0.3">
      <c r="A507" s="52" t="s">
        <v>523</v>
      </c>
      <c r="B507" s="6">
        <v>8.9700000000000006</v>
      </c>
      <c r="C507" s="1">
        <v>0.48</v>
      </c>
      <c r="D507" s="6">
        <v>0.68830000000000002</v>
      </c>
      <c r="E507" s="6">
        <v>9.8000000000000007</v>
      </c>
      <c r="F507" s="1">
        <f t="shared" si="33"/>
        <v>1913.1249999999618</v>
      </c>
      <c r="G507" s="17">
        <f>G506*11/12+G518*1/12</f>
        <v>4.4258333333333333</v>
      </c>
      <c r="H507" s="1">
        <f>B507*$E$1867/E507</f>
        <v>306.74219311224488</v>
      </c>
      <c r="I507" s="1">
        <f>C507*$E$1867/E507</f>
        <v>16.414297959183671</v>
      </c>
      <c r="J507" s="26">
        <f t="shared" si="34"/>
        <v>2504.9506122321868</v>
      </c>
      <c r="K507" s="1">
        <f>D507*$E$1867/E507</f>
        <v>23.537419344387754</v>
      </c>
      <c r="L507" s="26">
        <f t="shared" si="32"/>
        <v>192.21376882936613</v>
      </c>
      <c r="M507" s="10">
        <f t="shared" si="37"/>
        <v>12.682960516236758</v>
      </c>
      <c r="N507" s="4">
        <f t="shared" si="38"/>
        <v>16.037450941848554</v>
      </c>
      <c r="O507" s="36">
        <f>1/M507-(G507/100-(((E507/E387)^(1/10))-1))</f>
        <v>4.705151250289677E-2</v>
      </c>
      <c r="R507" s="30"/>
      <c r="S507" s="30"/>
    </row>
    <row r="508" spans="1:19" ht="13" x14ac:dyDescent="0.3">
      <c r="A508" s="52" t="s">
        <v>524</v>
      </c>
      <c r="B508" s="6">
        <v>8.8000000000000007</v>
      </c>
      <c r="C508" s="1">
        <v>0.48</v>
      </c>
      <c r="D508" s="6">
        <v>0.6825</v>
      </c>
      <c r="E508" s="6">
        <v>9.8000000000000007</v>
      </c>
      <c r="F508" s="1">
        <f t="shared" si="33"/>
        <v>1913.2083333332951</v>
      </c>
      <c r="G508" s="17">
        <f>G506*10/12+G518*2/12</f>
        <v>4.4016666666666673</v>
      </c>
      <c r="H508" s="1">
        <f>B508*$E$1867/E508</f>
        <v>300.92879591836737</v>
      </c>
      <c r="I508" s="1">
        <f>C508*$E$1867/E508</f>
        <v>16.414297959183671</v>
      </c>
      <c r="J508" s="26">
        <f t="shared" si="34"/>
        <v>2468.6469801708508</v>
      </c>
      <c r="K508" s="1">
        <f>D508*$E$1867/E508</f>
        <v>23.339079910714283</v>
      </c>
      <c r="L508" s="26">
        <f t="shared" si="32"/>
        <v>191.46040499620514</v>
      </c>
      <c r="M508" s="10">
        <f t="shared" si="37"/>
        <v>12.443453515183661</v>
      </c>
      <c r="N508" s="4">
        <f t="shared" si="38"/>
        <v>15.745059939032139</v>
      </c>
      <c r="O508" s="36">
        <f>1/M508-(G508/100-(((E508/E388)^(1/10))-1))</f>
        <v>5.2210253654173949E-2</v>
      </c>
      <c r="R508" s="30"/>
      <c r="S508" s="30"/>
    </row>
    <row r="509" spans="1:19" ht="13" x14ac:dyDescent="0.3">
      <c r="A509" s="52" t="s">
        <v>525</v>
      </c>
      <c r="B509" s="6">
        <v>8.7899999999999991</v>
      </c>
      <c r="C509" s="1">
        <v>0.48</v>
      </c>
      <c r="D509" s="6">
        <v>0.67669999999999997</v>
      </c>
      <c r="E509" s="6">
        <v>9.8000000000000007</v>
      </c>
      <c r="F509" s="1">
        <f t="shared" si="33"/>
        <v>1913.2916666666283</v>
      </c>
      <c r="G509" s="17">
        <f>G506*9/12+G518*3/12</f>
        <v>4.3775000000000004</v>
      </c>
      <c r="H509" s="1">
        <f>B509*$E$1867/E509</f>
        <v>300.58683137755099</v>
      </c>
      <c r="I509" s="1">
        <f>C509*$E$1867/E509</f>
        <v>16.414297959183671</v>
      </c>
      <c r="J509" s="26">
        <f t="shared" si="34"/>
        <v>2477.0628221487054</v>
      </c>
      <c r="K509" s="1">
        <f>D509*$E$1867/E509</f>
        <v>23.140740477040815</v>
      </c>
      <c r="L509" s="26">
        <f t="shared" si="32"/>
        <v>190.69720270170976</v>
      </c>
      <c r="M509" s="10">
        <f t="shared" si="37"/>
        <v>12.433067081795164</v>
      </c>
      <c r="N509" s="4">
        <f t="shared" si="38"/>
        <v>15.742029169880437</v>
      </c>
      <c r="O509" s="36">
        <f>1/M509-(G509/100-(((E509/E389)^(1/10))-1))</f>
        <v>5.2519055048822823E-2</v>
      </c>
      <c r="R509" s="30"/>
      <c r="S509" s="30"/>
    </row>
    <row r="510" spans="1:19" ht="13" x14ac:dyDescent="0.3">
      <c r="A510" s="52" t="s">
        <v>526</v>
      </c>
      <c r="B510" s="6">
        <v>8.5500000000000007</v>
      </c>
      <c r="C510" s="1">
        <v>0.48</v>
      </c>
      <c r="D510" s="6">
        <v>0.67079999999999995</v>
      </c>
      <c r="E510" s="6">
        <v>9.6999999999999993</v>
      </c>
      <c r="F510" s="1">
        <f t="shared" si="33"/>
        <v>1913.3749999999616</v>
      </c>
      <c r="G510" s="17">
        <f>G506*8/12+G518*4/12</f>
        <v>4.3533333333333335</v>
      </c>
      <c r="H510" s="1">
        <f>B510*$E$1867/E510</f>
        <v>295.39390592783508</v>
      </c>
      <c r="I510" s="1">
        <f>C510*$E$1867/E510</f>
        <v>16.583517525773196</v>
      </c>
      <c r="J510" s="26">
        <f t="shared" si="34"/>
        <v>2445.657582938934</v>
      </c>
      <c r="K510" s="1">
        <f>D510*$E$1867/E510</f>
        <v>23.175465742268042</v>
      </c>
      <c r="L510" s="26">
        <f t="shared" si="32"/>
        <v>191.87685457724407</v>
      </c>
      <c r="M510" s="10">
        <f t="shared" si="37"/>
        <v>12.221401061154124</v>
      </c>
      <c r="N510" s="4">
        <f t="shared" si="38"/>
        <v>15.486455408529727</v>
      </c>
      <c r="O510" s="36">
        <f>1/M510-(G510/100-(((E510/E390)^(1/10))-1))</f>
        <v>5.5448529180466243E-2</v>
      </c>
      <c r="R510" s="30"/>
      <c r="S510" s="30"/>
    </row>
    <row r="511" spans="1:19" ht="13" x14ac:dyDescent="0.3">
      <c r="A511" s="52" t="s">
        <v>527</v>
      </c>
      <c r="B511" s="6">
        <v>8.1199999999999992</v>
      </c>
      <c r="C511" s="1">
        <v>0.48</v>
      </c>
      <c r="D511" s="6">
        <v>0.66500000000000004</v>
      </c>
      <c r="E511" s="6">
        <v>9.8000000000000007</v>
      </c>
      <c r="F511" s="1">
        <f t="shared" si="33"/>
        <v>1913.4583333332948</v>
      </c>
      <c r="G511" s="17">
        <f>G506*7/12+G518*5/12</f>
        <v>4.3291666666666675</v>
      </c>
      <c r="H511" s="1">
        <f>B511*$E$1867/E511</f>
        <v>277.67520714285712</v>
      </c>
      <c r="I511" s="1">
        <f>C511*$E$1867/E511</f>
        <v>16.414297959183671</v>
      </c>
      <c r="J511" s="26">
        <f t="shared" si="34"/>
        <v>2310.2839122184323</v>
      </c>
      <c r="K511" s="1">
        <f>D511*$E$1867/E511</f>
        <v>22.740641964285714</v>
      </c>
      <c r="L511" s="26">
        <f t="shared" si="32"/>
        <v>189.20428591444059</v>
      </c>
      <c r="M511" s="10">
        <f t="shared" si="37"/>
        <v>11.491962852761228</v>
      </c>
      <c r="N511" s="4">
        <f t="shared" si="38"/>
        <v>14.577005951226639</v>
      </c>
      <c r="O511" s="36">
        <f>1/M511-(G511/100-(((E511/E391)^(1/10))-1))</f>
        <v>6.1927636746905226E-2</v>
      </c>
      <c r="R511" s="30"/>
      <c r="S511" s="30"/>
    </row>
    <row r="512" spans="1:19" ht="13" x14ac:dyDescent="0.3">
      <c r="A512" s="52" t="s">
        <v>528</v>
      </c>
      <c r="B512" s="6">
        <v>8.23</v>
      </c>
      <c r="C512" s="1">
        <v>0.48</v>
      </c>
      <c r="D512" s="6">
        <v>0.65920000000000001</v>
      </c>
      <c r="E512" s="6">
        <v>9.9</v>
      </c>
      <c r="F512" s="1">
        <f t="shared" si="33"/>
        <v>1913.5416666666281</v>
      </c>
      <c r="G512" s="17">
        <f>G506*6/12+G518*6/12</f>
        <v>4.3049999999999997</v>
      </c>
      <c r="H512" s="1">
        <f>B512*$E$1867/E512</f>
        <v>278.59402095959592</v>
      </c>
      <c r="I512" s="1">
        <f>C512*$E$1867/E512</f>
        <v>16.248496969696969</v>
      </c>
      <c r="J512" s="26">
        <f t="shared" si="34"/>
        <v>2329.1942821024913</v>
      </c>
      <c r="K512" s="1">
        <f>D512*$E$1867/E512</f>
        <v>22.314602505050505</v>
      </c>
      <c r="L512" s="26">
        <f t="shared" si="32"/>
        <v>186.56195270497722</v>
      </c>
      <c r="M512" s="10">
        <f t="shared" si="37"/>
        <v>11.534022795459858</v>
      </c>
      <c r="N512" s="4">
        <f t="shared" si="38"/>
        <v>14.645116150014799</v>
      </c>
      <c r="O512" s="36">
        <f>1/M512-(G512/100-(((E512/E392)^(1/10))-1))</f>
        <v>6.2886227551677693E-2</v>
      </c>
      <c r="R512" s="30"/>
      <c r="S512" s="30"/>
    </row>
    <row r="513" spans="1:19" ht="13" x14ac:dyDescent="0.3">
      <c r="A513" s="52" t="s">
        <v>529</v>
      </c>
      <c r="B513" s="6">
        <v>8.4499999999999993</v>
      </c>
      <c r="C513" s="1">
        <v>0.48</v>
      </c>
      <c r="D513" s="6">
        <v>0.65329999999999999</v>
      </c>
      <c r="E513" s="6">
        <v>9.9</v>
      </c>
      <c r="F513" s="1">
        <f t="shared" si="33"/>
        <v>1913.6249999999613</v>
      </c>
      <c r="G513" s="17">
        <f>G506*5/12+G518*7/12</f>
        <v>4.2808333333333337</v>
      </c>
      <c r="H513" s="1">
        <f>B513*$E$1867/E513</f>
        <v>286.04124873737373</v>
      </c>
      <c r="I513" s="1">
        <f>C513*$E$1867/E513</f>
        <v>16.248496969696969</v>
      </c>
      <c r="J513" s="26">
        <f t="shared" si="34"/>
        <v>2402.7775765553042</v>
      </c>
      <c r="K513" s="1">
        <f>D513*$E$1867/E513</f>
        <v>22.114881396464643</v>
      </c>
      <c r="L513" s="26">
        <f t="shared" si="32"/>
        <v>185.76740719095622</v>
      </c>
      <c r="M513" s="10">
        <f t="shared" si="37"/>
        <v>11.846840543564632</v>
      </c>
      <c r="N513" s="4">
        <f t="shared" si="38"/>
        <v>15.056415065211736</v>
      </c>
      <c r="O513" s="36">
        <f>1/M513-(G513/100-(((E513/E393)^(1/10))-1))</f>
        <v>6.0838566129037666E-2</v>
      </c>
      <c r="R513" s="30"/>
      <c r="S513" s="30"/>
    </row>
    <row r="514" spans="1:19" ht="13" x14ac:dyDescent="0.3">
      <c r="A514" s="52" t="s">
        <v>530</v>
      </c>
      <c r="B514" s="6">
        <v>8.5299999999999994</v>
      </c>
      <c r="C514" s="1">
        <v>0.48</v>
      </c>
      <c r="D514" s="6">
        <v>0.64749999999999996</v>
      </c>
      <c r="E514" s="6">
        <v>10</v>
      </c>
      <c r="F514" s="1">
        <f t="shared" si="33"/>
        <v>1913.7083333332946</v>
      </c>
      <c r="G514" s="17">
        <f>G506*4/12+G518*8/12</f>
        <v>4.2566666666666668</v>
      </c>
      <c r="H514" s="1">
        <f>B514*$E$1867/E514</f>
        <v>285.86183825000001</v>
      </c>
      <c r="I514" s="1">
        <f>C514*$E$1867/E514</f>
        <v>16.086012</v>
      </c>
      <c r="J514" s="26">
        <f t="shared" si="34"/>
        <v>2412.5308630494874</v>
      </c>
      <c r="K514" s="1">
        <f>D514*$E$1867/E514</f>
        <v>21.699359937499999</v>
      </c>
      <c r="L514" s="26">
        <f t="shared" si="32"/>
        <v>183.1317390181176</v>
      </c>
      <c r="M514" s="10">
        <f t="shared" si="37"/>
        <v>11.843316826625975</v>
      </c>
      <c r="N514" s="4">
        <f t="shared" si="38"/>
        <v>15.06593557397656</v>
      </c>
      <c r="O514" s="36">
        <f>1/M514-(G514/100-(((E514/E394)^(1/10))-1))</f>
        <v>6.0951161221823258E-2</v>
      </c>
      <c r="R514" s="30"/>
      <c r="S514" s="30"/>
    </row>
    <row r="515" spans="1:19" ht="13" x14ac:dyDescent="0.3">
      <c r="A515" s="52" t="s">
        <v>531</v>
      </c>
      <c r="B515" s="6">
        <v>8.26</v>
      </c>
      <c r="C515" s="1">
        <v>0.48</v>
      </c>
      <c r="D515" s="6">
        <v>0.64170000000000005</v>
      </c>
      <c r="E515" s="6">
        <v>10</v>
      </c>
      <c r="F515" s="1">
        <f t="shared" si="33"/>
        <v>1913.7916666666279</v>
      </c>
      <c r="G515" s="17">
        <f>G506*3/12+G518*9/12</f>
        <v>4.2324999999999999</v>
      </c>
      <c r="H515" s="1">
        <f>B515*$E$1867/E515</f>
        <v>276.81345649999997</v>
      </c>
      <c r="I515" s="1">
        <f>C515*$E$1867/E515</f>
        <v>16.086012</v>
      </c>
      <c r="J515" s="26">
        <f t="shared" si="34"/>
        <v>2347.4802067187275</v>
      </c>
      <c r="K515" s="1">
        <f>D515*$E$1867/E515</f>
        <v>21.504987292500001</v>
      </c>
      <c r="L515" s="26">
        <f t="shared" ref="L515:L578" si="39">K515*(J515/H515)</f>
        <v>182.37022380767647</v>
      </c>
      <c r="M515" s="10">
        <f t="shared" si="37"/>
        <v>11.471490240312292</v>
      </c>
      <c r="N515" s="4">
        <f t="shared" si="38"/>
        <v>14.609857401411722</v>
      </c>
      <c r="O515" s="36">
        <f>1/M515-(G515/100-(((E515/E395)^(1/10))-1))</f>
        <v>6.5108721960351335E-2</v>
      </c>
      <c r="R515" s="30"/>
      <c r="S515" s="30"/>
    </row>
    <row r="516" spans="1:19" ht="13" x14ac:dyDescent="0.3">
      <c r="A516" s="52" t="s">
        <v>532</v>
      </c>
      <c r="B516" s="6">
        <v>8.0500000000000007</v>
      </c>
      <c r="C516" s="1">
        <v>0.48</v>
      </c>
      <c r="D516" s="6">
        <v>0.63580000000000003</v>
      </c>
      <c r="E516" s="6">
        <v>10.1</v>
      </c>
      <c r="F516" s="1">
        <f t="shared" ref="F516:F579" si="40">F515+1/12</f>
        <v>1913.8749999999611</v>
      </c>
      <c r="G516" s="17">
        <f>G506*2/12+G518*10/12</f>
        <v>4.2083333333333339</v>
      </c>
      <c r="H516" s="1">
        <f>B516*$E$1867/E516</f>
        <v>267.10477846534656</v>
      </c>
      <c r="I516" s="1">
        <f>C516*$E$1867/E516</f>
        <v>15.926744554455446</v>
      </c>
      <c r="J516" s="26">
        <f t="shared" ref="J516:J579" si="41">J515*((H516+(I516/12))/H515)</f>
        <v>2276.402425185734</v>
      </c>
      <c r="K516" s="1">
        <f>D516*$E$1867/E516</f>
        <v>21.096300391089112</v>
      </c>
      <c r="L516" s="26">
        <f t="shared" si="39"/>
        <v>179.79337415317886</v>
      </c>
      <c r="M516" s="10">
        <f t="shared" si="37"/>
        <v>11.072537845038012</v>
      </c>
      <c r="N516" s="4">
        <f t="shared" si="38"/>
        <v>14.120136915548967</v>
      </c>
      <c r="O516" s="36">
        <f>1/M516-(G516/100-(((E516/E396)^(1/10))-1))</f>
        <v>7.0702015740189222E-2</v>
      </c>
      <c r="R516" s="30"/>
      <c r="S516" s="30"/>
    </row>
    <row r="517" spans="1:19" ht="13" x14ac:dyDescent="0.3">
      <c r="A517" s="52" t="s">
        <v>533</v>
      </c>
      <c r="B517" s="6">
        <v>8.0399999999999991</v>
      </c>
      <c r="C517" s="1">
        <v>0.48</v>
      </c>
      <c r="D517" s="6">
        <v>0.63</v>
      </c>
      <c r="E517" s="6">
        <v>10</v>
      </c>
      <c r="F517" s="1">
        <f t="shared" si="40"/>
        <v>1913.9583333332944</v>
      </c>
      <c r="G517" s="17">
        <f>G506*1/12+G518*11/12</f>
        <v>4.184166666666667</v>
      </c>
      <c r="H517" s="1">
        <f>B517*$E$1867/E517</f>
        <v>269.44070099999993</v>
      </c>
      <c r="I517" s="1">
        <f>C517*$E$1867/E517</f>
        <v>16.086012</v>
      </c>
      <c r="J517" s="26">
        <f t="shared" si="41"/>
        <v>2307.7347716094077</v>
      </c>
      <c r="K517" s="1">
        <f>D517*$E$1867/E517</f>
        <v>21.112890749999998</v>
      </c>
      <c r="L517" s="26">
        <f t="shared" si="39"/>
        <v>180.82996344700587</v>
      </c>
      <c r="M517" s="10">
        <f t="shared" si="37"/>
        <v>11.174040870036793</v>
      </c>
      <c r="N517" s="4">
        <f t="shared" si="38"/>
        <v>14.268761140269405</v>
      </c>
      <c r="O517" s="36">
        <f>1/M517-(G517/100-(((E517/E397)^(1/10))-1))</f>
        <v>6.9106402858134658E-2</v>
      </c>
      <c r="R517" s="30"/>
      <c r="S517" s="30"/>
    </row>
    <row r="518" spans="1:19" ht="13" x14ac:dyDescent="0.3">
      <c r="A518" s="52" t="s">
        <v>534</v>
      </c>
      <c r="B518" s="6">
        <v>8.3699999999999992</v>
      </c>
      <c r="C518" s="1">
        <v>0.47499999999999998</v>
      </c>
      <c r="D518" s="6">
        <v>0.62080000000000002</v>
      </c>
      <c r="E518" s="6">
        <v>10</v>
      </c>
      <c r="F518" s="1">
        <f t="shared" si="40"/>
        <v>1914.0416666666276</v>
      </c>
      <c r="G518" s="17">
        <v>4.16</v>
      </c>
      <c r="H518" s="1">
        <f>B518*$E$1867/E518</f>
        <v>280.49983424999994</v>
      </c>
      <c r="I518" s="1">
        <f>C518*$E$1867/E518</f>
        <v>15.918449375</v>
      </c>
      <c r="J518" s="26">
        <f t="shared" si="41"/>
        <v>2413.8168996368513</v>
      </c>
      <c r="K518" s="1">
        <f>D518*$E$1867/E518</f>
        <v>20.80457552</v>
      </c>
      <c r="L518" s="26">
        <f t="shared" si="39"/>
        <v>179.03196311762935</v>
      </c>
      <c r="M518" s="10">
        <f t="shared" si="37"/>
        <v>11.636092105046131</v>
      </c>
      <c r="N518" s="4">
        <f t="shared" si="38"/>
        <v>14.875360055450981</v>
      </c>
      <c r="O518" s="36">
        <f>1/M518-(G518/100-(((E518/E398)^(1/10))-1))</f>
        <v>6.3421527429306609E-2</v>
      </c>
      <c r="R518" s="30"/>
      <c r="S518" s="30"/>
    </row>
    <row r="519" spans="1:19" ht="13" x14ac:dyDescent="0.3">
      <c r="A519" s="52" t="s">
        <v>535</v>
      </c>
      <c r="B519" s="6">
        <v>8.48</v>
      </c>
      <c r="C519" s="1">
        <v>0.47</v>
      </c>
      <c r="D519" s="6">
        <v>0.61170000000000002</v>
      </c>
      <c r="E519" s="6">
        <v>9.9</v>
      </c>
      <c r="F519" s="1">
        <f t="shared" si="40"/>
        <v>1914.1249999999609</v>
      </c>
      <c r="G519" s="17">
        <f>G518*11/12+G530*1/12</f>
        <v>4.166666666666667</v>
      </c>
      <c r="H519" s="1">
        <f>B519*$E$1867/E519</f>
        <v>287.0567797979798</v>
      </c>
      <c r="I519" s="1">
        <f>C519*$E$1867/E519</f>
        <v>15.909986616161614</v>
      </c>
      <c r="J519" s="26">
        <f t="shared" si="41"/>
        <v>2481.6514573238901</v>
      </c>
      <c r="K519" s="1">
        <f>D519*$E$1867/E519</f>
        <v>20.706678325757576</v>
      </c>
      <c r="L519" s="26">
        <f t="shared" si="39"/>
        <v>179.01252316568673</v>
      </c>
      <c r="M519" s="10">
        <f t="shared" si="37"/>
        <v>11.910233879798238</v>
      </c>
      <c r="N519" s="4">
        <f t="shared" si="38"/>
        <v>15.242178170369373</v>
      </c>
      <c r="O519" s="36">
        <f>1/M519-(G519/100-(((E519/E399)^(1/10))-1))</f>
        <v>5.8042327223677276E-2</v>
      </c>
      <c r="R519" s="30"/>
      <c r="S519" s="30"/>
    </row>
    <row r="520" spans="1:19" ht="13" x14ac:dyDescent="0.3">
      <c r="A520" s="52" t="s">
        <v>536</v>
      </c>
      <c r="B520" s="6">
        <v>8.32</v>
      </c>
      <c r="C520" s="1">
        <v>0.46500000000000002</v>
      </c>
      <c r="D520" s="6">
        <v>0.60250000000000004</v>
      </c>
      <c r="E520" s="6">
        <v>9.9</v>
      </c>
      <c r="F520" s="1">
        <f t="shared" si="40"/>
        <v>1914.2083333332941</v>
      </c>
      <c r="G520" s="17">
        <f>G518*10/12+G530*2/12</f>
        <v>4.1733333333333338</v>
      </c>
      <c r="H520" s="1">
        <f>B520*$E$1867/E520</f>
        <v>281.64061414141412</v>
      </c>
      <c r="I520" s="1">
        <f>C520*$E$1867/E520</f>
        <v>15.74073143939394</v>
      </c>
      <c r="J520" s="26">
        <f t="shared" si="41"/>
        <v>2446.1679385502439</v>
      </c>
      <c r="K520" s="1">
        <f>D520*$E$1867/E520</f>
        <v>20.395248800505051</v>
      </c>
      <c r="L520" s="26">
        <f t="shared" si="39"/>
        <v>177.14136814621662</v>
      </c>
      <c r="M520" s="10">
        <f t="shared" si="37"/>
        <v>11.685526018836827</v>
      </c>
      <c r="N520" s="4">
        <f t="shared" si="38"/>
        <v>14.971980169053358</v>
      </c>
      <c r="O520" s="36">
        <f>1/M520-(G520/100-(((E520/E400)^(1/10))-1))</f>
        <v>6.0737861694664892E-2</v>
      </c>
      <c r="R520" s="30"/>
      <c r="S520" s="30"/>
    </row>
    <row r="521" spans="1:19" ht="13" x14ac:dyDescent="0.3">
      <c r="A521" s="52" t="s">
        <v>537</v>
      </c>
      <c r="B521" s="6">
        <v>8.1199999999999992</v>
      </c>
      <c r="C521" s="1">
        <v>0.46</v>
      </c>
      <c r="D521" s="6">
        <v>0.59330000000000005</v>
      </c>
      <c r="E521" s="6">
        <v>9.8000000000000007</v>
      </c>
      <c r="F521" s="1">
        <f t="shared" si="40"/>
        <v>1914.2916666666274</v>
      </c>
      <c r="G521" s="17">
        <f>G518*9/12+G530*3/12</f>
        <v>4.18</v>
      </c>
      <c r="H521" s="1">
        <f>B521*$E$1867/E521</f>
        <v>277.67520714285712</v>
      </c>
      <c r="I521" s="1">
        <f>C521*$E$1867/E521</f>
        <v>15.730368877551019</v>
      </c>
      <c r="J521" s="26">
        <f t="shared" si="41"/>
        <v>2423.1121097043861</v>
      </c>
      <c r="K521" s="1">
        <f>D521*$E$1867/E521</f>
        <v>20.288756206632652</v>
      </c>
      <c r="L521" s="26">
        <f t="shared" si="39"/>
        <v>177.04832693197193</v>
      </c>
      <c r="M521" s="10">
        <f t="shared" si="37"/>
        <v>11.522662536200233</v>
      </c>
      <c r="N521" s="4">
        <f t="shared" si="38"/>
        <v>14.781642625967603</v>
      </c>
      <c r="O521" s="36">
        <f>1/M521-(G521/100-(((E521/E401)^(1/10))-1))</f>
        <v>6.2010776197820132E-2</v>
      </c>
      <c r="R521" s="30"/>
      <c r="S521" s="30"/>
    </row>
    <row r="522" spans="1:19" ht="13" x14ac:dyDescent="0.3">
      <c r="A522" s="52" t="s">
        <v>538</v>
      </c>
      <c r="B522" s="6">
        <v>8.17</v>
      </c>
      <c r="C522" s="1">
        <v>0.45500000000000002</v>
      </c>
      <c r="D522" s="6">
        <v>0.58420000000000005</v>
      </c>
      <c r="E522" s="6">
        <v>9.9</v>
      </c>
      <c r="F522" s="1">
        <f t="shared" si="40"/>
        <v>1914.3749999999607</v>
      </c>
      <c r="G522" s="17">
        <f>G518*8/12+G530*4/12</f>
        <v>4.1866666666666665</v>
      </c>
      <c r="H522" s="1">
        <f>B522*$E$1867/E522</f>
        <v>276.56295883838379</v>
      </c>
      <c r="I522" s="1">
        <f>C522*$E$1867/E522</f>
        <v>15.402221085858585</v>
      </c>
      <c r="J522" s="26">
        <f t="shared" si="41"/>
        <v>2424.6066857037827</v>
      </c>
      <c r="K522" s="1">
        <f>D522*$E$1867/E522</f>
        <v>19.775774853535353</v>
      </c>
      <c r="L522" s="26">
        <f t="shared" si="39"/>
        <v>173.37273265460831</v>
      </c>
      <c r="M522" s="10">
        <f t="shared" si="37"/>
        <v>11.479008694164479</v>
      </c>
      <c r="N522" s="4">
        <f t="shared" si="38"/>
        <v>14.742681655780247</v>
      </c>
      <c r="O522" s="36">
        <f>1/M522-(G522/100-(((E522/E402)^(1/10))-1))</f>
        <v>6.5677718833512644E-2</v>
      </c>
      <c r="R522" s="30"/>
      <c r="S522" s="30"/>
    </row>
    <row r="523" spans="1:19" ht="13" x14ac:dyDescent="0.3">
      <c r="A523" s="52" t="s">
        <v>539</v>
      </c>
      <c r="B523" s="6">
        <v>8.1300000000000008</v>
      </c>
      <c r="C523" s="1">
        <v>0.45</v>
      </c>
      <c r="D523" s="6">
        <v>0.57499999999999996</v>
      </c>
      <c r="E523" s="6">
        <v>9.9</v>
      </c>
      <c r="F523" s="1">
        <f t="shared" si="40"/>
        <v>1914.4583333332939</v>
      </c>
      <c r="G523" s="17">
        <f>G518*7/12+G530*5/12</f>
        <v>4.1933333333333334</v>
      </c>
      <c r="H523" s="1">
        <f>B523*$E$1867/E523</f>
        <v>275.20891742424243</v>
      </c>
      <c r="I523" s="1">
        <f>C523*$E$1867/E523</f>
        <v>15.232965909090909</v>
      </c>
      <c r="J523" s="26">
        <f t="shared" si="41"/>
        <v>2423.8647619933472</v>
      </c>
      <c r="K523" s="1">
        <f>D523*$E$1867/E523</f>
        <v>19.464345328282825</v>
      </c>
      <c r="L523" s="26">
        <f t="shared" si="39"/>
        <v>171.42954958747532</v>
      </c>
      <c r="M523" s="10">
        <f t="shared" si="37"/>
        <v>11.428715168831886</v>
      </c>
      <c r="N523" s="4">
        <f t="shared" si="38"/>
        <v>14.694917610765906</v>
      </c>
      <c r="O523" s="36">
        <f>1/M523-(G523/100-(((E523/E403)^(1/10))-1))</f>
        <v>6.5994415246006174E-2</v>
      </c>
      <c r="R523" s="30"/>
      <c r="S523" s="30"/>
    </row>
    <row r="524" spans="1:19" ht="13" x14ac:dyDescent="0.3">
      <c r="A524" s="52" t="s">
        <v>540</v>
      </c>
      <c r="B524" s="6">
        <v>7.68</v>
      </c>
      <c r="C524" s="1">
        <v>0.44500000000000001</v>
      </c>
      <c r="D524" s="6">
        <v>0.56579999999999997</v>
      </c>
      <c r="E524" s="6">
        <v>10</v>
      </c>
      <c r="F524" s="1">
        <f t="shared" si="40"/>
        <v>1914.5416666666272</v>
      </c>
      <c r="G524" s="17">
        <f>G518*6/12+G530*6/12</f>
        <v>4.2</v>
      </c>
      <c r="H524" s="1">
        <f>B524*$E$1867/E524</f>
        <v>257.376192</v>
      </c>
      <c r="I524" s="1">
        <f>C524*$E$1867/E524</f>
        <v>14.913073625000001</v>
      </c>
      <c r="J524" s="26">
        <f t="shared" si="41"/>
        <v>2277.7508848047351</v>
      </c>
      <c r="K524" s="1">
        <f>D524*$E$1867/E524</f>
        <v>18.961386644999997</v>
      </c>
      <c r="L524" s="26">
        <f t="shared" si="39"/>
        <v>167.8061784664738</v>
      </c>
      <c r="M524" s="10">
        <f t="shared" si="37"/>
        <v>10.69434518304014</v>
      </c>
      <c r="N524" s="4">
        <f t="shared" si="38"/>
        <v>13.769849699257307</v>
      </c>
      <c r="O524" s="36">
        <f>1/M524-(G524/100-(((E524/E404)^(1/10))-1))</f>
        <v>7.2962291281210123E-2</v>
      </c>
      <c r="R524" s="30"/>
      <c r="S524" s="30"/>
    </row>
    <row r="525" spans="1:19" ht="13" x14ac:dyDescent="0.3">
      <c r="A525" s="52" t="s">
        <v>541</v>
      </c>
      <c r="B525" s="6">
        <v>7.68</v>
      </c>
      <c r="C525" s="1">
        <v>0.44</v>
      </c>
      <c r="D525" s="6">
        <v>0.55669999999999997</v>
      </c>
      <c r="E525" s="6">
        <v>10.199999999999999</v>
      </c>
      <c r="F525" s="1">
        <f t="shared" si="40"/>
        <v>1914.6249999999604</v>
      </c>
      <c r="G525" s="17">
        <f>G518*5/12+G530*7/12</f>
        <v>4.206666666666667</v>
      </c>
      <c r="H525" s="1">
        <f>B525*$E$1867/E525</f>
        <v>252.3296</v>
      </c>
      <c r="I525" s="1">
        <f>C525*$E$1867/E525</f>
        <v>14.456383333333333</v>
      </c>
      <c r="J525" s="26">
        <f t="shared" si="41"/>
        <v>2243.7505524590488</v>
      </c>
      <c r="K525" s="1">
        <f>D525*$E$1867/E525</f>
        <v>18.290610458333333</v>
      </c>
      <c r="L525" s="26">
        <f t="shared" si="39"/>
        <v>162.64269955129589</v>
      </c>
      <c r="M525" s="10">
        <f t="shared" si="37"/>
        <v>10.492046265076436</v>
      </c>
      <c r="N525" s="4">
        <f t="shared" si="38"/>
        <v>13.52814006705135</v>
      </c>
      <c r="O525" s="36">
        <f>1/M525-(G525/100-(((E525/E405)^(1/10))-1))</f>
        <v>7.5527102476564814E-2</v>
      </c>
      <c r="R525" s="30"/>
      <c r="S525" s="30"/>
    </row>
    <row r="526" spans="1:19" ht="13" x14ac:dyDescent="0.3">
      <c r="A526" s="52" t="s">
        <v>542</v>
      </c>
      <c r="B526" s="6">
        <v>7.68</v>
      </c>
      <c r="C526" s="1">
        <v>0.435</v>
      </c>
      <c r="D526" s="6">
        <v>0.54749999999999999</v>
      </c>
      <c r="E526" s="6">
        <v>10.199999999999999</v>
      </c>
      <c r="F526" s="1">
        <f t="shared" si="40"/>
        <v>1914.7083333332937</v>
      </c>
      <c r="G526" s="17">
        <f>G518*4/12+G530*8/12</f>
        <v>4.2133333333333329</v>
      </c>
      <c r="H526" s="1">
        <f>B526*$E$1867/E526</f>
        <v>252.3296</v>
      </c>
      <c r="I526" s="1">
        <f>C526*$E$1867/E526</f>
        <v>14.292106250000002</v>
      </c>
      <c r="J526" s="26">
        <f t="shared" si="41"/>
        <v>2254.3411719286632</v>
      </c>
      <c r="K526" s="1">
        <f>D526*$E$1867/E526</f>
        <v>17.988340624999999</v>
      </c>
      <c r="L526" s="26">
        <f t="shared" si="39"/>
        <v>160.70986870194571</v>
      </c>
      <c r="M526" s="10">
        <f t="shared" si="37"/>
        <v>10.500497301802129</v>
      </c>
      <c r="N526" s="4">
        <f t="shared" si="38"/>
        <v>13.558230015308231</v>
      </c>
      <c r="O526" s="36">
        <f>1/M526-(G526/100-(((E526/E406)^(1/10))-1))</f>
        <v>7.4202323100275011E-2</v>
      </c>
      <c r="R526" s="30"/>
      <c r="S526" s="30"/>
    </row>
    <row r="527" spans="1:19" ht="13" x14ac:dyDescent="0.3">
      <c r="A527" s="52" t="s">
        <v>543</v>
      </c>
      <c r="B527" s="6">
        <v>7.68</v>
      </c>
      <c r="C527" s="1">
        <v>0.43</v>
      </c>
      <c r="D527" s="6">
        <v>0.5383</v>
      </c>
      <c r="E527" s="6">
        <v>10.1</v>
      </c>
      <c r="F527" s="1">
        <f t="shared" si="40"/>
        <v>1914.791666666627</v>
      </c>
      <c r="G527" s="17">
        <f>G518*3/12+G530*9/12</f>
        <v>4.2200000000000006</v>
      </c>
      <c r="H527" s="1">
        <f>B527*$E$1867/E527</f>
        <v>254.82791287128714</v>
      </c>
      <c r="I527" s="1">
        <f>C527*$E$1867/E527</f>
        <v>14.267708663366337</v>
      </c>
      <c r="J527" s="26">
        <f t="shared" si="41"/>
        <v>2287.2838250637337</v>
      </c>
      <c r="K527" s="1">
        <f>D527*$E$1867/E527</f>
        <v>17.861180403465347</v>
      </c>
      <c r="L527" s="26">
        <f t="shared" si="39"/>
        <v>160.31834414476663</v>
      </c>
      <c r="M527" s="10">
        <f t="shared" si="37"/>
        <v>10.612759466126223</v>
      </c>
      <c r="N527" s="4">
        <f t="shared" si="38"/>
        <v>13.722477893212879</v>
      </c>
      <c r="O527" s="36">
        <f>1/M527-(G527/100-(((E527/E407)^(1/10))-1))</f>
        <v>7.2122747418878613E-2</v>
      </c>
      <c r="R527" s="30"/>
      <c r="S527" s="30"/>
    </row>
    <row r="528" spans="1:19" ht="13" x14ac:dyDescent="0.3">
      <c r="A528" s="52" t="s">
        <v>544</v>
      </c>
      <c r="B528" s="6">
        <v>7.68</v>
      </c>
      <c r="C528" s="1">
        <v>0.42499999999999999</v>
      </c>
      <c r="D528" s="6">
        <v>0.5292</v>
      </c>
      <c r="E528" s="6">
        <v>10.199999999999999</v>
      </c>
      <c r="F528" s="1">
        <f t="shared" si="40"/>
        <v>1914.8749999999602</v>
      </c>
      <c r="G528" s="17">
        <f>G518*2/12+G530*10/12</f>
        <v>4.2266666666666666</v>
      </c>
      <c r="H528" s="1">
        <f>B528*$E$1867/E528</f>
        <v>252.3296</v>
      </c>
      <c r="I528" s="1">
        <f>C528*$E$1867/E528</f>
        <v>13.963552083333333</v>
      </c>
      <c r="J528" s="26">
        <f t="shared" si="41"/>
        <v>2275.3039755344607</v>
      </c>
      <c r="K528" s="1">
        <f>D528*$E$1867/E528</f>
        <v>17.387086500000002</v>
      </c>
      <c r="L528" s="26">
        <f t="shared" si="39"/>
        <v>156.78266456417145</v>
      </c>
      <c r="M528" s="10">
        <f t="shared" si="37"/>
        <v>10.516917642992119</v>
      </c>
      <c r="N528" s="4">
        <f t="shared" si="38"/>
        <v>13.617092303207157</v>
      </c>
      <c r="O528" s="36">
        <f>1/M528-(G528/100-(((E528/E408)^(1/10))-1))</f>
        <v>7.1602652010321066E-2</v>
      </c>
      <c r="R528" s="30"/>
      <c r="S528" s="30"/>
    </row>
    <row r="529" spans="1:19" ht="13" x14ac:dyDescent="0.3">
      <c r="A529" s="52" t="s">
        <v>545</v>
      </c>
      <c r="B529" s="6">
        <v>7.35</v>
      </c>
      <c r="C529" s="1">
        <v>0.42</v>
      </c>
      <c r="D529" s="6">
        <v>0.52</v>
      </c>
      <c r="E529" s="6">
        <v>10.1</v>
      </c>
      <c r="F529" s="1">
        <f t="shared" si="40"/>
        <v>1914.9583333332935</v>
      </c>
      <c r="G529" s="17">
        <f>G518*1/12+G530*11/12</f>
        <v>4.2333333333333334</v>
      </c>
      <c r="H529" s="1">
        <f>B529*$E$1867/E529</f>
        <v>243.87827599009898</v>
      </c>
      <c r="I529" s="1">
        <f>C529*$E$1867/E529</f>
        <v>13.935901485148515</v>
      </c>
      <c r="J529" s="26">
        <f t="shared" si="41"/>
        <v>2209.5686696200019</v>
      </c>
      <c r="K529" s="1">
        <f>D529*$E$1867/E529</f>
        <v>17.253973267326732</v>
      </c>
      <c r="L529" s="26">
        <f t="shared" si="39"/>
        <v>156.32322560576887</v>
      </c>
      <c r="M529" s="10">
        <f t="shared" si="37"/>
        <v>10.172217991997863</v>
      </c>
      <c r="N529" s="4">
        <f t="shared" si="38"/>
        <v>13.19171932770996</v>
      </c>
      <c r="O529" s="36">
        <f>1/M529-(G529/100-(((E529/E409)^(1/10))-1))</f>
        <v>7.3754825935587423E-2</v>
      </c>
      <c r="R529" s="30"/>
      <c r="S529" s="30"/>
    </row>
    <row r="530" spans="1:19" ht="13" x14ac:dyDescent="0.3">
      <c r="A530" s="52" t="s">
        <v>546</v>
      </c>
      <c r="B530" s="6">
        <v>7.48</v>
      </c>
      <c r="C530" s="1">
        <v>0.42080000000000001</v>
      </c>
      <c r="D530" s="6">
        <v>0.55000000000000004</v>
      </c>
      <c r="E530" s="6">
        <v>10.1</v>
      </c>
      <c r="F530" s="1">
        <f t="shared" si="40"/>
        <v>1915.0416666666267</v>
      </c>
      <c r="G530" s="17">
        <v>4.24</v>
      </c>
      <c r="H530" s="1">
        <f>B530*$E$1867/E530</f>
        <v>248.19176930693072</v>
      </c>
      <c r="I530" s="1">
        <f>C530*$E$1867/E530</f>
        <v>13.962446059405941</v>
      </c>
      <c r="J530" s="26">
        <f t="shared" si="41"/>
        <v>2259.1912730302438</v>
      </c>
      <c r="K530" s="1">
        <f>D530*$E$1867/E530</f>
        <v>18.249394801980202</v>
      </c>
      <c r="L530" s="26">
        <f t="shared" si="39"/>
        <v>166.11700536987087</v>
      </c>
      <c r="M530" s="10">
        <f t="shared" si="37"/>
        <v>10.359834197757271</v>
      </c>
      <c r="N530" s="4">
        <f t="shared" si="38"/>
        <v>13.455503012706071</v>
      </c>
      <c r="O530" s="36">
        <f>1/M530-(G530/100-(((E530/E410)^(1/10))-1))</f>
        <v>7.1907823631394696E-2</v>
      </c>
      <c r="R530" s="30"/>
      <c r="S530" s="30"/>
    </row>
    <row r="531" spans="1:19" ht="13" x14ac:dyDescent="0.3">
      <c r="A531" s="52" t="s">
        <v>547</v>
      </c>
      <c r="B531" s="6">
        <v>7.38</v>
      </c>
      <c r="C531" s="1">
        <v>0.42170000000000002</v>
      </c>
      <c r="D531" s="6">
        <v>0.57999999999999996</v>
      </c>
      <c r="E531" s="6">
        <v>10</v>
      </c>
      <c r="F531" s="1">
        <f t="shared" si="40"/>
        <v>1915.12499999996</v>
      </c>
      <c r="G531" s="17">
        <f>G530*11/12+G542*1/12</f>
        <v>4.2241666666666671</v>
      </c>
      <c r="H531" s="1">
        <f>B531*$E$1867/E531</f>
        <v>247.32243450000001</v>
      </c>
      <c r="I531" s="1">
        <f>C531*$E$1867/E531</f>
        <v>14.132231792499999</v>
      </c>
      <c r="J531" s="26">
        <f t="shared" si="41"/>
        <v>2261.9980715284</v>
      </c>
      <c r="K531" s="1">
        <f>D531*$E$1867/E531</f>
        <v>19.437264499999998</v>
      </c>
      <c r="L531" s="26">
        <f t="shared" si="39"/>
        <v>177.77220616347859</v>
      </c>
      <c r="M531" s="10">
        <f t="shared" si="37"/>
        <v>10.329786209660691</v>
      </c>
      <c r="N531" s="4">
        <f t="shared" si="38"/>
        <v>13.435767253018044</v>
      </c>
      <c r="O531" s="36">
        <f>1/M531-(G531/100-(((E531/E411)^(1/10))-1))</f>
        <v>7.1334717986856977E-2</v>
      </c>
      <c r="R531" s="30"/>
      <c r="S531" s="30"/>
    </row>
    <row r="532" spans="1:19" ht="13" x14ac:dyDescent="0.3">
      <c r="A532" s="52" t="s">
        <v>548</v>
      </c>
      <c r="B532" s="6">
        <v>7.57</v>
      </c>
      <c r="C532" s="1">
        <v>0.42249999999999999</v>
      </c>
      <c r="D532" s="6">
        <v>0.61</v>
      </c>
      <c r="E532" s="6">
        <v>9.9</v>
      </c>
      <c r="F532" s="1">
        <f t="shared" si="40"/>
        <v>1915.2083333332932</v>
      </c>
      <c r="G532" s="17">
        <f>G530*10/12+G542*2/12</f>
        <v>4.2083333333333339</v>
      </c>
      <c r="H532" s="1">
        <f>B532*$E$1867/E532</f>
        <v>256.25233762626266</v>
      </c>
      <c r="I532" s="1">
        <f>C532*$E$1867/E532</f>
        <v>14.302062436868685</v>
      </c>
      <c r="J532" s="26">
        <f t="shared" si="41"/>
        <v>2354.5709922492838</v>
      </c>
      <c r="K532" s="1">
        <f>D532*$E$1867/E532</f>
        <v>20.649131565656564</v>
      </c>
      <c r="L532" s="26">
        <f t="shared" si="39"/>
        <v>189.73425432920246</v>
      </c>
      <c r="M532" s="10">
        <f t="shared" si="37"/>
        <v>10.707013188682817</v>
      </c>
      <c r="N532" s="4">
        <f t="shared" si="38"/>
        <v>13.942381087442421</v>
      </c>
      <c r="O532" s="36">
        <f>1/M532-(G532/100-(((E532/E412)^(1/10))-1))</f>
        <v>6.8208639007930894E-2</v>
      </c>
      <c r="R532" s="30"/>
      <c r="S532" s="30"/>
    </row>
    <row r="533" spans="1:19" ht="13" x14ac:dyDescent="0.3">
      <c r="A533" s="52" t="s">
        <v>549</v>
      </c>
      <c r="B533" s="6">
        <v>8.14</v>
      </c>
      <c r="C533" s="1">
        <v>0.42330000000000001</v>
      </c>
      <c r="D533" s="6">
        <v>0.64</v>
      </c>
      <c r="E533" s="6">
        <v>10</v>
      </c>
      <c r="F533" s="1">
        <f t="shared" si="40"/>
        <v>1915.2916666666265</v>
      </c>
      <c r="G533" s="17">
        <f>G530*9/12+G542*3/12</f>
        <v>4.1924999999999999</v>
      </c>
      <c r="H533" s="1">
        <f>B533*$E$1867/E533</f>
        <v>272.79195349999998</v>
      </c>
      <c r="I533" s="1">
        <f>C533*$E$1867/E533</f>
        <v>14.185851832500001</v>
      </c>
      <c r="J533" s="26">
        <f t="shared" si="41"/>
        <v>2517.407227869769</v>
      </c>
      <c r="K533" s="1">
        <f>D533*$E$1867/E533</f>
        <v>21.448016000000003</v>
      </c>
      <c r="L533" s="26">
        <f t="shared" si="39"/>
        <v>197.92882381285656</v>
      </c>
      <c r="M533" s="10">
        <f t="shared" si="37"/>
        <v>11.401123789000184</v>
      </c>
      <c r="N533" s="4">
        <f t="shared" si="38"/>
        <v>14.855567969356287</v>
      </c>
      <c r="O533" s="36">
        <f>1/M533-(G533/100-(((E533/E413)^(1/10))-1))</f>
        <v>6.3703423729853187E-2</v>
      </c>
      <c r="R533" s="30"/>
      <c r="S533" s="30"/>
    </row>
    <row r="534" spans="1:19" ht="13" x14ac:dyDescent="0.3">
      <c r="A534" s="52" t="s">
        <v>550</v>
      </c>
      <c r="B534" s="6">
        <v>7.95</v>
      </c>
      <c r="C534" s="1">
        <v>0.42420000000000002</v>
      </c>
      <c r="D534" s="6">
        <v>0.67</v>
      </c>
      <c r="E534" s="6">
        <v>10.1</v>
      </c>
      <c r="F534" s="1">
        <f t="shared" si="40"/>
        <v>1915.3749999999598</v>
      </c>
      <c r="G534" s="17">
        <f>G530*8/12+G542*4/12</f>
        <v>4.1766666666666667</v>
      </c>
      <c r="H534" s="1">
        <f>B534*$E$1867/E534</f>
        <v>263.78670668316829</v>
      </c>
      <c r="I534" s="1">
        <f>C534*$E$1867/E534</f>
        <v>14.075260500000002</v>
      </c>
      <c r="J534" s="26">
        <f t="shared" si="41"/>
        <v>2445.1283001763518</v>
      </c>
      <c r="K534" s="1">
        <f>D534*$E$1867/E534</f>
        <v>22.231080940594062</v>
      </c>
      <c r="L534" s="26">
        <f t="shared" si="39"/>
        <v>206.06741649284979</v>
      </c>
      <c r="M534" s="10">
        <f t="shared" si="37"/>
        <v>11.026929876471316</v>
      </c>
      <c r="N534" s="4">
        <f t="shared" si="38"/>
        <v>14.376666202260205</v>
      </c>
      <c r="O534" s="36">
        <f>1/M534-(G534/100-(((E534/E414)^(1/10))-1))</f>
        <v>6.901695385902698E-2</v>
      </c>
      <c r="R534" s="30"/>
      <c r="S534" s="30"/>
    </row>
    <row r="535" spans="1:19" ht="13" x14ac:dyDescent="0.3">
      <c r="A535" s="52" t="s">
        <v>551</v>
      </c>
      <c r="B535" s="6">
        <v>8.0399999999999991</v>
      </c>
      <c r="C535" s="1">
        <v>0.42499999999999999</v>
      </c>
      <c r="D535" s="6">
        <v>0.7</v>
      </c>
      <c r="E535" s="6">
        <v>10.1</v>
      </c>
      <c r="F535" s="1">
        <f t="shared" si="40"/>
        <v>1915.458333333293</v>
      </c>
      <c r="G535" s="17">
        <f>G530*7/12+G542*5/12</f>
        <v>4.1608333333333327</v>
      </c>
      <c r="H535" s="1">
        <f>B535*$E$1867/E535</f>
        <v>266.77297128712866</v>
      </c>
      <c r="I535" s="1">
        <f>C535*$E$1867/E535</f>
        <v>14.101805074257424</v>
      </c>
      <c r="J535" s="26">
        <f t="shared" si="41"/>
        <v>2483.7018650795535</v>
      </c>
      <c r="K535" s="1">
        <f>D535*$E$1867/E535</f>
        <v>23.226502475247525</v>
      </c>
      <c r="L535" s="26">
        <f t="shared" si="39"/>
        <v>216.24269969598109</v>
      </c>
      <c r="M535" s="10">
        <f t="shared" si="37"/>
        <v>11.154262189096341</v>
      </c>
      <c r="N535" s="4">
        <f t="shared" si="38"/>
        <v>14.54859526342042</v>
      </c>
      <c r="O535" s="36">
        <f>1/M535-(G535/100-(((E535/E415)^(1/10))-1))</f>
        <v>6.8140042135714576E-2</v>
      </c>
      <c r="R535" s="30"/>
      <c r="S535" s="30"/>
    </row>
    <row r="536" spans="1:19" ht="13" x14ac:dyDescent="0.3">
      <c r="A536" s="52" t="s">
        <v>552</v>
      </c>
      <c r="B536" s="6">
        <v>8.01</v>
      </c>
      <c r="C536" s="1">
        <v>0.42580000000000001</v>
      </c>
      <c r="D536" s="6">
        <v>0.73</v>
      </c>
      <c r="E536" s="6">
        <v>10.1</v>
      </c>
      <c r="F536" s="1">
        <f t="shared" si="40"/>
        <v>1915.5416666666263</v>
      </c>
      <c r="G536" s="17">
        <f>G530*6/12+G542*6/12</f>
        <v>4.1449999999999996</v>
      </c>
      <c r="H536" s="1">
        <f>B536*$E$1867/E536</f>
        <v>265.77754975247524</v>
      </c>
      <c r="I536" s="1">
        <f>C536*$E$1867/E536</f>
        <v>14.128349648514853</v>
      </c>
      <c r="J536" s="26">
        <f t="shared" si="41"/>
        <v>2485.3957662271723</v>
      </c>
      <c r="K536" s="1">
        <f>D536*$E$1867/E536</f>
        <v>24.221924009900988</v>
      </c>
      <c r="L536" s="26">
        <f t="shared" si="39"/>
        <v>226.50922713431157</v>
      </c>
      <c r="M536" s="10">
        <f t="shared" si="37"/>
        <v>11.113629393949605</v>
      </c>
      <c r="N536" s="4">
        <f t="shared" si="38"/>
        <v>14.499550030038987</v>
      </c>
      <c r="O536" s="36">
        <f>1/M536-(G536/100-(((E536/E416)^(1/10))-1))</f>
        <v>6.862615357373833E-2</v>
      </c>
      <c r="R536" s="30"/>
      <c r="S536" s="30"/>
    </row>
    <row r="537" spans="1:19" ht="13" x14ac:dyDescent="0.3">
      <c r="A537" s="52" t="s">
        <v>553</v>
      </c>
      <c r="B537" s="6">
        <v>8.35</v>
      </c>
      <c r="C537" s="1">
        <v>0.42670000000000002</v>
      </c>
      <c r="D537" s="6">
        <v>0.76</v>
      </c>
      <c r="E537" s="6">
        <v>10.1</v>
      </c>
      <c r="F537" s="1">
        <f t="shared" si="40"/>
        <v>1915.6249999999595</v>
      </c>
      <c r="G537" s="17">
        <f>G530*5/12+G542*7/12</f>
        <v>4.1291666666666664</v>
      </c>
      <c r="H537" s="1">
        <f>B537*$E$1867/E537</f>
        <v>277.05899381188118</v>
      </c>
      <c r="I537" s="1">
        <f>C537*$E$1867/E537</f>
        <v>14.158212294554458</v>
      </c>
      <c r="J537" s="26">
        <f t="shared" si="41"/>
        <v>2601.9264892781089</v>
      </c>
      <c r="K537" s="1">
        <f>D537*$E$1867/E537</f>
        <v>25.217345544554455</v>
      </c>
      <c r="L537" s="26">
        <f t="shared" si="39"/>
        <v>236.82205171872607</v>
      </c>
      <c r="M537" s="10">
        <f t="shared" si="37"/>
        <v>11.584831641604598</v>
      </c>
      <c r="N537" s="4">
        <f t="shared" si="38"/>
        <v>15.113448857043243</v>
      </c>
      <c r="O537" s="36">
        <f>1/M537-(G537/100-(((E537/E417)^(1/10))-1))</f>
        <v>6.3959240859477767E-2</v>
      </c>
      <c r="R537" s="30"/>
      <c r="S537" s="30"/>
    </row>
    <row r="538" spans="1:19" ht="13" x14ac:dyDescent="0.3">
      <c r="A538" s="52" t="s">
        <v>554</v>
      </c>
      <c r="B538" s="6">
        <v>8.66</v>
      </c>
      <c r="C538" s="1">
        <v>0.42749999999999999</v>
      </c>
      <c r="D538" s="6">
        <v>0.79</v>
      </c>
      <c r="E538" s="6">
        <v>10.1</v>
      </c>
      <c r="F538" s="1">
        <f t="shared" si="40"/>
        <v>1915.7083333332928</v>
      </c>
      <c r="G538" s="17">
        <f>G530*4/12+G542*8/12</f>
        <v>4.1133333333333333</v>
      </c>
      <c r="H538" s="1">
        <f>B538*$E$1867/E538</f>
        <v>287.34501633663371</v>
      </c>
      <c r="I538" s="1">
        <f>C538*$E$1867/E538</f>
        <v>14.184756868811883</v>
      </c>
      <c r="J538" s="26">
        <f t="shared" si="41"/>
        <v>2709.6259914166417</v>
      </c>
      <c r="K538" s="1">
        <f>D538*$E$1867/E538</f>
        <v>26.212767079207921</v>
      </c>
      <c r="L538" s="26">
        <f t="shared" si="39"/>
        <v>247.18297150336568</v>
      </c>
      <c r="M538" s="10">
        <f t="shared" si="37"/>
        <v>12.011570757825892</v>
      </c>
      <c r="N538" s="4">
        <f t="shared" si="38"/>
        <v>15.66488371415784</v>
      </c>
      <c r="O538" s="36">
        <f>1/M538-(G538/100-(((E538/E418)^(1/10))-1))</f>
        <v>6.2216271961368121E-2</v>
      </c>
      <c r="R538" s="30"/>
      <c r="S538" s="30"/>
    </row>
    <row r="539" spans="1:19" ht="13" x14ac:dyDescent="0.3">
      <c r="A539" s="52" t="s">
        <v>555</v>
      </c>
      <c r="B539" s="6">
        <v>9.14</v>
      </c>
      <c r="C539" s="1">
        <v>0.42830000000000001</v>
      </c>
      <c r="D539" s="6">
        <v>0.82</v>
      </c>
      <c r="E539" s="6">
        <v>10.199999999999999</v>
      </c>
      <c r="F539" s="1">
        <f t="shared" si="40"/>
        <v>1915.791666666626</v>
      </c>
      <c r="G539" s="17">
        <f>G530*3/12+G542*9/12</f>
        <v>4.0975000000000001</v>
      </c>
      <c r="H539" s="1">
        <f>B539*$E$1867/E539</f>
        <v>300.29850833333336</v>
      </c>
      <c r="I539" s="1">
        <f>C539*$E$1867/E539</f>
        <v>14.071974958333334</v>
      </c>
      <c r="J539" s="26">
        <f t="shared" si="41"/>
        <v>2842.8338037763592</v>
      </c>
      <c r="K539" s="1">
        <f>D539*$E$1867/E539</f>
        <v>26.94144166666667</v>
      </c>
      <c r="L539" s="26">
        <f t="shared" si="39"/>
        <v>255.04635876330576</v>
      </c>
      <c r="M539" s="10">
        <f t="shared" si="37"/>
        <v>12.549076133220154</v>
      </c>
      <c r="N539" s="4">
        <f t="shared" si="38"/>
        <v>16.354096721194868</v>
      </c>
      <c r="O539" s="36">
        <f>1/M539-(G539/100-(((E539/E419)^(1/10))-1))</f>
        <v>5.9814212715783237E-2</v>
      </c>
      <c r="R539" s="30"/>
      <c r="S539" s="30"/>
    </row>
    <row r="540" spans="1:19" ht="13" x14ac:dyDescent="0.3">
      <c r="A540" s="52" t="s">
        <v>556</v>
      </c>
      <c r="B540" s="6">
        <v>9.4600000000000009</v>
      </c>
      <c r="C540" s="1">
        <v>0.42920000000000003</v>
      </c>
      <c r="D540" s="6">
        <v>0.85</v>
      </c>
      <c r="E540" s="6">
        <v>10.3</v>
      </c>
      <c r="F540" s="1">
        <f t="shared" si="40"/>
        <v>1915.8749999999593</v>
      </c>
      <c r="G540" s="17">
        <f>G530*2/12+G542*10/12</f>
        <v>4.081666666666667</v>
      </c>
      <c r="H540" s="1">
        <f>B540*$E$1867/E540</f>
        <v>307.79464708737862</v>
      </c>
      <c r="I540" s="1">
        <f>C540*$E$1867/E540</f>
        <v>13.964636631067961</v>
      </c>
      <c r="J540" s="26">
        <f t="shared" si="41"/>
        <v>2924.8140258575563</v>
      </c>
      <c r="K540" s="1">
        <f>D540*$E$1867/E540</f>
        <v>27.655967233009704</v>
      </c>
      <c r="L540" s="26">
        <f t="shared" si="39"/>
        <v>262.80041458550983</v>
      </c>
      <c r="M540" s="10">
        <f t="shared" si="37"/>
        <v>12.857714453559312</v>
      </c>
      <c r="N540" s="4">
        <f t="shared" si="38"/>
        <v>16.740136872288531</v>
      </c>
      <c r="O540" s="36">
        <f>1/M540-(G540/100-(((E540/E420)^(1/10))-1))</f>
        <v>5.7888719568749386E-2</v>
      </c>
      <c r="R540" s="30"/>
      <c r="S540" s="30"/>
    </row>
    <row r="541" spans="1:19" ht="13" x14ac:dyDescent="0.3">
      <c r="A541" s="52" t="s">
        <v>557</v>
      </c>
      <c r="B541" s="6">
        <v>9.48</v>
      </c>
      <c r="C541" s="1">
        <v>0.43</v>
      </c>
      <c r="D541" s="6">
        <v>0.88</v>
      </c>
      <c r="E541" s="6">
        <v>10.3</v>
      </c>
      <c r="F541" s="1">
        <f t="shared" si="40"/>
        <v>1915.9583333332926</v>
      </c>
      <c r="G541" s="17">
        <f>G530*1/12+G542*11/12</f>
        <v>4.065833333333333</v>
      </c>
      <c r="H541" s="1">
        <f>B541*$E$1867/E541</f>
        <v>308.44537572815534</v>
      </c>
      <c r="I541" s="1">
        <f>C541*$E$1867/E541</f>
        <v>13.990665776699029</v>
      </c>
      <c r="J541" s="26">
        <f t="shared" si="41"/>
        <v>2942.0764060313099</v>
      </c>
      <c r="K541" s="1">
        <f>D541*$E$1867/E541</f>
        <v>28.632060194174752</v>
      </c>
      <c r="L541" s="26">
        <f t="shared" si="39"/>
        <v>273.10413895649282</v>
      </c>
      <c r="M541" s="10">
        <f t="shared" si="37"/>
        <v>12.878444602185994</v>
      </c>
      <c r="N541" s="4">
        <f t="shared" si="38"/>
        <v>16.749313030943117</v>
      </c>
      <c r="O541" s="36">
        <f>1/M541-(G541/100-(((E541/E421)^(1/10))-1))</f>
        <v>5.6769648712160496E-2</v>
      </c>
      <c r="R541" s="30"/>
      <c r="S541" s="30"/>
    </row>
    <row r="542" spans="1:19" ht="13" x14ac:dyDescent="0.3">
      <c r="A542" s="52" t="s">
        <v>558</v>
      </c>
      <c r="B542" s="6">
        <v>9.33</v>
      </c>
      <c r="C542" s="1">
        <v>0.44080000000000003</v>
      </c>
      <c r="D542" s="6">
        <v>0.93420000000000003</v>
      </c>
      <c r="E542" s="6">
        <v>10.4</v>
      </c>
      <c r="F542" s="1">
        <f t="shared" si="40"/>
        <v>1916.0416666666258</v>
      </c>
      <c r="G542" s="17">
        <v>4.05</v>
      </c>
      <c r="H542" s="1">
        <f>B542*$E$1867/E542</f>
        <v>300.64601754807694</v>
      </c>
      <c r="I542" s="1">
        <f>C542*$E$1867/E542</f>
        <v>14.204154826923077</v>
      </c>
      <c r="J542" s="26">
        <f t="shared" si="41"/>
        <v>2878.9733949848483</v>
      </c>
      <c r="K542" s="1">
        <f>D542*$E$1867/E542</f>
        <v>30.103270052884618</v>
      </c>
      <c r="L542" s="26">
        <f t="shared" si="39"/>
        <v>288.26762546568546</v>
      </c>
      <c r="M542" s="10">
        <f t="shared" si="37"/>
        <v>12.543563692516175</v>
      </c>
      <c r="N542" s="4">
        <f t="shared" si="38"/>
        <v>16.297027766820719</v>
      </c>
      <c r="O542" s="36">
        <f>1/M542-(G542/100-(((E542/E422)^(1/10))-1))</f>
        <v>5.9986791585310791E-2</v>
      </c>
      <c r="R542" s="30"/>
      <c r="S542" s="30"/>
    </row>
    <row r="543" spans="1:19" ht="13" x14ac:dyDescent="0.3">
      <c r="A543" s="52" t="s">
        <v>559</v>
      </c>
      <c r="B543" s="6">
        <v>9.1999999999999993</v>
      </c>
      <c r="C543" s="1">
        <v>0.45169999999999999</v>
      </c>
      <c r="D543" s="6">
        <v>0.98829999999999996</v>
      </c>
      <c r="E543" s="6">
        <v>10.4</v>
      </c>
      <c r="F543" s="1">
        <f t="shared" si="40"/>
        <v>1916.1249999999591</v>
      </c>
      <c r="G543" s="17">
        <f>G542*11/12+G554*1/12</f>
        <v>4.0649999999999995</v>
      </c>
      <c r="H543" s="1">
        <f>B543*$E$1867/E543</f>
        <v>296.45695192307687</v>
      </c>
      <c r="I543" s="1">
        <f>C543*$E$1867/E543</f>
        <v>14.55539186778846</v>
      </c>
      <c r="J543" s="26">
        <f t="shared" si="41"/>
        <v>2850.4742326620385</v>
      </c>
      <c r="K543" s="1">
        <f>D543*$E$1867/E543</f>
        <v>31.846565824519228</v>
      </c>
      <c r="L543" s="26">
        <f t="shared" si="39"/>
        <v>306.20909610216222</v>
      </c>
      <c r="M543" s="10">
        <f t="shared" si="37"/>
        <v>12.354652326458799</v>
      </c>
      <c r="N543" s="4">
        <f t="shared" si="38"/>
        <v>16.034835612136877</v>
      </c>
      <c r="O543" s="36">
        <f>1/M543-(G543/100-(((E543/E423)^(1/10))-1))</f>
        <v>6.1055799767671406E-2</v>
      </c>
      <c r="R543" s="30"/>
      <c r="S543" s="30"/>
    </row>
    <row r="544" spans="1:19" ht="13" x14ac:dyDescent="0.3">
      <c r="A544" s="52" t="s">
        <v>560</v>
      </c>
      <c r="B544" s="6">
        <v>9.17</v>
      </c>
      <c r="C544" s="1">
        <v>0.46250000000000002</v>
      </c>
      <c r="D544" s="6">
        <v>1.042</v>
      </c>
      <c r="E544" s="6">
        <v>10.5</v>
      </c>
      <c r="F544" s="1">
        <f t="shared" si="40"/>
        <v>1916.2083333332923</v>
      </c>
      <c r="G544" s="17">
        <f>G542*10/12+G554*2/12</f>
        <v>4.08</v>
      </c>
      <c r="H544" s="1">
        <f>B544*$E$1867/E544</f>
        <v>292.67605166666664</v>
      </c>
      <c r="I544" s="1">
        <f>C544*$E$1867/E544</f>
        <v>14.761469345238098</v>
      </c>
      <c r="J544" s="26">
        <f t="shared" si="41"/>
        <v>2825.9481543351139</v>
      </c>
      <c r="K544" s="1">
        <f>D544*$E$1867/E544</f>
        <v>33.257191476190478</v>
      </c>
      <c r="L544" s="26">
        <f t="shared" si="39"/>
        <v>321.11646421125289</v>
      </c>
      <c r="M544" s="10">
        <f t="shared" si="37"/>
        <v>12.177052795748484</v>
      </c>
      <c r="N544" s="4">
        <f t="shared" si="38"/>
        <v>15.78651324325188</v>
      </c>
      <c r="O544" s="36">
        <f>1/M544-(G544/100-(((E544/E424)^(1/10))-1))</f>
        <v>6.3063591449976919E-2</v>
      </c>
      <c r="R544" s="30"/>
      <c r="S544" s="30"/>
    </row>
    <row r="545" spans="1:19" ht="13" x14ac:dyDescent="0.3">
      <c r="A545" s="52" t="s">
        <v>561</v>
      </c>
      <c r="B545" s="6">
        <v>9.07</v>
      </c>
      <c r="C545" s="1">
        <v>0.4733</v>
      </c>
      <c r="D545" s="6">
        <v>1.097</v>
      </c>
      <c r="E545" s="6">
        <v>10.6</v>
      </c>
      <c r="F545" s="1">
        <f t="shared" si="40"/>
        <v>1916.2916666666256</v>
      </c>
      <c r="G545" s="17">
        <f>G542*9/12+G554*3/12</f>
        <v>4.0949999999999998</v>
      </c>
      <c r="H545" s="1">
        <f>B545*$E$1867/E545</f>
        <v>286.75339787735851</v>
      </c>
      <c r="I545" s="1">
        <f>C545*$E$1867/E545</f>
        <v>14.963658568396227</v>
      </c>
      <c r="J545" s="26">
        <f t="shared" si="41"/>
        <v>2780.8018722029442</v>
      </c>
      <c r="K545" s="1">
        <f>D545*$E$1867/E545</f>
        <v>34.682301816037736</v>
      </c>
      <c r="L545" s="26">
        <f t="shared" si="39"/>
        <v>336.33292765232966</v>
      </c>
      <c r="M545" s="10">
        <f t="shared" si="37"/>
        <v>11.906481776593184</v>
      </c>
      <c r="N545" s="4">
        <f t="shared" si="38"/>
        <v>15.41816172708924</v>
      </c>
      <c r="O545" s="36">
        <f>1/M545-(G545/100-(((E545/E425)^(1/10))-1))</f>
        <v>6.5748722644587421E-2</v>
      </c>
      <c r="R545" s="30"/>
      <c r="S545" s="30"/>
    </row>
    <row r="546" spans="1:19" ht="13" x14ac:dyDescent="0.3">
      <c r="A546" s="52" t="s">
        <v>562</v>
      </c>
      <c r="B546" s="6">
        <v>9.27</v>
      </c>
      <c r="C546" s="1">
        <v>0.48420000000000002</v>
      </c>
      <c r="D546" s="6">
        <v>1.151</v>
      </c>
      <c r="E546" s="6">
        <v>10.7</v>
      </c>
      <c r="F546" s="1">
        <f t="shared" si="40"/>
        <v>1916.3749999999588</v>
      </c>
      <c r="G546" s="17">
        <f>G542*8/12+G554*4/12</f>
        <v>4.1099999999999994</v>
      </c>
      <c r="H546" s="1">
        <f>B546*$E$1867/E546</f>
        <v>290.33748294392524</v>
      </c>
      <c r="I546" s="1">
        <f>C546*$E$1867/E546</f>
        <v>15.165200565420561</v>
      </c>
      <c r="J546" s="26">
        <f t="shared" si="41"/>
        <v>2827.8140973648942</v>
      </c>
      <c r="K546" s="1">
        <f>D546*$E$1867/E546</f>
        <v>36.049454462616822</v>
      </c>
      <c r="L546" s="26">
        <f t="shared" si="39"/>
        <v>351.11262417119667</v>
      </c>
      <c r="M546" s="10">
        <f t="shared" si="37"/>
        <v>12.026256671905163</v>
      </c>
      <c r="N546" s="4">
        <f t="shared" si="38"/>
        <v>15.553193893472118</v>
      </c>
      <c r="O546" s="36">
        <f>1/M546-(G546/100-(((E546/E426)^(1/10))-1))</f>
        <v>6.4579620295515019E-2</v>
      </c>
      <c r="R546" s="30"/>
      <c r="S546" s="30"/>
    </row>
    <row r="547" spans="1:19" ht="13" x14ac:dyDescent="0.3">
      <c r="A547" s="52" t="s">
        <v>563</v>
      </c>
      <c r="B547" s="6">
        <v>9.36</v>
      </c>
      <c r="C547" s="1">
        <v>0.495</v>
      </c>
      <c r="D547" s="6">
        <v>1.2050000000000001</v>
      </c>
      <c r="E547" s="6">
        <v>10.8</v>
      </c>
      <c r="F547" s="1">
        <f t="shared" si="40"/>
        <v>1916.4583333332921</v>
      </c>
      <c r="G547" s="17">
        <f>G542*7/12+G554*5/12</f>
        <v>4.125</v>
      </c>
      <c r="H547" s="1">
        <f>B547*$E$1867/E547</f>
        <v>290.44188333333329</v>
      </c>
      <c r="I547" s="1">
        <f>C547*$E$1867/E547</f>
        <v>15.359907291666666</v>
      </c>
      <c r="J547" s="26">
        <f t="shared" si="41"/>
        <v>2841.2977338938158</v>
      </c>
      <c r="K547" s="1">
        <f>D547*$E$1867/E547</f>
        <v>37.391289467592593</v>
      </c>
      <c r="L547" s="26">
        <f t="shared" si="39"/>
        <v>365.7867274938086</v>
      </c>
      <c r="M547" s="10">
        <f t="shared" si="37"/>
        <v>11.995961222946582</v>
      </c>
      <c r="N547" s="4">
        <f t="shared" si="38"/>
        <v>15.493035511158213</v>
      </c>
      <c r="O547" s="36">
        <f>1/M547-(G547/100-(((E547/E427)^(1/10))-1))</f>
        <v>6.5591255170430046E-2</v>
      </c>
      <c r="R547" s="30"/>
      <c r="S547" s="30"/>
    </row>
    <row r="548" spans="1:19" ht="13" x14ac:dyDescent="0.3">
      <c r="A548" s="52" t="s">
        <v>564</v>
      </c>
      <c r="B548" s="6">
        <v>9.23</v>
      </c>
      <c r="C548" s="1">
        <v>0.50580000000000003</v>
      </c>
      <c r="D548" s="6">
        <v>1.2589999999999999</v>
      </c>
      <c r="E548" s="6">
        <v>10.8</v>
      </c>
      <c r="F548" s="1">
        <f t="shared" si="40"/>
        <v>1916.5416666666254</v>
      </c>
      <c r="G548" s="17">
        <f>G542*6/12+G554*6/12</f>
        <v>4.1400000000000006</v>
      </c>
      <c r="H548" s="1">
        <f>B548*$E$1867/E548</f>
        <v>286.40796828703702</v>
      </c>
      <c r="I548" s="1">
        <f>C548*$E$1867/E548</f>
        <v>15.695032541666667</v>
      </c>
      <c r="J548" s="26">
        <f t="shared" si="41"/>
        <v>2814.6302118935409</v>
      </c>
      <c r="K548" s="1">
        <f>D548*$E$1867/E548</f>
        <v>39.066915717592586</v>
      </c>
      <c r="L548" s="26">
        <f t="shared" si="39"/>
        <v>383.92409932545695</v>
      </c>
      <c r="M548" s="10">
        <f t="shared" si="37"/>
        <v>11.791165275254551</v>
      </c>
      <c r="N548" s="4">
        <f t="shared" si="38"/>
        <v>15.208320664732771</v>
      </c>
      <c r="O548" s="36">
        <f>1/M548-(G548/100-(((E548/E428)^(1/10))-1))</f>
        <v>7.0364500962744256E-2</v>
      </c>
      <c r="R548" s="30"/>
      <c r="S548" s="30"/>
    </row>
    <row r="549" spans="1:19" ht="13" x14ac:dyDescent="0.3">
      <c r="A549" s="52" t="s">
        <v>565</v>
      </c>
      <c r="B549" s="6">
        <v>9.3000000000000007</v>
      </c>
      <c r="C549" s="1">
        <v>0.51670000000000005</v>
      </c>
      <c r="D549" s="6">
        <v>1.3129999999999999</v>
      </c>
      <c r="E549" s="6">
        <v>10.9</v>
      </c>
      <c r="F549" s="1">
        <f t="shared" si="40"/>
        <v>1916.6249999999586</v>
      </c>
      <c r="G549" s="17">
        <f>G542*5/12+G554*7/12</f>
        <v>4.1550000000000002</v>
      </c>
      <c r="H549" s="1">
        <f>B549*$E$1867/E549</f>
        <v>285.93255275229359</v>
      </c>
      <c r="I549" s="1">
        <f>C549*$E$1867/E549</f>
        <v>15.886166667431192</v>
      </c>
      <c r="J549" s="26">
        <f t="shared" si="41"/>
        <v>2822.9680436751328</v>
      </c>
      <c r="K549" s="1">
        <f>D549*$E$1867/E549</f>
        <v>40.368757178899081</v>
      </c>
      <c r="L549" s="26">
        <f t="shared" si="39"/>
        <v>398.55452057477947</v>
      </c>
      <c r="M549" s="10">
        <f t="shared" si="37"/>
        <v>11.732082638874163</v>
      </c>
      <c r="N549" s="4">
        <f t="shared" si="38"/>
        <v>15.109356185858443</v>
      </c>
      <c r="O549" s="36">
        <f>1/M549-(G549/100-(((E549/E429)^(1/10))-1))</f>
        <v>6.9255463374402998E-2</v>
      </c>
      <c r="R549" s="30"/>
      <c r="S549" s="30"/>
    </row>
    <row r="550" spans="1:19" ht="13" x14ac:dyDescent="0.3">
      <c r="A550" s="52" t="s">
        <v>566</v>
      </c>
      <c r="B550" s="6">
        <v>9.68</v>
      </c>
      <c r="C550" s="1">
        <v>0.52749999999999997</v>
      </c>
      <c r="D550" s="6">
        <v>1.3680000000000001</v>
      </c>
      <c r="E550" s="6">
        <v>11.1</v>
      </c>
      <c r="F550" s="1">
        <f t="shared" si="40"/>
        <v>1916.7083333332919</v>
      </c>
      <c r="G550" s="17">
        <f>G542*4/12+G554*8/12</f>
        <v>4.17</v>
      </c>
      <c r="H550" s="1">
        <f>B550*$E$1867/E550</f>
        <v>292.25337117117118</v>
      </c>
      <c r="I550" s="1">
        <f>C550*$E$1867/E550</f>
        <v>15.925997240990991</v>
      </c>
      <c r="J550" s="26">
        <f t="shared" si="41"/>
        <v>2898.4754199361687</v>
      </c>
      <c r="K550" s="1">
        <f>D550*$E$1867/E550</f>
        <v>41.301922702702704</v>
      </c>
      <c r="L550" s="26">
        <f t="shared" si="39"/>
        <v>409.61925356122714</v>
      </c>
      <c r="M550" s="10">
        <f t="shared" si="37"/>
        <v>11.944552417504473</v>
      </c>
      <c r="N550" s="4">
        <f t="shared" si="38"/>
        <v>15.357396326406246</v>
      </c>
      <c r="O550" s="36">
        <f>1/M550-(G550/100-(((E550/E430)^(1/10))-1))</f>
        <v>6.830811376991236E-2</v>
      </c>
      <c r="R550" s="30"/>
      <c r="S550" s="30"/>
    </row>
    <row r="551" spans="1:19" ht="13" x14ac:dyDescent="0.3">
      <c r="A551" s="52" t="s">
        <v>567</v>
      </c>
      <c r="B551" s="6">
        <v>9.98</v>
      </c>
      <c r="C551" s="1">
        <v>0.5383</v>
      </c>
      <c r="D551" s="6">
        <v>1.4219999999999999</v>
      </c>
      <c r="E551" s="6">
        <v>11.3</v>
      </c>
      <c r="F551" s="1">
        <f t="shared" si="40"/>
        <v>1916.7916666666251</v>
      </c>
      <c r="G551" s="17">
        <f>G542*3/12+G554*9/12</f>
        <v>4.1850000000000005</v>
      </c>
      <c r="H551" s="1">
        <f>B551*$E$1867/E551</f>
        <v>295.97787566371682</v>
      </c>
      <c r="I551" s="1">
        <f>C551*$E$1867/E551</f>
        <v>15.964417882743362</v>
      </c>
      <c r="J551" s="26">
        <f t="shared" si="41"/>
        <v>2948.608029413344</v>
      </c>
      <c r="K551" s="1">
        <f>D551*$E$1867/E551</f>
        <v>42.172398716814151</v>
      </c>
      <c r="L551" s="26">
        <f t="shared" si="39"/>
        <v>420.13232643544831</v>
      </c>
      <c r="M551" s="10">
        <f t="shared" si="37"/>
        <v>12.045741763370797</v>
      </c>
      <c r="N551" s="4">
        <f t="shared" si="38"/>
        <v>15.460165685093658</v>
      </c>
      <c r="O551" s="36">
        <f>1/M551-(G551/100-(((E551/E431)^(1/10))-1))</f>
        <v>6.7031488912358439E-2</v>
      </c>
      <c r="R551" s="30"/>
      <c r="S551" s="30"/>
    </row>
    <row r="552" spans="1:19" ht="13" x14ac:dyDescent="0.3">
      <c r="A552" s="52" t="s">
        <v>568</v>
      </c>
      <c r="B552" s="6">
        <v>10.210000000000001</v>
      </c>
      <c r="C552" s="1">
        <v>0.54920000000000002</v>
      </c>
      <c r="D552" s="6">
        <v>1.476</v>
      </c>
      <c r="E552" s="6">
        <v>11.5</v>
      </c>
      <c r="F552" s="1">
        <f t="shared" si="40"/>
        <v>1916.8749999999584</v>
      </c>
      <c r="G552" s="17">
        <f>G542*2/12+G554*10/12</f>
        <v>4.2</v>
      </c>
      <c r="H552" s="1">
        <f>B552*$E$1867/E552</f>
        <v>297.53293934782613</v>
      </c>
      <c r="I552" s="1">
        <f>C552*$E$1867/E552</f>
        <v>16.00441628695652</v>
      </c>
      <c r="J552" s="26">
        <f t="shared" si="41"/>
        <v>2977.3866527375676</v>
      </c>
      <c r="K552" s="1">
        <f>D552*$E$1867/E552</f>
        <v>43.012597304347821</v>
      </c>
      <c r="L552" s="26">
        <f t="shared" si="39"/>
        <v>430.42337898537204</v>
      </c>
      <c r="M552" s="10">
        <f t="shared" si="37"/>
        <v>12.053230403230501</v>
      </c>
      <c r="N552" s="4">
        <f t="shared" si="38"/>
        <v>15.442014290555147</v>
      </c>
      <c r="O552" s="36">
        <f>1/M552-(G552/100-(((E552/E432)^(1/10))-1))</f>
        <v>6.7521613279590997E-2</v>
      </c>
      <c r="R552" s="30"/>
      <c r="S552" s="30"/>
    </row>
    <row r="553" spans="1:19" ht="13" x14ac:dyDescent="0.3">
      <c r="A553" s="52" t="s">
        <v>569</v>
      </c>
      <c r="B553" s="6">
        <v>9.8000000000000007</v>
      </c>
      <c r="C553" s="1">
        <v>0.56000000000000005</v>
      </c>
      <c r="D553" s="6">
        <v>1.53</v>
      </c>
      <c r="E553" s="6">
        <v>11.6</v>
      </c>
      <c r="F553" s="1">
        <f t="shared" si="40"/>
        <v>1916.9583333332916</v>
      </c>
      <c r="G553" s="17">
        <f>G542*1/12+G554*11/12</f>
        <v>4.2149999999999999</v>
      </c>
      <c r="H553" s="1">
        <f>B553*$E$1867/E553</f>
        <v>283.12305603448277</v>
      </c>
      <c r="I553" s="1">
        <f>C553*$E$1867/E553</f>
        <v>16.178460344827588</v>
      </c>
      <c r="J553" s="26">
        <f t="shared" si="41"/>
        <v>2846.679556332756</v>
      </c>
      <c r="K553" s="1">
        <f>D553*$E$1867/E553</f>
        <v>44.201864870689661</v>
      </c>
      <c r="L553" s="26">
        <f t="shared" si="39"/>
        <v>444.43058379480789</v>
      </c>
      <c r="M553" s="10">
        <f t="shared" si="37"/>
        <v>11.413559188849494</v>
      </c>
      <c r="N553" s="4">
        <f t="shared" si="38"/>
        <v>14.599793322642677</v>
      </c>
      <c r="O553" s="36">
        <f>1/M553-(G553/100-(((E553/E433)^(1/10))-1))</f>
        <v>7.1812050346403117E-2</v>
      </c>
      <c r="R553" s="30"/>
      <c r="S553" s="30"/>
    </row>
    <row r="554" spans="1:19" ht="13" x14ac:dyDescent="0.3">
      <c r="A554" s="52" t="s">
        <v>570</v>
      </c>
      <c r="B554" s="6">
        <v>9.57</v>
      </c>
      <c r="C554" s="1">
        <v>0.57079999999999997</v>
      </c>
      <c r="D554" s="6">
        <v>1.5089999999999999</v>
      </c>
      <c r="E554" s="6">
        <v>11.7</v>
      </c>
      <c r="F554" s="1">
        <f t="shared" si="40"/>
        <v>1917.0416666666249</v>
      </c>
      <c r="G554" s="17">
        <v>4.2300000000000004</v>
      </c>
      <c r="H554" s="1">
        <f>B554*$E$1867/E554</f>
        <v>274.11526858974361</v>
      </c>
      <c r="I554" s="1">
        <f>C554*$E$1867/E554</f>
        <v>16.349529290598291</v>
      </c>
      <c r="J554" s="26">
        <f t="shared" si="41"/>
        <v>2769.8091119426258</v>
      </c>
      <c r="K554" s="1">
        <f>D554*$E$1867/E554</f>
        <v>43.222564294871795</v>
      </c>
      <c r="L554" s="26">
        <f t="shared" si="39"/>
        <v>436.74419539408802</v>
      </c>
      <c r="M554" s="10">
        <f t="shared" si="37"/>
        <v>10.992361427383427</v>
      </c>
      <c r="N554" s="4">
        <f t="shared" si="38"/>
        <v>14.041135988701289</v>
      </c>
      <c r="O554" s="36">
        <f>1/M554-(G554/100-(((E554/E434)^(1/10))-1))</f>
        <v>7.7000061756415827E-2</v>
      </c>
      <c r="R554" s="30"/>
      <c r="S554" s="30"/>
    </row>
    <row r="555" spans="1:19" ht="13" x14ac:dyDescent="0.3">
      <c r="A555" s="52" t="s">
        <v>571</v>
      </c>
      <c r="B555" s="6">
        <v>9.0299999999999994</v>
      </c>
      <c r="C555" s="1">
        <v>0.58169999999999999</v>
      </c>
      <c r="D555" s="6">
        <v>1.488</v>
      </c>
      <c r="E555" s="6">
        <v>12</v>
      </c>
      <c r="F555" s="1">
        <f t="shared" si="40"/>
        <v>1917.1249999999582</v>
      </c>
      <c r="G555" s="17">
        <f>G554*11/12+G566*1/12</f>
        <v>4.2583333333333329</v>
      </c>
      <c r="H555" s="1">
        <f>B555*$E$1867/E555</f>
        <v>252.18175062499998</v>
      </c>
      <c r="I555" s="1">
        <f>C555*$E$1867/E555</f>
        <v>16.245196493749997</v>
      </c>
      <c r="J555" s="26">
        <f t="shared" si="41"/>
        <v>2561.8601575867024</v>
      </c>
      <c r="K555" s="1">
        <f>D555*$E$1867/E555</f>
        <v>41.555530999999995</v>
      </c>
      <c r="L555" s="26">
        <f t="shared" si="39"/>
        <v>422.15370038638014</v>
      </c>
      <c r="M555" s="10">
        <f t="shared" si="37"/>
        <v>10.063187738735726</v>
      </c>
      <c r="N555" s="4">
        <f t="shared" si="38"/>
        <v>12.842799550212733</v>
      </c>
      <c r="O555" s="36">
        <f>1/M555-(G555/100-(((E555/E435)^(1/10))-1))</f>
        <v>8.55316697341377E-2</v>
      </c>
      <c r="R555" s="30"/>
      <c r="S555" s="30"/>
    </row>
    <row r="556" spans="1:19" ht="13" x14ac:dyDescent="0.3">
      <c r="A556" s="52" t="s">
        <v>572</v>
      </c>
      <c r="B556" s="6">
        <v>9.31</v>
      </c>
      <c r="C556" s="1">
        <v>0.59250000000000003</v>
      </c>
      <c r="D556" s="6">
        <v>1.468</v>
      </c>
      <c r="E556" s="6">
        <v>12</v>
      </c>
      <c r="F556" s="1">
        <f t="shared" si="40"/>
        <v>1917.2083333332914</v>
      </c>
      <c r="G556" s="17">
        <f>G554*10/12+G566*2/12</f>
        <v>4.2866666666666671</v>
      </c>
      <c r="H556" s="1">
        <f>B556*$E$1867/E556</f>
        <v>260.00133979166668</v>
      </c>
      <c r="I556" s="1">
        <f>C556*$E$1867/E556</f>
        <v>16.546809218750003</v>
      </c>
      <c r="J556" s="26">
        <f t="shared" si="41"/>
        <v>2655.3056381409797</v>
      </c>
      <c r="K556" s="1">
        <f>D556*$E$1867/E556</f>
        <v>40.996988916666666</v>
      </c>
      <c r="L556" s="26">
        <f t="shared" si="39"/>
        <v>418.6883648540234</v>
      </c>
      <c r="M556" s="10">
        <f t="shared" si="37"/>
        <v>10.327157080107876</v>
      </c>
      <c r="N556" s="4">
        <f t="shared" si="38"/>
        <v>13.170393039784484</v>
      </c>
      <c r="O556" s="36">
        <f>1/M556-(G556/100-(((E556/E436)^(1/10))-1))</f>
        <v>8.3797745412941355E-2</v>
      </c>
      <c r="R556" s="30"/>
      <c r="S556" s="30"/>
    </row>
    <row r="557" spans="1:19" ht="13" x14ac:dyDescent="0.3">
      <c r="A557" s="52" t="s">
        <v>573</v>
      </c>
      <c r="B557" s="6">
        <v>9.17</v>
      </c>
      <c r="C557" s="1">
        <v>0.60329999999999995</v>
      </c>
      <c r="D557" s="6">
        <v>1.4470000000000001</v>
      </c>
      <c r="E557" s="6">
        <v>12.6</v>
      </c>
      <c r="F557" s="1">
        <f t="shared" si="40"/>
        <v>1917.2916666666247</v>
      </c>
      <c r="G557" s="17">
        <f>G554*9/12+G566*3/12</f>
        <v>4.3150000000000013</v>
      </c>
      <c r="H557" s="1">
        <f>B557*$E$1867/E557</f>
        <v>243.89670972222223</v>
      </c>
      <c r="I557" s="1">
        <f>C557*$E$1867/E557</f>
        <v>16.046116136904761</v>
      </c>
      <c r="J557" s="26">
        <f t="shared" si="41"/>
        <v>2504.4906340044313</v>
      </c>
      <c r="K557" s="1">
        <f>D557*$E$1867/E557</f>
        <v>38.486209265873015</v>
      </c>
      <c r="L557" s="26">
        <f t="shared" si="39"/>
        <v>395.20152098194239</v>
      </c>
      <c r="M557" s="10">
        <f t="shared" si="37"/>
        <v>9.6445311972812355</v>
      </c>
      <c r="N557" s="4">
        <f t="shared" si="38"/>
        <v>12.29430325146131</v>
      </c>
      <c r="O557" s="36">
        <f>1/M557-(G557/100-(((E557/E437)^(1/10))-1))</f>
        <v>9.5404891435485528E-2</v>
      </c>
      <c r="R557" s="30"/>
      <c r="S557" s="30"/>
    </row>
    <row r="558" spans="1:19" ht="13" x14ac:dyDescent="0.3">
      <c r="A558" s="52" t="s">
        <v>574</v>
      </c>
      <c r="B558" s="6">
        <v>8.86</v>
      </c>
      <c r="C558" s="1">
        <v>0.61419999999999997</v>
      </c>
      <c r="D558" s="6">
        <v>1.4259999999999999</v>
      </c>
      <c r="E558" s="6">
        <v>12.8</v>
      </c>
      <c r="F558" s="1">
        <f t="shared" si="40"/>
        <v>1917.3749999999579</v>
      </c>
      <c r="G558" s="17">
        <f>G554*8/12+G566*4/12</f>
        <v>4.3433333333333337</v>
      </c>
      <c r="H558" s="1">
        <f>B558*$E$1867/E558</f>
        <v>231.96950898437498</v>
      </c>
      <c r="I558" s="1">
        <f>C558*$E$1867/E558</f>
        <v>16.080775667968748</v>
      </c>
      <c r="J558" s="26">
        <f t="shared" si="41"/>
        <v>2395.775009137255</v>
      </c>
      <c r="K558" s="1">
        <f>D558*$E$1867/E558</f>
        <v>37.335047382812498</v>
      </c>
      <c r="L558" s="26">
        <f t="shared" si="39"/>
        <v>385.59539086114285</v>
      </c>
      <c r="M558" s="10">
        <f t="shared" si="37"/>
        <v>9.1389888133735777</v>
      </c>
      <c r="N558" s="4">
        <f t="shared" si="38"/>
        <v>11.651154264223969</v>
      </c>
      <c r="O558" s="36">
        <f>1/M558-(G558/100-(((E558/E438)^(1/10))-1))</f>
        <v>0.10030784408299681</v>
      </c>
      <c r="R558" s="30"/>
      <c r="S558" s="30"/>
    </row>
    <row r="559" spans="1:19" ht="13" x14ac:dyDescent="0.3">
      <c r="A559" s="52" t="s">
        <v>575</v>
      </c>
      <c r="B559" s="6">
        <v>9.0399999999999991</v>
      </c>
      <c r="C559" s="1">
        <v>0.625</v>
      </c>
      <c r="D559" s="6">
        <v>1.405</v>
      </c>
      <c r="E559" s="6">
        <v>13</v>
      </c>
      <c r="F559" s="1">
        <f t="shared" si="40"/>
        <v>1917.4583333332912</v>
      </c>
      <c r="G559" s="17">
        <f>G554*7/12+G566*5/12</f>
        <v>4.371666666666667</v>
      </c>
      <c r="H559" s="1">
        <f>B559*$E$1867/E559</f>
        <v>233.04094307692304</v>
      </c>
      <c r="I559" s="1">
        <f>C559*$E$1867/E559</f>
        <v>16.111790865384616</v>
      </c>
      <c r="J559" s="26">
        <f t="shared" si="41"/>
        <v>2420.7075985128918</v>
      </c>
      <c r="K559" s="1">
        <f>D559*$E$1867/E559</f>
        <v>36.219305865384612</v>
      </c>
      <c r="L559" s="26">
        <f t="shared" si="39"/>
        <v>376.22723184851912</v>
      </c>
      <c r="M559" s="10">
        <f t="shared" si="37"/>
        <v>9.148220259539583</v>
      </c>
      <c r="N559" s="4">
        <f t="shared" si="38"/>
        <v>11.666161646433126</v>
      </c>
      <c r="O559" s="36">
        <f>1/M559-(G559/100-(((E559/E439)^(1/10))-1))</f>
        <v>0.10044670647542248</v>
      </c>
      <c r="R559" s="30"/>
      <c r="S559" s="30"/>
    </row>
    <row r="560" spans="1:19" ht="13" x14ac:dyDescent="0.3">
      <c r="A560" s="52" t="s">
        <v>576</v>
      </c>
      <c r="B560" s="6">
        <v>8.7899999999999991</v>
      </c>
      <c r="C560" s="1">
        <v>0.63580000000000003</v>
      </c>
      <c r="D560" s="6">
        <v>1.3839999999999999</v>
      </c>
      <c r="E560" s="6">
        <v>12.8</v>
      </c>
      <c r="F560" s="1">
        <f t="shared" si="40"/>
        <v>1917.5416666666245</v>
      </c>
      <c r="G560" s="17">
        <f>G554*6/12+G566*6/12</f>
        <v>4.4000000000000004</v>
      </c>
      <c r="H560" s="1">
        <f>B560*$E$1867/E560</f>
        <v>230.13679277343746</v>
      </c>
      <c r="I560" s="1">
        <f>C560*$E$1867/E560</f>
        <v>16.64629952734375</v>
      </c>
      <c r="J560" s="26">
        <f t="shared" si="41"/>
        <v>2404.9502240977354</v>
      </c>
      <c r="K560" s="1">
        <f>D560*$E$1867/E560</f>
        <v>36.235417656249993</v>
      </c>
      <c r="L560" s="26">
        <f t="shared" si="39"/>
        <v>378.66337999445574</v>
      </c>
      <c r="M560" s="10">
        <f t="shared" si="37"/>
        <v>9.0034723772288032</v>
      </c>
      <c r="N560" s="4">
        <f t="shared" si="38"/>
        <v>11.489562693980307</v>
      </c>
      <c r="O560" s="36">
        <f>1/M560-(G560/100-(((E560/E440)^(1/10))-1))</f>
        <v>0.10031754123277209</v>
      </c>
      <c r="R560" s="30"/>
      <c r="S560" s="30"/>
    </row>
    <row r="561" spans="1:19" ht="13" x14ac:dyDescent="0.3">
      <c r="A561" s="52" t="s">
        <v>577</v>
      </c>
      <c r="B561" s="6">
        <v>8.5299999999999994</v>
      </c>
      <c r="C561" s="1">
        <v>0.64670000000000005</v>
      </c>
      <c r="D561" s="6">
        <v>1.363</v>
      </c>
      <c r="E561" s="6">
        <v>13</v>
      </c>
      <c r="F561" s="1">
        <f t="shared" si="40"/>
        <v>1917.6249999999577</v>
      </c>
      <c r="G561" s="17">
        <f>G554*5/12+G566*7/12</f>
        <v>4.4283333333333337</v>
      </c>
      <c r="H561" s="1">
        <f>B561*$E$1867/E561</f>
        <v>219.89372173076922</v>
      </c>
      <c r="I561" s="1">
        <f>C561*$E$1867/E561</f>
        <v>16.67119224423077</v>
      </c>
      <c r="J561" s="26">
        <f t="shared" si="41"/>
        <v>2312.4271637216484</v>
      </c>
      <c r="K561" s="1">
        <f>D561*$E$1867/E561</f>
        <v>35.136593519230765</v>
      </c>
      <c r="L561" s="26">
        <f t="shared" si="39"/>
        <v>369.50037797803122</v>
      </c>
      <c r="M561" s="10">
        <f t="shared" si="37"/>
        <v>8.5726804667537788</v>
      </c>
      <c r="N561" s="4">
        <f t="shared" si="38"/>
        <v>10.950858128288107</v>
      </c>
      <c r="O561" s="36">
        <f>1/M561-(G561/100-(((E561/E441)^(1/10))-1))</f>
        <v>0.10721879004303461</v>
      </c>
      <c r="R561" s="30"/>
      <c r="S561" s="30"/>
    </row>
    <row r="562" spans="1:19" ht="13" x14ac:dyDescent="0.3">
      <c r="A562" s="52" t="s">
        <v>578</v>
      </c>
      <c r="B562" s="6">
        <v>8.1199999999999992</v>
      </c>
      <c r="C562" s="1">
        <v>0.65749999999999997</v>
      </c>
      <c r="D562" s="6">
        <v>1.343</v>
      </c>
      <c r="E562" s="6">
        <v>13.3</v>
      </c>
      <c r="F562" s="1">
        <f t="shared" si="40"/>
        <v>1917.708333333291</v>
      </c>
      <c r="G562" s="17">
        <f>G554*4/12+G566*8/12</f>
        <v>4.456666666666667</v>
      </c>
      <c r="H562" s="1">
        <f>B562*$E$1867/E562</f>
        <v>204.60278421052629</v>
      </c>
      <c r="I562" s="1">
        <f>C562*$E$1867/E562</f>
        <v>16.567282095864659</v>
      </c>
      <c r="J562" s="26">
        <f t="shared" si="41"/>
        <v>2166.1445583561754</v>
      </c>
      <c r="K562" s="1">
        <f>D562*$E$1867/E562</f>
        <v>33.840091033834582</v>
      </c>
      <c r="L562" s="26">
        <f t="shared" si="39"/>
        <v>358.26750515669255</v>
      </c>
      <c r="M562" s="10">
        <f t="shared" si="37"/>
        <v>7.9508232642170631</v>
      </c>
      <c r="N562" s="4">
        <f t="shared" si="38"/>
        <v>10.172312597694519</v>
      </c>
      <c r="O562" s="36">
        <f>1/M562-(G562/100-(((E562/E442)^(1/10))-1))</f>
        <v>0.11842264421516827</v>
      </c>
      <c r="R562" s="30"/>
      <c r="S562" s="30"/>
    </row>
    <row r="563" spans="1:19" ht="13" x14ac:dyDescent="0.3">
      <c r="A563" s="52" t="s">
        <v>579</v>
      </c>
      <c r="B563" s="6">
        <v>7.68</v>
      </c>
      <c r="C563" s="1">
        <v>0.66830000000000001</v>
      </c>
      <c r="D563" s="6">
        <v>1.3220000000000001</v>
      </c>
      <c r="E563" s="6">
        <v>13.5</v>
      </c>
      <c r="F563" s="1">
        <f t="shared" si="40"/>
        <v>1917.7916666666242</v>
      </c>
      <c r="G563" s="17">
        <f>G554*3/12+G566*9/12</f>
        <v>4.4850000000000003</v>
      </c>
      <c r="H563" s="1">
        <f>B563*$E$1867/E563</f>
        <v>190.6490311111111</v>
      </c>
      <c r="I563" s="1">
        <f>C563*$E$1867/E563</f>
        <v>16.589941079629629</v>
      </c>
      <c r="J563" s="26">
        <f t="shared" si="41"/>
        <v>2033.0517354313733</v>
      </c>
      <c r="K563" s="1">
        <f>D563*$E$1867/E563</f>
        <v>32.817450407407414</v>
      </c>
      <c r="L563" s="26">
        <f t="shared" si="39"/>
        <v>349.96020758336931</v>
      </c>
      <c r="M563" s="10">
        <f t="shared" si="37"/>
        <v>7.3871337111081452</v>
      </c>
      <c r="N563" s="4">
        <f t="shared" si="38"/>
        <v>9.4718247309048547</v>
      </c>
      <c r="O563" s="36">
        <f>1/M563-(G563/100-(((E563/E443)^(1/10))-1))</f>
        <v>0.1282208558476027</v>
      </c>
      <c r="R563" s="30"/>
      <c r="S563" s="30"/>
    </row>
    <row r="564" spans="1:19" ht="13" x14ac:dyDescent="0.3">
      <c r="A564" s="52" t="s">
        <v>580</v>
      </c>
      <c r="B564" s="6">
        <v>7.04</v>
      </c>
      <c r="C564" s="1">
        <v>0.67920000000000003</v>
      </c>
      <c r="D564" s="6">
        <v>1.3009999999999999</v>
      </c>
      <c r="E564" s="6">
        <v>13.5</v>
      </c>
      <c r="F564" s="1">
        <f t="shared" si="40"/>
        <v>1917.8749999999575</v>
      </c>
      <c r="G564" s="17">
        <f>G554*2/12+G566*10/12</f>
        <v>4.5133333333333336</v>
      </c>
      <c r="H564" s="1">
        <f>B564*$E$1867/E564</f>
        <v>174.76161185185185</v>
      </c>
      <c r="I564" s="1">
        <f>C564*$E$1867/E564</f>
        <v>16.86052368888889</v>
      </c>
      <c r="J564" s="26">
        <f t="shared" si="41"/>
        <v>1878.6139252164432</v>
      </c>
      <c r="K564" s="1">
        <f>D564*$E$1867/E564</f>
        <v>32.296144462962964</v>
      </c>
      <c r="L564" s="26">
        <f t="shared" si="39"/>
        <v>347.16998816855011</v>
      </c>
      <c r="M564" s="10">
        <f t="shared" si="37"/>
        <v>6.7530136047743081</v>
      </c>
      <c r="N564" s="4">
        <f t="shared" si="38"/>
        <v>8.6855669996580573</v>
      </c>
      <c r="O564" s="36">
        <f>1/M564-(G564/100-(((E564/E444)^(1/10))-1))</f>
        <v>0.14498243667172828</v>
      </c>
      <c r="R564" s="30"/>
      <c r="S564" s="30"/>
    </row>
    <row r="565" spans="1:19" ht="13" x14ac:dyDescent="0.3">
      <c r="A565" s="52" t="s">
        <v>581</v>
      </c>
      <c r="B565" s="6">
        <v>6.8</v>
      </c>
      <c r="C565" s="1">
        <v>0.69</v>
      </c>
      <c r="D565" s="6">
        <v>1.28</v>
      </c>
      <c r="E565" s="6">
        <v>13.7</v>
      </c>
      <c r="F565" s="1">
        <f t="shared" si="40"/>
        <v>1917.9583333332907</v>
      </c>
      <c r="G565" s="17">
        <f>G554*1/12+G566*11/12</f>
        <v>4.541666666666667</v>
      </c>
      <c r="H565" s="1">
        <f>B565*$E$1867/E565</f>
        <v>166.33954014598538</v>
      </c>
      <c r="I565" s="1">
        <f>C565*$E$1867/E565</f>
        <v>16.87857098540146</v>
      </c>
      <c r="J565" s="26">
        <f t="shared" si="41"/>
        <v>1803.1999874991573</v>
      </c>
      <c r="K565" s="1">
        <f>D565*$E$1867/E565</f>
        <v>31.310972262773728</v>
      </c>
      <c r="L565" s="26">
        <f t="shared" si="39"/>
        <v>339.42587999984147</v>
      </c>
      <c r="M565" s="10">
        <f t="shared" si="37"/>
        <v>6.4125938981198178</v>
      </c>
      <c r="N565" s="4">
        <f t="shared" si="38"/>
        <v>8.2763996429386566</v>
      </c>
      <c r="O565" s="36">
        <f>1/M565-(G565/100-(((E565/E445)^(1/10))-1))</f>
        <v>0.15633999923668379</v>
      </c>
      <c r="R565" s="30"/>
      <c r="S565" s="30"/>
    </row>
    <row r="566" spans="1:19" ht="13" x14ac:dyDescent="0.3">
      <c r="A566" s="52" t="s">
        <v>582</v>
      </c>
      <c r="B566" s="6">
        <v>7.21</v>
      </c>
      <c r="C566" s="1">
        <v>0.68</v>
      </c>
      <c r="D566" s="6">
        <v>1.256</v>
      </c>
      <c r="E566" s="6">
        <v>14</v>
      </c>
      <c r="F566" s="1">
        <f t="shared" si="40"/>
        <v>1918.041666666624</v>
      </c>
      <c r="G566" s="17">
        <v>4.57</v>
      </c>
      <c r="H566" s="1">
        <f>B566*$E$1867/E566</f>
        <v>172.58950374999998</v>
      </c>
      <c r="I566" s="1">
        <f>C566*$E$1867/E566</f>
        <v>16.277512142857145</v>
      </c>
      <c r="J566" s="26">
        <f t="shared" si="41"/>
        <v>1885.6572418294759</v>
      </c>
      <c r="K566" s="1">
        <f>D566*$E$1867/E566</f>
        <v>30.065522428571427</v>
      </c>
      <c r="L566" s="26">
        <f t="shared" si="39"/>
        <v>328.48619913145933</v>
      </c>
      <c r="M566" s="10">
        <f t="shared" si="37"/>
        <v>6.6406460286553504</v>
      </c>
      <c r="N566" s="4">
        <f t="shared" si="38"/>
        <v>8.595793073444522</v>
      </c>
      <c r="O566" s="36">
        <f>1/M566-(G566/100-(((E566/E446)^(1/10))-1))</f>
        <v>0.15411544909528269</v>
      </c>
      <c r="R566" s="30"/>
      <c r="S566" s="30"/>
    </row>
    <row r="567" spans="1:19" ht="13" x14ac:dyDescent="0.3">
      <c r="A567" s="52" t="s">
        <v>583</v>
      </c>
      <c r="B567" s="6">
        <v>7.43</v>
      </c>
      <c r="C567" s="1">
        <v>0.67</v>
      </c>
      <c r="D567" s="6">
        <v>1.232</v>
      </c>
      <c r="E567" s="6">
        <v>14.1</v>
      </c>
      <c r="F567" s="1">
        <f t="shared" si="40"/>
        <v>1918.1249999999573</v>
      </c>
      <c r="G567" s="17">
        <f>G566*11/12+G578*1/12</f>
        <v>4.5641666666666669</v>
      </c>
      <c r="H567" s="1">
        <f>B567*$E$1867/E567</f>
        <v>176.59436932624112</v>
      </c>
      <c r="I567" s="1">
        <f>C567*$E$1867/E567</f>
        <v>15.924391312056738</v>
      </c>
      <c r="J567" s="26">
        <f t="shared" si="41"/>
        <v>1943.9118413727861</v>
      </c>
      <c r="K567" s="1">
        <f>D567*$E$1867/E567</f>
        <v>29.281865815602835</v>
      </c>
      <c r="L567" s="26">
        <f t="shared" si="39"/>
        <v>322.32831609303804</v>
      </c>
      <c r="M567" s="10">
        <f t="shared" si="37"/>
        <v>6.7843435516302808</v>
      </c>
      <c r="N567" s="4">
        <f t="shared" si="38"/>
        <v>8.8052311600834017</v>
      </c>
      <c r="O567" s="36">
        <f>1/M567-(G567/100-(((E567/E447)^(1/10))-1))</f>
        <v>0.15289235664348774</v>
      </c>
      <c r="R567" s="30"/>
      <c r="S567" s="30"/>
    </row>
    <row r="568" spans="1:19" ht="13" x14ac:dyDescent="0.3">
      <c r="A568" s="52" t="s">
        <v>584</v>
      </c>
      <c r="B568" s="6">
        <v>7.28</v>
      </c>
      <c r="C568" s="1">
        <v>0.66</v>
      </c>
      <c r="D568" s="6">
        <v>1.208</v>
      </c>
      <c r="E568" s="6">
        <v>14</v>
      </c>
      <c r="F568" s="1">
        <f t="shared" si="40"/>
        <v>1918.2083333332905</v>
      </c>
      <c r="G568" s="17">
        <f>G566*10/12+G578*2/12</f>
        <v>4.5583333333333336</v>
      </c>
      <c r="H568" s="1">
        <f>B568*$E$1867/E568</f>
        <v>174.26513</v>
      </c>
      <c r="I568" s="1">
        <f>C568*$E$1867/E568</f>
        <v>15.798761785714287</v>
      </c>
      <c r="J568" s="26">
        <f t="shared" si="41"/>
        <v>1932.7645291887941</v>
      </c>
      <c r="K568" s="1">
        <f>D568*$E$1867/E568</f>
        <v>28.916521571428571</v>
      </c>
      <c r="L568" s="26">
        <f t="shared" si="39"/>
        <v>320.71147682143726</v>
      </c>
      <c r="M568" s="10">
        <f t="shared" si="37"/>
        <v>6.6863557604558936</v>
      </c>
      <c r="N568" s="4">
        <f t="shared" si="38"/>
        <v>8.7019899189195975</v>
      </c>
      <c r="O568" s="36">
        <f>1/M568-(G568/100-(((E568/E448)^(1/10))-1))</f>
        <v>0.15436291759318099</v>
      </c>
      <c r="R568" s="30"/>
      <c r="S568" s="30"/>
    </row>
    <row r="569" spans="1:19" ht="13" x14ac:dyDescent="0.3">
      <c r="A569" s="52" t="s">
        <v>585</v>
      </c>
      <c r="B569" s="6">
        <v>7.21</v>
      </c>
      <c r="C569" s="1">
        <v>0.65</v>
      </c>
      <c r="D569" s="6">
        <v>1.1830000000000001</v>
      </c>
      <c r="E569" s="6">
        <v>14.2</v>
      </c>
      <c r="F569" s="1">
        <f t="shared" si="40"/>
        <v>1918.2916666666238</v>
      </c>
      <c r="G569" s="17">
        <f>G566*9/12+G578*3/12</f>
        <v>4.5525000000000002</v>
      </c>
      <c r="H569" s="1">
        <f>B569*$E$1867/E569</f>
        <v>170.15866566901408</v>
      </c>
      <c r="I569" s="1">
        <f>C569*$E$1867/E569</f>
        <v>15.34024031690141</v>
      </c>
      <c r="J569" s="26">
        <f t="shared" si="41"/>
        <v>1901.3981131431381</v>
      </c>
      <c r="K569" s="1">
        <f>D569*$E$1867/E569</f>
        <v>27.919237376760567</v>
      </c>
      <c r="L569" s="26">
        <f t="shared" si="39"/>
        <v>311.97697196232076</v>
      </c>
      <c r="M569" s="10">
        <f t="shared" si="37"/>
        <v>6.5207277305471596</v>
      </c>
      <c r="N569" s="4">
        <f t="shared" si="38"/>
        <v>8.5097432226761729</v>
      </c>
      <c r="O569" s="36">
        <f>1/M569-(G569/100-(((E569/E449)^(1/10))-1))</f>
        <v>0.15854915404352549</v>
      </c>
      <c r="R569" s="30"/>
      <c r="S569" s="30"/>
    </row>
    <row r="570" spans="1:19" ht="13" x14ac:dyDescent="0.3">
      <c r="A570" s="52" t="s">
        <v>586</v>
      </c>
      <c r="B570" s="6">
        <v>7.44</v>
      </c>
      <c r="C570" s="1">
        <v>0.64</v>
      </c>
      <c r="D570" s="6">
        <v>1.159</v>
      </c>
      <c r="E570" s="6">
        <v>14.5</v>
      </c>
      <c r="F570" s="1">
        <f t="shared" si="40"/>
        <v>1918.374999999957</v>
      </c>
      <c r="G570" s="17">
        <f>G566*8/12+G578*4/12</f>
        <v>4.5466666666666669</v>
      </c>
      <c r="H570" s="1">
        <f>B570*$E$1867/E570</f>
        <v>171.95392137931037</v>
      </c>
      <c r="I570" s="1">
        <f>C570*$E$1867/E570</f>
        <v>14.791735172413794</v>
      </c>
      <c r="J570" s="26">
        <f t="shared" si="41"/>
        <v>1935.2326751960084</v>
      </c>
      <c r="K570" s="1">
        <f>D570*$E$1867/E570</f>
        <v>26.786907913793101</v>
      </c>
      <c r="L570" s="26">
        <f t="shared" si="39"/>
        <v>301.46971378389424</v>
      </c>
      <c r="M570" s="10">
        <f t="shared" ref="M570:M633" si="42">H570/AVERAGE(K450:K569)</f>
        <v>6.5823632316210823</v>
      </c>
      <c r="N570" s="4">
        <f t="shared" ref="N570:N633" si="43">J570/AVERAGE(L450:L569)</f>
        <v>8.6117930242140499</v>
      </c>
      <c r="O570" s="36">
        <f>1/M570-(G570/100-(((E570/E450)^(1/10))-1))</f>
        <v>0.15937049095408246</v>
      </c>
      <c r="R570" s="30"/>
      <c r="S570" s="30"/>
    </row>
    <row r="571" spans="1:19" ht="13" x14ac:dyDescent="0.3">
      <c r="A571" s="52" t="s">
        <v>587</v>
      </c>
      <c r="B571" s="6">
        <v>7.45</v>
      </c>
      <c r="C571" s="1">
        <v>0.63</v>
      </c>
      <c r="D571" s="6">
        <v>1.135</v>
      </c>
      <c r="E571" s="6">
        <v>14.7</v>
      </c>
      <c r="F571" s="1">
        <f t="shared" si="40"/>
        <v>1918.4583333332903</v>
      </c>
      <c r="G571" s="17">
        <f>G566*7/12+G578*5/12</f>
        <v>4.5408333333333335</v>
      </c>
      <c r="H571" s="1">
        <f>B571*$E$1867/E571</f>
        <v>169.84238860544218</v>
      </c>
      <c r="I571" s="1">
        <f>C571*$E$1867/E571</f>
        <v>14.362510714285715</v>
      </c>
      <c r="J571" s="26">
        <f t="shared" si="41"/>
        <v>1924.9387902498149</v>
      </c>
      <c r="K571" s="1">
        <f>D571*$E$1867/E571</f>
        <v>25.875316921768707</v>
      </c>
      <c r="L571" s="26">
        <f t="shared" si="39"/>
        <v>293.26248683671679</v>
      </c>
      <c r="M571" s="10">
        <f t="shared" si="42"/>
        <v>6.496291318641056</v>
      </c>
      <c r="N571" s="4">
        <f t="shared" si="43"/>
        <v>8.5204377107995199</v>
      </c>
      <c r="O571" s="36">
        <f>1/M571-(G571/100-(((E571/E451)^(1/10))-1))</f>
        <v>0.1628850485196715</v>
      </c>
      <c r="R571" s="30"/>
      <c r="S571" s="30"/>
    </row>
    <row r="572" spans="1:19" ht="13" x14ac:dyDescent="0.3">
      <c r="A572" s="52" t="s">
        <v>588</v>
      </c>
      <c r="B572" s="6">
        <v>7.51</v>
      </c>
      <c r="C572" s="1">
        <v>0.62</v>
      </c>
      <c r="D572" s="6">
        <v>1.111</v>
      </c>
      <c r="E572" s="6">
        <v>15.1</v>
      </c>
      <c r="F572" s="1">
        <f t="shared" si="40"/>
        <v>1918.5416666666235</v>
      </c>
      <c r="G572" s="17">
        <f>G566*6/12+G578*6/12</f>
        <v>4.5350000000000001</v>
      </c>
      <c r="H572" s="1">
        <f>B572*$E$1867/E572</f>
        <v>166.6748759933775</v>
      </c>
      <c r="I572" s="1">
        <f>C572*$E$1867/E572</f>
        <v>13.760109602649006</v>
      </c>
      <c r="J572" s="26">
        <f t="shared" si="41"/>
        <v>1902.0352783537362</v>
      </c>
      <c r="K572" s="1">
        <f>D572*$E$1867/E572</f>
        <v>24.657228658940397</v>
      </c>
      <c r="L572" s="26">
        <f t="shared" si="39"/>
        <v>281.37965302942757</v>
      </c>
      <c r="M572" s="10">
        <f t="shared" si="42"/>
        <v>6.3713240938489895</v>
      </c>
      <c r="N572" s="4">
        <f t="shared" si="43"/>
        <v>8.3767541875861706</v>
      </c>
      <c r="O572" s="36">
        <f>1/M572-(G572/100-(((E572/E452)^(1/10))-1))</f>
        <v>0.16764209330860852</v>
      </c>
      <c r="R572" s="30"/>
      <c r="S572" s="30"/>
    </row>
    <row r="573" spans="1:19" ht="13" x14ac:dyDescent="0.3">
      <c r="A573" s="52" t="s">
        <v>589</v>
      </c>
      <c r="B573" s="6">
        <v>7.58</v>
      </c>
      <c r="C573" s="1">
        <v>0.61</v>
      </c>
      <c r="D573" s="6">
        <v>1.087</v>
      </c>
      <c r="E573" s="6">
        <v>15.4</v>
      </c>
      <c r="F573" s="1">
        <f t="shared" si="40"/>
        <v>1918.6249999999568</v>
      </c>
      <c r="G573" s="17">
        <f>G566*5/12+G578*7/12</f>
        <v>4.5291666666666668</v>
      </c>
      <c r="H573" s="1">
        <f>B573*$E$1867/E573</f>
        <v>164.95125941558439</v>
      </c>
      <c r="I573" s="1">
        <f>C573*$E$1867/E573</f>
        <v>13.274441720779221</v>
      </c>
      <c r="J573" s="26">
        <f t="shared" si="41"/>
        <v>1894.9895763993311</v>
      </c>
      <c r="K573" s="1">
        <f>D573*$E$1867/E573</f>
        <v>23.65461991883117</v>
      </c>
      <c r="L573" s="26">
        <f t="shared" si="39"/>
        <v>271.74850521716007</v>
      </c>
      <c r="M573" s="10">
        <f t="shared" si="42"/>
        <v>6.3030737609145921</v>
      </c>
      <c r="N573" s="4">
        <f t="shared" si="43"/>
        <v>8.3067830935780922</v>
      </c>
      <c r="O573" s="36">
        <f>1/M573-(G573/100-(((E573/E453)^(1/10))-1))</f>
        <v>0.17147949792457631</v>
      </c>
      <c r="R573" s="30"/>
      <c r="S573" s="30"/>
    </row>
    <row r="574" spans="1:19" ht="13" x14ac:dyDescent="0.3">
      <c r="A574" s="52" t="s">
        <v>590</v>
      </c>
      <c r="B574" s="6">
        <v>7.54</v>
      </c>
      <c r="C574" s="1">
        <v>0.6</v>
      </c>
      <c r="D574" s="6">
        <v>1.0629999999999999</v>
      </c>
      <c r="E574" s="6">
        <v>15.7</v>
      </c>
      <c r="F574" s="1">
        <f t="shared" si="40"/>
        <v>1918.7083333332901</v>
      </c>
      <c r="G574" s="17">
        <f>G566*4/12+G578*8/12</f>
        <v>4.5233333333333334</v>
      </c>
      <c r="H574" s="1">
        <f>B574*$E$1867/E574</f>
        <v>160.94550222929936</v>
      </c>
      <c r="I574" s="1">
        <f>C574*$E$1867/E574</f>
        <v>12.807334394904458</v>
      </c>
      <c r="J574" s="26">
        <f t="shared" si="41"/>
        <v>1861.2318003042894</v>
      </c>
      <c r="K574" s="1">
        <f>D574*$E$1867/E574</f>
        <v>22.690327436305729</v>
      </c>
      <c r="L574" s="26">
        <f t="shared" si="39"/>
        <v>262.39912516226252</v>
      </c>
      <c r="M574" s="10">
        <f t="shared" si="42"/>
        <v>6.1491705624316797</v>
      </c>
      <c r="N574" s="4">
        <f t="shared" si="43"/>
        <v>8.1234555716579742</v>
      </c>
      <c r="O574" s="36">
        <f>1/M574-(G574/100-(((E574/E454)^(1/10))-1))</f>
        <v>0.17755205758811704</v>
      </c>
      <c r="R574" s="30"/>
      <c r="S574" s="30"/>
    </row>
    <row r="575" spans="1:19" ht="13" x14ac:dyDescent="0.3">
      <c r="A575" s="52" t="s">
        <v>591</v>
      </c>
      <c r="B575" s="6">
        <v>7.86</v>
      </c>
      <c r="C575" s="1">
        <v>0.59</v>
      </c>
      <c r="D575" s="6">
        <v>1.038</v>
      </c>
      <c r="E575" s="6">
        <v>16</v>
      </c>
      <c r="F575" s="1">
        <f t="shared" si="40"/>
        <v>1918.7916666666233</v>
      </c>
      <c r="G575" s="17">
        <f>G566*3/12+G578*9/12</f>
        <v>4.5175000000000001</v>
      </c>
      <c r="H575" s="1">
        <f>B575*$E$1867/E575</f>
        <v>164.63027906249999</v>
      </c>
      <c r="I575" s="1">
        <f>C575*$E$1867/E575</f>
        <v>12.35774359375</v>
      </c>
      <c r="J575" s="26">
        <f t="shared" si="41"/>
        <v>1915.7530045452154</v>
      </c>
      <c r="K575" s="1">
        <f>D575*$E$1867/E575</f>
        <v>21.741250593749999</v>
      </c>
      <c r="L575" s="26">
        <f t="shared" si="39"/>
        <v>252.99638914986431</v>
      </c>
      <c r="M575" s="10">
        <f t="shared" si="42"/>
        <v>6.2905153211913216</v>
      </c>
      <c r="N575" s="4">
        <f t="shared" si="43"/>
        <v>8.3278481223266834</v>
      </c>
      <c r="O575" s="36">
        <f>1/M575-(G575/100-(((E575/E455)^(1/10))-1))</f>
        <v>0.17481795180631346</v>
      </c>
      <c r="R575" s="30"/>
      <c r="S575" s="30"/>
    </row>
    <row r="576" spans="1:19" ht="13" x14ac:dyDescent="0.3">
      <c r="A576" s="52" t="s">
        <v>592</v>
      </c>
      <c r="B576" s="6">
        <v>8.06</v>
      </c>
      <c r="C576" s="1">
        <v>0.57999999999999996</v>
      </c>
      <c r="D576" s="6">
        <v>1.014</v>
      </c>
      <c r="E576" s="6">
        <v>16.3</v>
      </c>
      <c r="F576" s="1">
        <f t="shared" si="40"/>
        <v>1918.8749999999566</v>
      </c>
      <c r="G576" s="17">
        <f>G566*2/12+G578*10/12</f>
        <v>4.5116666666666667</v>
      </c>
      <c r="H576" s="1">
        <f>B576*$E$1867/E576</f>
        <v>165.71224018404908</v>
      </c>
      <c r="I576" s="1">
        <f>C576*$E$1867/E576</f>
        <v>11.924702147239262</v>
      </c>
      <c r="J576" s="26">
        <f t="shared" si="41"/>
        <v>1939.9071412525898</v>
      </c>
      <c r="K576" s="1">
        <f>D576*$E$1867/E576</f>
        <v>20.847668926380369</v>
      </c>
      <c r="L576" s="26">
        <f t="shared" si="39"/>
        <v>244.05283389951936</v>
      </c>
      <c r="M576" s="10">
        <f t="shared" si="42"/>
        <v>6.3333274953541547</v>
      </c>
      <c r="N576" s="4">
        <f t="shared" si="43"/>
        <v>8.4011602614822465</v>
      </c>
      <c r="O576" s="36">
        <f>1/M576-(G576/100-(((E576/E456)^(1/10))-1))</f>
        <v>0.17463797411724732</v>
      </c>
      <c r="R576" s="30"/>
      <c r="S576" s="30"/>
    </row>
    <row r="577" spans="1:19" ht="13" x14ac:dyDescent="0.3">
      <c r="A577" s="52" t="s">
        <v>593</v>
      </c>
      <c r="B577" s="6">
        <v>7.9</v>
      </c>
      <c r="C577" s="1">
        <v>0.56999999999999995</v>
      </c>
      <c r="D577" s="6">
        <v>0.99</v>
      </c>
      <c r="E577" s="6">
        <v>16.5</v>
      </c>
      <c r="F577" s="1">
        <f t="shared" si="40"/>
        <v>1918.9583333332898</v>
      </c>
      <c r="G577" s="17">
        <f>G566*1/12+G578*11/12</f>
        <v>4.5058333333333334</v>
      </c>
      <c r="H577" s="1">
        <f>B577*$E$1867/E577</f>
        <v>160.45390757575757</v>
      </c>
      <c r="I577" s="1">
        <f>C577*$E$1867/E577</f>
        <v>11.57705409090909</v>
      </c>
      <c r="J577" s="26">
        <f t="shared" si="41"/>
        <v>1889.644452088208</v>
      </c>
      <c r="K577" s="1">
        <f>D577*$E$1867/E577</f>
        <v>20.107514999999999</v>
      </c>
      <c r="L577" s="26">
        <f t="shared" si="39"/>
        <v>236.80354526168682</v>
      </c>
      <c r="M577" s="10">
        <f t="shared" si="42"/>
        <v>6.1345804112834319</v>
      </c>
      <c r="N577" s="4">
        <f t="shared" si="43"/>
        <v>8.1546927110037331</v>
      </c>
      <c r="O577" s="36">
        <f>1/M577-(G577/100-(((E577/E457)^(1/10))-1))</f>
        <v>0.17998283511502522</v>
      </c>
      <c r="R577" s="30"/>
      <c r="S577" s="30"/>
    </row>
    <row r="578" spans="1:19" ht="13" x14ac:dyDescent="0.3">
      <c r="A578" s="52" t="s">
        <v>594</v>
      </c>
      <c r="B578" s="6">
        <v>7.85</v>
      </c>
      <c r="C578" s="1">
        <v>0.56669999999999998</v>
      </c>
      <c r="D578" s="6">
        <v>0.98499999999999999</v>
      </c>
      <c r="E578" s="6">
        <v>16.5</v>
      </c>
      <c r="F578" s="1">
        <f t="shared" si="40"/>
        <v>1919.0416666666231</v>
      </c>
      <c r="G578" s="17">
        <v>4.5</v>
      </c>
      <c r="H578" s="1">
        <f>B578*$E$1867/E578</f>
        <v>159.4383765151515</v>
      </c>
      <c r="I578" s="1">
        <f>C578*$E$1867/E578</f>
        <v>11.510029040909091</v>
      </c>
      <c r="J578" s="26">
        <f t="shared" si="41"/>
        <v>1888.9806845749745</v>
      </c>
      <c r="K578" s="1">
        <f>D578*$E$1867/E578</f>
        <v>20.005961893939396</v>
      </c>
      <c r="L578" s="26">
        <f t="shared" si="39"/>
        <v>237.02496487978985</v>
      </c>
      <c r="M578" s="10">
        <f t="shared" si="42"/>
        <v>6.0984676399501039</v>
      </c>
      <c r="N578" s="4">
        <f t="shared" si="43"/>
        <v>8.1245805645506159</v>
      </c>
      <c r="O578" s="36">
        <f>1/M578-(G578/100-(((E578/E458)^(1/10))-1))</f>
        <v>0.1821311332968038</v>
      </c>
      <c r="R578" s="30"/>
      <c r="S578" s="30"/>
    </row>
    <row r="579" spans="1:19" ht="13" x14ac:dyDescent="0.3">
      <c r="A579" s="52" t="s">
        <v>595</v>
      </c>
      <c r="B579" s="6">
        <v>7.88</v>
      </c>
      <c r="C579" s="1">
        <v>0.56330000000000002</v>
      </c>
      <c r="D579" s="6">
        <v>0.98</v>
      </c>
      <c r="E579" s="6">
        <v>16.2</v>
      </c>
      <c r="F579" s="1">
        <f t="shared" si="40"/>
        <v>1919.1249999999563</v>
      </c>
      <c r="G579" s="17">
        <f>G578*11/12+G590*1/12</f>
        <v>4.5391666666666666</v>
      </c>
      <c r="H579" s="1">
        <f>B579*$E$1867/E579</f>
        <v>163.01154135802472</v>
      </c>
      <c r="I579" s="1">
        <f>C579*$E$1867/E579</f>
        <v>11.652842797839506</v>
      </c>
      <c r="J579" s="26">
        <f t="shared" si="41"/>
        <v>1942.8194934765841</v>
      </c>
      <c r="K579" s="1">
        <f>D579*$E$1867/E579</f>
        <v>20.273008950617282</v>
      </c>
      <c r="L579" s="26">
        <f t="shared" ref="L579:L642" si="44">K579*(J579/H579)</f>
        <v>241.61968319886444</v>
      </c>
      <c r="M579" s="10">
        <f t="shared" si="42"/>
        <v>6.2396927713649788</v>
      </c>
      <c r="N579" s="4">
        <f t="shared" si="43"/>
        <v>8.3299751954304497</v>
      </c>
      <c r="O579" s="36">
        <f>1/M579-(G579/100-(((E579/E459)^(1/10))-1))</f>
        <v>0.17495652068251058</v>
      </c>
      <c r="R579" s="30"/>
      <c r="S579" s="30"/>
    </row>
    <row r="580" spans="1:19" ht="13" x14ac:dyDescent="0.3">
      <c r="A580" s="52" t="s">
        <v>596</v>
      </c>
      <c r="B580" s="6">
        <v>8.1199999999999992</v>
      </c>
      <c r="C580" s="1">
        <v>0.56000000000000005</v>
      </c>
      <c r="D580" s="6">
        <v>0.97499999999999998</v>
      </c>
      <c r="E580" s="6">
        <v>16.399999999999999</v>
      </c>
      <c r="F580" s="1">
        <f t="shared" ref="F580:F643" si="45">F579+1/12</f>
        <v>1919.2083333332896</v>
      </c>
      <c r="G580" s="17">
        <f>G578*10/12+G590*2/12</f>
        <v>4.5783333333333331</v>
      </c>
      <c r="H580" s="1">
        <f>B580*$E$1867/E580</f>
        <v>165.92786768292683</v>
      </c>
      <c r="I580" s="1">
        <f>C580*$E$1867/E580</f>
        <v>11.443301219512197</v>
      </c>
      <c r="J580" s="26">
        <f t="shared" ref="J580:J643" si="46">J579*((H580+(I580/12))/H579)</f>
        <v>1988.9425141369945</v>
      </c>
      <c r="K580" s="1">
        <f>D580*$E$1867/E580</f>
        <v>19.923604801829267</v>
      </c>
      <c r="L580" s="26">
        <f t="shared" si="44"/>
        <v>238.8200678920652</v>
      </c>
      <c r="M580" s="10">
        <f t="shared" si="42"/>
        <v>6.356074004869142</v>
      </c>
      <c r="N580" s="4">
        <f t="shared" si="43"/>
        <v>8.5005462473323892</v>
      </c>
      <c r="O580" s="36">
        <f>1/M580-(G580/100-(((E580/E460)^(1/10))-1))</f>
        <v>0.17293190745470655</v>
      </c>
      <c r="R580" s="30"/>
      <c r="S580" s="30"/>
    </row>
    <row r="581" spans="1:19" ht="13" x14ac:dyDescent="0.3">
      <c r="A581" s="52" t="s">
        <v>597</v>
      </c>
      <c r="B581" s="6">
        <v>8.39</v>
      </c>
      <c r="C581" s="1">
        <v>0.55669999999999997</v>
      </c>
      <c r="D581" s="6">
        <v>0.97</v>
      </c>
      <c r="E581" s="6">
        <v>16.7</v>
      </c>
      <c r="F581" s="1">
        <f t="shared" si="45"/>
        <v>1919.2916666666229</v>
      </c>
      <c r="G581" s="17">
        <f>G578*9/12+G590*3/12</f>
        <v>4.6174999999999997</v>
      </c>
      <c r="H581" s="1">
        <f>B581*$E$1867/E581</f>
        <v>168.36532020958086</v>
      </c>
      <c r="I581" s="1">
        <f>C581*$E$1867/E581</f>
        <v>11.171510579341318</v>
      </c>
      <c r="J581" s="26">
        <f t="shared" si="46"/>
        <v>2029.3189585012833</v>
      </c>
      <c r="K581" s="1">
        <f>D581*$E$1867/E581</f>
        <v>19.46535883233533</v>
      </c>
      <c r="L581" s="26">
        <f t="shared" si="44"/>
        <v>234.61732893280629</v>
      </c>
      <c r="M581" s="10">
        <f t="shared" si="42"/>
        <v>6.4561395558192745</v>
      </c>
      <c r="N581" s="4">
        <f t="shared" si="43"/>
        <v>8.6477422275317508</v>
      </c>
      <c r="O581" s="36">
        <f>1/M581-(G581/100-(((E581/E461)^(1/10))-1))</f>
        <v>0.16981497465453702</v>
      </c>
      <c r="R581" s="30"/>
      <c r="S581" s="30"/>
    </row>
    <row r="582" spans="1:19" ht="13" x14ac:dyDescent="0.3">
      <c r="A582" s="52" t="s">
        <v>598</v>
      </c>
      <c r="B582" s="6">
        <v>8.9700000000000006</v>
      </c>
      <c r="C582" s="1">
        <v>0.55330000000000001</v>
      </c>
      <c r="D582" s="6">
        <v>0.96499999999999997</v>
      </c>
      <c r="E582" s="6">
        <v>16.899999999999999</v>
      </c>
      <c r="F582" s="1">
        <f t="shared" si="45"/>
        <v>1919.3749999999561</v>
      </c>
      <c r="G582" s="17">
        <f>G578*8/12+G590*4/12</f>
        <v>4.6566666666666663</v>
      </c>
      <c r="H582" s="1">
        <f>B582*$E$1867/E582</f>
        <v>177.87417115384619</v>
      </c>
      <c r="I582" s="1">
        <f>C582*$E$1867/E582</f>
        <v>10.971881705621303</v>
      </c>
      <c r="J582" s="26">
        <f t="shared" si="46"/>
        <v>2154.9502074508973</v>
      </c>
      <c r="K582" s="1">
        <f>D582*$E$1867/E582</f>
        <v>19.135850073964498</v>
      </c>
      <c r="L582" s="26">
        <f t="shared" si="44"/>
        <v>231.83132109142872</v>
      </c>
      <c r="M582" s="10">
        <f t="shared" si="42"/>
        <v>6.8290022614820316</v>
      </c>
      <c r="N582" s="4">
        <f t="shared" si="43"/>
        <v>9.1580224805396497</v>
      </c>
      <c r="O582" s="36">
        <f>1/M582-(G582/100-(((E582/E462)^(1/10))-1))</f>
        <v>0.16114095836448952</v>
      </c>
      <c r="R582" s="30"/>
      <c r="S582" s="30"/>
    </row>
    <row r="583" spans="1:19" ht="13" x14ac:dyDescent="0.3">
      <c r="A583" s="52" t="s">
        <v>599</v>
      </c>
      <c r="B583" s="6">
        <v>9.2100000000000009</v>
      </c>
      <c r="C583" s="1">
        <v>0.55000000000000004</v>
      </c>
      <c r="D583" s="6">
        <v>0.96</v>
      </c>
      <c r="E583" s="6">
        <v>16.899999999999999</v>
      </c>
      <c r="F583" s="1">
        <f t="shared" si="45"/>
        <v>1919.4583333332894</v>
      </c>
      <c r="G583" s="17">
        <f>G578*7/12+G590*5/12</f>
        <v>4.6958333333333329</v>
      </c>
      <c r="H583" s="1">
        <f>B583*$E$1867/E583</f>
        <v>182.63334630177519</v>
      </c>
      <c r="I583" s="1">
        <f>C583*$E$1867/E583</f>
        <v>10.90644304733728</v>
      </c>
      <c r="J583" s="26">
        <f t="shared" si="46"/>
        <v>2223.618724838082</v>
      </c>
      <c r="K583" s="1">
        <f>D583*$E$1867/E583</f>
        <v>19.036700591715977</v>
      </c>
      <c r="L583" s="26">
        <f t="shared" si="44"/>
        <v>231.77784754012578</v>
      </c>
      <c r="M583" s="10">
        <f t="shared" si="42"/>
        <v>7.0216152147841333</v>
      </c>
      <c r="N583" s="4">
        <f t="shared" si="43"/>
        <v>9.4259041506496626</v>
      </c>
      <c r="O583" s="36">
        <f>1/M583-(G583/100-(((E583/E463)^(1/10))-1))</f>
        <v>0.15565526932897691</v>
      </c>
      <c r="R583" s="30"/>
      <c r="S583" s="30"/>
    </row>
    <row r="584" spans="1:19" ht="13" x14ac:dyDescent="0.3">
      <c r="A584" s="52" t="s">
        <v>600</v>
      </c>
      <c r="B584" s="6">
        <v>9.51</v>
      </c>
      <c r="C584" s="1">
        <v>0.54669999999999996</v>
      </c>
      <c r="D584" s="6">
        <v>0.95499999999999996</v>
      </c>
      <c r="E584" s="6">
        <v>17.399999999999999</v>
      </c>
      <c r="F584" s="1">
        <f t="shared" si="45"/>
        <v>1919.5416666666226</v>
      </c>
      <c r="G584" s="17">
        <f>G578*6/12+G590*6/12</f>
        <v>4.7349999999999994</v>
      </c>
      <c r="H584" s="1">
        <f>B584*$E$1867/E584</f>
        <v>183.16328318965517</v>
      </c>
      <c r="I584" s="1">
        <f>C584*$E$1867/E584</f>
        <v>10.529481274425287</v>
      </c>
      <c r="J584" s="26">
        <f t="shared" si="46"/>
        <v>2240.7541875595957</v>
      </c>
      <c r="K584" s="1">
        <f>D584*$E$1867/E584</f>
        <v>18.39336860632184</v>
      </c>
      <c r="L584" s="26">
        <f t="shared" si="44"/>
        <v>225.01790211560609</v>
      </c>
      <c r="M584" s="10">
        <f t="shared" si="42"/>
        <v>7.052837165446312</v>
      </c>
      <c r="N584" s="4">
        <f t="shared" si="43"/>
        <v>9.4754185080965669</v>
      </c>
      <c r="O584" s="36">
        <f>1/M584-(G584/100-(((E584/E464)^(1/10))-1))</f>
        <v>0.15772882117381556</v>
      </c>
      <c r="R584" s="30"/>
      <c r="S584" s="30"/>
    </row>
    <row r="585" spans="1:19" ht="13" x14ac:dyDescent="0.3">
      <c r="A585" s="52" t="s">
        <v>601</v>
      </c>
      <c r="B585" s="6">
        <v>8.8699999999999992</v>
      </c>
      <c r="C585" s="1">
        <v>0.54330000000000001</v>
      </c>
      <c r="D585" s="6">
        <v>0.95</v>
      </c>
      <c r="E585" s="6">
        <v>17.7</v>
      </c>
      <c r="F585" s="1">
        <f t="shared" si="45"/>
        <v>1919.6249999999559</v>
      </c>
      <c r="G585" s="17">
        <f>G578*5/12+G590*7/12</f>
        <v>4.774166666666666</v>
      </c>
      <c r="H585" s="1">
        <f>B585*$E$1867/E585</f>
        <v>167.94129759887005</v>
      </c>
      <c r="I585" s="1">
        <f>C585*$E$1867/E585</f>
        <v>10.286641148305085</v>
      </c>
      <c r="J585" s="26">
        <f t="shared" si="46"/>
        <v>2065.0207770424204</v>
      </c>
      <c r="K585" s="1">
        <f>D585*$E$1867/E585</f>
        <v>17.986948446327684</v>
      </c>
      <c r="L585" s="26">
        <f t="shared" si="44"/>
        <v>221.16907984107095</v>
      </c>
      <c r="M585" s="10">
        <f t="shared" si="42"/>
        <v>6.4791311017052777</v>
      </c>
      <c r="N585" s="4">
        <f t="shared" si="43"/>
        <v>8.7144609504817137</v>
      </c>
      <c r="O585" s="36">
        <f>1/M585-(G585/100-(((E585/E465)^(1/10))-1))</f>
        <v>0.17064096355555289</v>
      </c>
      <c r="R585" s="30"/>
      <c r="S585" s="30"/>
    </row>
    <row r="586" spans="1:19" ht="13" x14ac:dyDescent="0.3">
      <c r="A586" s="52" t="s">
        <v>602</v>
      </c>
      <c r="B586" s="6">
        <v>9.01</v>
      </c>
      <c r="C586" s="1">
        <v>0.54</v>
      </c>
      <c r="D586" s="6">
        <v>0.94499999999999995</v>
      </c>
      <c r="E586" s="6">
        <v>17.8</v>
      </c>
      <c r="F586" s="1">
        <f t="shared" si="45"/>
        <v>1919.7083333332891</v>
      </c>
      <c r="G586" s="17">
        <f>G578*4/12+G590*8/12</f>
        <v>4.8133333333333326</v>
      </c>
      <c r="H586" s="1">
        <f>B586*$E$1867/E586</f>
        <v>169.63362373595504</v>
      </c>
      <c r="I586" s="1">
        <f>C586*$E$1867/E586</f>
        <v>10.166721067415731</v>
      </c>
      <c r="J586" s="26">
        <f t="shared" si="46"/>
        <v>2096.2473399117612</v>
      </c>
      <c r="K586" s="1">
        <f>D586*$E$1867/E586</f>
        <v>17.791761867977524</v>
      </c>
      <c r="L586" s="26">
        <f t="shared" si="44"/>
        <v>219.86167993525129</v>
      </c>
      <c r="M586" s="10">
        <f t="shared" si="42"/>
        <v>6.5584816720612613</v>
      </c>
      <c r="N586" s="4">
        <f t="shared" si="43"/>
        <v>8.8301835458236262</v>
      </c>
      <c r="O586" s="36">
        <f>1/M586-(G586/100-(((E586/E466)^(1/10))-1))</f>
        <v>0.16792341432674907</v>
      </c>
      <c r="R586" s="30"/>
      <c r="S586" s="30"/>
    </row>
    <row r="587" spans="1:19" ht="13" x14ac:dyDescent="0.3">
      <c r="A587" s="52" t="s">
        <v>603</v>
      </c>
      <c r="B587" s="6">
        <v>9.4700000000000006</v>
      </c>
      <c r="C587" s="1">
        <v>0.53669999999999995</v>
      </c>
      <c r="D587" s="6">
        <v>0.94</v>
      </c>
      <c r="E587" s="6">
        <v>18.100000000000001</v>
      </c>
      <c r="F587" s="1">
        <f t="shared" si="45"/>
        <v>1919.7916666666224</v>
      </c>
      <c r="G587" s="17">
        <f>G578*3/12+G590*9/12</f>
        <v>4.8524999999999991</v>
      </c>
      <c r="H587" s="1">
        <f>B587*$E$1867/E587</f>
        <v>175.33901201657457</v>
      </c>
      <c r="I587" s="1">
        <f>C587*$E$1867/E587</f>
        <v>9.9371116947513798</v>
      </c>
      <c r="J587" s="26">
        <f t="shared" si="46"/>
        <v>2176.9848240328815</v>
      </c>
      <c r="K587" s="1">
        <f>D587*$E$1867/E587</f>
        <v>17.404294751381212</v>
      </c>
      <c r="L587" s="26">
        <f t="shared" si="44"/>
        <v>216.08930671498504</v>
      </c>
      <c r="M587" s="10">
        <f t="shared" si="42"/>
        <v>6.7947041999493027</v>
      </c>
      <c r="N587" s="4">
        <f t="shared" si="43"/>
        <v>9.154895912259942</v>
      </c>
      <c r="O587" s="36">
        <f>1/M587-(G587/100-(((E587/E467)^(1/10))-1))</f>
        <v>0.16192257750459024</v>
      </c>
      <c r="R587" s="30"/>
      <c r="S587" s="30"/>
    </row>
    <row r="588" spans="1:19" ht="13" x14ac:dyDescent="0.3">
      <c r="A588" s="52" t="s">
        <v>604</v>
      </c>
      <c r="B588" s="6">
        <v>9.19</v>
      </c>
      <c r="C588" s="1">
        <v>0.5333</v>
      </c>
      <c r="D588" s="6">
        <v>0.93500000000000005</v>
      </c>
      <c r="E588" s="6">
        <v>18.5</v>
      </c>
      <c r="F588" s="1">
        <f t="shared" si="45"/>
        <v>1919.8749999999557</v>
      </c>
      <c r="G588" s="17">
        <f>G578*2/12+G590*10/12</f>
        <v>4.8916666666666666</v>
      </c>
      <c r="H588" s="1">
        <f>B588*$E$1867/E588</f>
        <v>166.47573229729727</v>
      </c>
      <c r="I588" s="1">
        <f>C588*$E$1867/E588</f>
        <v>9.6606646391891893</v>
      </c>
      <c r="J588" s="26">
        <f t="shared" si="46"/>
        <v>2076.9350297564392</v>
      </c>
      <c r="K588" s="1">
        <f>D588*$E$1867/E588</f>
        <v>16.937411283783785</v>
      </c>
      <c r="L588" s="26">
        <f t="shared" si="44"/>
        <v>211.30949432233635</v>
      </c>
      <c r="M588" s="10">
        <f t="shared" si="42"/>
        <v>6.4670225741331313</v>
      </c>
      <c r="N588" s="4">
        <f t="shared" si="43"/>
        <v>8.7209241391434933</v>
      </c>
      <c r="O588" s="36">
        <f>1/M588-(G588/100-(((E588/E468)^(1/10))-1))</f>
        <v>0.17028557703903743</v>
      </c>
      <c r="R588" s="30"/>
      <c r="S588" s="30"/>
    </row>
    <row r="589" spans="1:19" ht="13" x14ac:dyDescent="0.3">
      <c r="A589" s="52" t="s">
        <v>605</v>
      </c>
      <c r="B589" s="6">
        <v>8.92</v>
      </c>
      <c r="C589" s="1">
        <v>0.53</v>
      </c>
      <c r="D589" s="6">
        <v>0.93</v>
      </c>
      <c r="E589" s="6">
        <v>18.899999999999999</v>
      </c>
      <c r="F589" s="1">
        <f t="shared" si="45"/>
        <v>1919.9583333332889</v>
      </c>
      <c r="G589" s="17">
        <f>G578*1/12+G590*11/12</f>
        <v>4.9308333333333332</v>
      </c>
      <c r="H589" s="1">
        <f>B589*$E$1867/E589</f>
        <v>158.16493280423282</v>
      </c>
      <c r="I589" s="1">
        <f>C589*$E$1867/E589</f>
        <v>9.3976921957671973</v>
      </c>
      <c r="J589" s="26">
        <f t="shared" si="46"/>
        <v>1983.0206954167909</v>
      </c>
      <c r="K589" s="1">
        <f>D589*$E$1867/E589</f>
        <v>16.490290079365082</v>
      </c>
      <c r="L589" s="26">
        <f t="shared" si="44"/>
        <v>206.74991555354433</v>
      </c>
      <c r="M589" s="10">
        <f t="shared" si="42"/>
        <v>6.1607170337991777</v>
      </c>
      <c r="N589" s="4">
        <f t="shared" si="43"/>
        <v>8.3160977133829661</v>
      </c>
      <c r="O589" s="36">
        <f>1/M589-(G589/100-(((E589/E469)^(1/10))-1))</f>
        <v>0.17884105892950647</v>
      </c>
      <c r="R589" s="30"/>
      <c r="S589" s="30"/>
    </row>
    <row r="590" spans="1:19" ht="13" x14ac:dyDescent="0.3">
      <c r="A590" s="52" t="s">
        <v>606</v>
      </c>
      <c r="B590" s="6">
        <v>8.83</v>
      </c>
      <c r="C590" s="1">
        <v>0.52829999999999999</v>
      </c>
      <c r="D590" s="6">
        <v>0.91920000000000002</v>
      </c>
      <c r="E590" s="6">
        <v>19.3</v>
      </c>
      <c r="F590" s="1">
        <f t="shared" si="45"/>
        <v>1920.0416666666222</v>
      </c>
      <c r="G590" s="17">
        <v>4.97</v>
      </c>
      <c r="H590" s="1">
        <f>B590*$E$1867/E590</f>
        <v>153.32414287564768</v>
      </c>
      <c r="I590" s="1">
        <f>C590*$E$1867/E590</f>
        <v>9.1734025686528486</v>
      </c>
      <c r="J590" s="26">
        <f t="shared" si="46"/>
        <v>1931.9128684658633</v>
      </c>
      <c r="K590" s="1">
        <f>D590*$E$1867/E590</f>
        <v>15.960991181347149</v>
      </c>
      <c r="L590" s="26">
        <f t="shared" si="44"/>
        <v>201.11147323825836</v>
      </c>
      <c r="M590" s="10">
        <f t="shared" si="42"/>
        <v>5.9896677711394419</v>
      </c>
      <c r="N590" s="4">
        <f t="shared" si="43"/>
        <v>8.0935613101848372</v>
      </c>
      <c r="O590" s="36">
        <f>1/M590-(G590/100-(((E590/E470)^(1/10))-1))</f>
        <v>0.18634209615215619</v>
      </c>
      <c r="R590" s="30"/>
      <c r="S590" s="30"/>
    </row>
    <row r="591" spans="1:19" ht="13" x14ac:dyDescent="0.3">
      <c r="A591" s="52" t="s">
        <v>607</v>
      </c>
      <c r="B591" s="6">
        <v>8.1</v>
      </c>
      <c r="C591" s="1">
        <v>0.52669999999999995</v>
      </c>
      <c r="D591" s="6">
        <v>0.9083</v>
      </c>
      <c r="E591" s="6">
        <v>19.5</v>
      </c>
      <c r="F591" s="1">
        <f t="shared" si="45"/>
        <v>1920.1249999999554</v>
      </c>
      <c r="G591" s="17">
        <f>G590*11/12+G602*1/12</f>
        <v>4.9799999999999995</v>
      </c>
      <c r="H591" s="1">
        <f>B591*$E$1867/E591</f>
        <v>139.20587307692307</v>
      </c>
      <c r="I591" s="1">
        <f>C591*$E$1867/E591</f>
        <v>9.0518189320512796</v>
      </c>
      <c r="J591" s="26">
        <f t="shared" si="46"/>
        <v>1763.5245801164278</v>
      </c>
      <c r="K591" s="1">
        <f>D591*$E$1867/E591</f>
        <v>15.609962285897435</v>
      </c>
      <c r="L591" s="26">
        <f t="shared" si="44"/>
        <v>197.7542439654014</v>
      </c>
      <c r="M591" s="10">
        <f t="shared" si="42"/>
        <v>5.4553476499077735</v>
      </c>
      <c r="N591" s="4">
        <f t="shared" si="43"/>
        <v>7.3825458808385047</v>
      </c>
      <c r="O591" s="36">
        <f>1/M591-(G591/100-(((E591/E471)^(1/10))-1))</f>
        <v>0.20369703325046368</v>
      </c>
      <c r="R591" s="30"/>
      <c r="S591" s="30"/>
    </row>
    <row r="592" spans="1:19" ht="13" x14ac:dyDescent="0.3">
      <c r="A592" s="52" t="s">
        <v>608</v>
      </c>
      <c r="B592" s="6">
        <v>8.67</v>
      </c>
      <c r="C592" s="1">
        <v>0.52500000000000002</v>
      </c>
      <c r="D592" s="6">
        <v>0.89749999999999996</v>
      </c>
      <c r="E592" s="6">
        <v>19.7</v>
      </c>
      <c r="F592" s="1">
        <f t="shared" si="45"/>
        <v>1920.2083333332887</v>
      </c>
      <c r="G592" s="17">
        <f>G590*10/12+G602*2/12</f>
        <v>4.99</v>
      </c>
      <c r="H592" s="1">
        <f>B592*$E$1867/E592</f>
        <v>147.48913286802031</v>
      </c>
      <c r="I592" s="1">
        <f>C592*$E$1867/E592</f>
        <v>8.9310028553299485</v>
      </c>
      <c r="J592" s="26">
        <f t="shared" si="46"/>
        <v>1877.8892651801448</v>
      </c>
      <c r="K592" s="1">
        <f>D592*$E$1867/E592</f>
        <v>15.267762024111676</v>
      </c>
      <c r="L592" s="26">
        <f t="shared" si="44"/>
        <v>194.39511136092042</v>
      </c>
      <c r="M592" s="10">
        <f t="shared" si="42"/>
        <v>5.7988227275571607</v>
      </c>
      <c r="N592" s="4">
        <f t="shared" si="43"/>
        <v>7.8563273114693422</v>
      </c>
      <c r="O592" s="36">
        <f>1/M592-(G592/100-(((E592/E472)^(1/10))-1))</f>
        <v>0.19179383998495123</v>
      </c>
      <c r="R592" s="30"/>
      <c r="S592" s="30"/>
    </row>
    <row r="593" spans="1:19" ht="13" x14ac:dyDescent="0.3">
      <c r="A593" s="52" t="s">
        <v>609</v>
      </c>
      <c r="B593" s="6">
        <v>8.6</v>
      </c>
      <c r="C593" s="1">
        <v>0.52329999999999999</v>
      </c>
      <c r="D593" s="6">
        <v>0.88670000000000004</v>
      </c>
      <c r="E593" s="6">
        <v>20.3</v>
      </c>
      <c r="F593" s="1">
        <f t="shared" si="45"/>
        <v>1920.2916666666219</v>
      </c>
      <c r="G593" s="17">
        <f>G590*9/12+G602*3/12</f>
        <v>5</v>
      </c>
      <c r="H593" s="1">
        <f>B593*$E$1867/E593</f>
        <v>141.9742438423645</v>
      </c>
      <c r="I593" s="1">
        <f>C593*$E$1867/E593</f>
        <v>8.6389676514778309</v>
      </c>
      <c r="J593" s="26">
        <f t="shared" si="46"/>
        <v>1816.8377693381835</v>
      </c>
      <c r="K593" s="1">
        <f>D593*$E$1867/E593</f>
        <v>14.63820488546798</v>
      </c>
      <c r="L593" s="26">
        <f t="shared" si="44"/>
        <v>187.32442442699625</v>
      </c>
      <c r="M593" s="10">
        <f t="shared" si="42"/>
        <v>5.5998587255061869</v>
      </c>
      <c r="N593" s="4">
        <f t="shared" si="43"/>
        <v>7.5961153675815423</v>
      </c>
      <c r="O593" s="36">
        <f>1/M593-(G593/100-(((E593/E473)^(1/10))-1))</f>
        <v>0.20002702354681723</v>
      </c>
      <c r="R593" s="30"/>
      <c r="S593" s="30"/>
    </row>
    <row r="594" spans="1:19" ht="13" x14ac:dyDescent="0.3">
      <c r="A594" s="52" t="s">
        <v>610</v>
      </c>
      <c r="B594" s="6">
        <v>8.06</v>
      </c>
      <c r="C594" s="1">
        <v>0.52170000000000005</v>
      </c>
      <c r="D594" s="6">
        <v>0.87580000000000002</v>
      </c>
      <c r="E594" s="6">
        <v>20.6</v>
      </c>
      <c r="F594" s="1">
        <f t="shared" si="45"/>
        <v>1920.3749999999552</v>
      </c>
      <c r="G594" s="17">
        <f>G590*8/12+G602*4/12</f>
        <v>5.01</v>
      </c>
      <c r="H594" s="1">
        <f>B594*$E$1867/E594</f>
        <v>131.12182111650486</v>
      </c>
      <c r="I594" s="1">
        <f>C594*$E$1867/E594</f>
        <v>8.4871282973300968</v>
      </c>
      <c r="J594" s="26">
        <f t="shared" si="46"/>
        <v>1687.0106044853303</v>
      </c>
      <c r="K594" s="1">
        <f>D594*$E$1867/E594</f>
        <v>14.247703589805823</v>
      </c>
      <c r="L594" s="26">
        <f t="shared" si="44"/>
        <v>183.3106560059866</v>
      </c>
      <c r="M594" s="10">
        <f t="shared" si="42"/>
        <v>5.1889504620474973</v>
      </c>
      <c r="N594" s="4">
        <f t="shared" si="43"/>
        <v>7.0502187719604699</v>
      </c>
      <c r="O594" s="36">
        <f>1/M594-(G594/100-(((E594/E474)^(1/10))-1))</f>
        <v>0.21766737891949159</v>
      </c>
      <c r="R594" s="30"/>
      <c r="S594" s="30"/>
    </row>
    <row r="595" spans="1:19" ht="13" x14ac:dyDescent="0.3">
      <c r="A595" s="52" t="s">
        <v>611</v>
      </c>
      <c r="B595" s="6">
        <v>7.92</v>
      </c>
      <c r="C595" s="1">
        <v>0.52</v>
      </c>
      <c r="D595" s="6">
        <v>0.86499999999999999</v>
      </c>
      <c r="E595" s="6">
        <v>20.9</v>
      </c>
      <c r="F595" s="1">
        <f t="shared" si="45"/>
        <v>1920.4583333332885</v>
      </c>
      <c r="G595" s="17">
        <f>G590*7/12+G602*5/12</f>
        <v>5.0199999999999996</v>
      </c>
      <c r="H595" s="1">
        <f>B595*$E$1867/E595</f>
        <v>126.99483157894738</v>
      </c>
      <c r="I595" s="1">
        <f>C595*$E$1867/E595</f>
        <v>8.3380444976076564</v>
      </c>
      <c r="J595" s="26">
        <f t="shared" si="46"/>
        <v>1642.8526023479876</v>
      </c>
      <c r="K595" s="1">
        <f>D595*$E$1867/E595</f>
        <v>13.870016327751197</v>
      </c>
      <c r="L595" s="26">
        <f t="shared" si="44"/>
        <v>179.42771477664257</v>
      </c>
      <c r="M595" s="10">
        <f t="shared" si="42"/>
        <v>5.0436396804516219</v>
      </c>
      <c r="N595" s="4">
        <f t="shared" si="43"/>
        <v>6.8644453350168089</v>
      </c>
      <c r="O595" s="36">
        <f>1/M595-(G595/100-(((E595/E475)^(1/10))-1))</f>
        <v>0.22570609227300789</v>
      </c>
      <c r="R595" s="30"/>
      <c r="S595" s="30"/>
    </row>
    <row r="596" spans="1:19" ht="13" x14ac:dyDescent="0.3">
      <c r="A596" s="52" t="s">
        <v>612</v>
      </c>
      <c r="B596" s="6">
        <v>7.91</v>
      </c>
      <c r="C596" s="1">
        <v>0.51829999999999998</v>
      </c>
      <c r="D596" s="6">
        <v>0.85419999999999996</v>
      </c>
      <c r="E596" s="6">
        <v>20.8</v>
      </c>
      <c r="F596" s="1">
        <f t="shared" si="45"/>
        <v>1920.5416666666217</v>
      </c>
      <c r="G596" s="17">
        <f>G590*6/12+G602*6/12</f>
        <v>5.0299999999999994</v>
      </c>
      <c r="H596" s="1">
        <f>B596*$E$1867/E596</f>
        <v>127.4442657451923</v>
      </c>
      <c r="I596" s="1">
        <f>C596*$E$1867/E596</f>
        <v>8.3507412055288448</v>
      </c>
      <c r="J596" s="26">
        <f t="shared" si="46"/>
        <v>1657.6690097793639</v>
      </c>
      <c r="K596" s="1">
        <f>D596*$E$1867/E596</f>
        <v>13.762691757211536</v>
      </c>
      <c r="L596" s="26">
        <f t="shared" si="44"/>
        <v>179.01148775645166</v>
      </c>
      <c r="M596" s="10">
        <f t="shared" si="42"/>
        <v>5.0805929195407966</v>
      </c>
      <c r="N596" s="4">
        <f t="shared" si="43"/>
        <v>6.9264957589329388</v>
      </c>
      <c r="O596" s="36">
        <f>1/M596-(G596/100-(((E596/E476)^(1/10))-1))</f>
        <v>0.22364726750461536</v>
      </c>
      <c r="R596" s="30"/>
      <c r="S596" s="30"/>
    </row>
    <row r="597" spans="1:19" ht="13" x14ac:dyDescent="0.3">
      <c r="A597" s="52" t="s">
        <v>613</v>
      </c>
      <c r="B597" s="6">
        <v>7.6</v>
      </c>
      <c r="C597" s="1">
        <v>0.51670000000000005</v>
      </c>
      <c r="D597" s="6">
        <v>0.84330000000000005</v>
      </c>
      <c r="E597" s="6">
        <v>20.3</v>
      </c>
      <c r="F597" s="1">
        <f t="shared" si="45"/>
        <v>1920.624999999955</v>
      </c>
      <c r="G597" s="17">
        <f>G590*5/12+G602*7/12</f>
        <v>5.0399999999999991</v>
      </c>
      <c r="H597" s="1">
        <f>B597*$E$1867/E597</f>
        <v>125.46561083743842</v>
      </c>
      <c r="I597" s="1">
        <f>C597*$E$1867/E597</f>
        <v>8.5300106736453198</v>
      </c>
      <c r="J597" s="26">
        <f t="shared" si="46"/>
        <v>1641.1784517529954</v>
      </c>
      <c r="K597" s="1">
        <f>D597*$E$1867/E597</f>
        <v>13.921730213054186</v>
      </c>
      <c r="L597" s="26">
        <f t="shared" si="44"/>
        <v>182.10602478464489</v>
      </c>
      <c r="M597" s="10">
        <f t="shared" si="42"/>
        <v>5.0207010779228591</v>
      </c>
      <c r="N597" s="4">
        <f t="shared" si="43"/>
        <v>6.8578754838189084</v>
      </c>
      <c r="O597" s="36">
        <f>1/M597-(G597/100-(((E597/E477)^(1/10))-1))</f>
        <v>0.22431643473371796</v>
      </c>
      <c r="R597" s="30"/>
      <c r="S597" s="30"/>
    </row>
    <row r="598" spans="1:19" ht="13" x14ac:dyDescent="0.3">
      <c r="A598" s="52" t="s">
        <v>614</v>
      </c>
      <c r="B598" s="6">
        <v>7.87</v>
      </c>
      <c r="C598" s="1">
        <v>0.51500000000000001</v>
      </c>
      <c r="D598" s="6">
        <v>0.83250000000000002</v>
      </c>
      <c r="E598" s="6">
        <v>20</v>
      </c>
      <c r="F598" s="1">
        <f t="shared" si="45"/>
        <v>1920.7083333332882</v>
      </c>
      <c r="G598" s="17">
        <f>G590*4/12+G602*8/12</f>
        <v>5.05</v>
      </c>
      <c r="H598" s="1">
        <f>B598*$E$1867/E598</f>
        <v>131.871785875</v>
      </c>
      <c r="I598" s="1">
        <f>C598*$E$1867/E598</f>
        <v>8.6294751875000006</v>
      </c>
      <c r="J598" s="26">
        <f t="shared" si="46"/>
        <v>1734.3823616721356</v>
      </c>
      <c r="K598" s="1">
        <f>D598*$E$1867/E598</f>
        <v>13.949588531250001</v>
      </c>
      <c r="L598" s="26">
        <f t="shared" si="44"/>
        <v>183.46547853774499</v>
      </c>
      <c r="M598" s="10">
        <f t="shared" si="42"/>
        <v>5.297162770108061</v>
      </c>
      <c r="N598" s="4">
        <f t="shared" si="43"/>
        <v>7.2473452714932396</v>
      </c>
      <c r="O598" s="36">
        <f>1/M598-(G598/100-(((E598/E478)^(1/10))-1))</f>
        <v>0.2132697127200523</v>
      </c>
      <c r="R598" s="30"/>
      <c r="S598" s="30"/>
    </row>
    <row r="599" spans="1:19" ht="13" x14ac:dyDescent="0.3">
      <c r="A599" s="52" t="s">
        <v>615</v>
      </c>
      <c r="B599" s="6">
        <v>7.88</v>
      </c>
      <c r="C599" s="1">
        <v>0.51329999999999998</v>
      </c>
      <c r="D599" s="6">
        <v>0.82169999999999999</v>
      </c>
      <c r="E599" s="6">
        <v>19.899999999999999</v>
      </c>
      <c r="F599" s="1">
        <f t="shared" si="45"/>
        <v>1920.7916666666215</v>
      </c>
      <c r="G599" s="17">
        <f>G590*3/12+G602*9/12</f>
        <v>5.0600000000000005</v>
      </c>
      <c r="H599" s="1">
        <f>B599*$E$1867/E599</f>
        <v>132.70286281407036</v>
      </c>
      <c r="I599" s="1">
        <f>C599*$E$1867/E599</f>
        <v>8.6442105942211054</v>
      </c>
      <c r="J599" s="26">
        <f t="shared" si="46"/>
        <v>1754.7867949016947</v>
      </c>
      <c r="K599" s="1">
        <f>D599*$E$1867/E599</f>
        <v>13.837809945979899</v>
      </c>
      <c r="L599" s="26">
        <f t="shared" si="44"/>
        <v>182.98328799120844</v>
      </c>
      <c r="M599" s="10">
        <f t="shared" si="42"/>
        <v>5.3511773934241589</v>
      </c>
      <c r="N599" s="4">
        <f t="shared" si="43"/>
        <v>7.3327658910836142</v>
      </c>
      <c r="O599" s="36">
        <f>1/M599-(G599/100-(((E599/E479)^(1/10))-1))</f>
        <v>0.21393756305947334</v>
      </c>
      <c r="R599" s="30"/>
      <c r="S599" s="30"/>
    </row>
    <row r="600" spans="1:19" ht="13" x14ac:dyDescent="0.3">
      <c r="A600" s="52" t="s">
        <v>616</v>
      </c>
      <c r="B600" s="6">
        <v>7.48</v>
      </c>
      <c r="C600" s="1">
        <v>0.51170000000000004</v>
      </c>
      <c r="D600" s="6">
        <v>0.81079999999999997</v>
      </c>
      <c r="E600" s="6">
        <v>19.8</v>
      </c>
      <c r="F600" s="1">
        <f t="shared" si="45"/>
        <v>1920.8749999999548</v>
      </c>
      <c r="G600" s="17">
        <f>G590*2/12+G602*10/12</f>
        <v>5.0699999999999994</v>
      </c>
      <c r="H600" s="1">
        <f>B600*$E$1867/E600</f>
        <v>126.60287222222223</v>
      </c>
      <c r="I600" s="1">
        <f>C600*$E$1867/E600</f>
        <v>8.6607873952020213</v>
      </c>
      <c r="J600" s="26">
        <f t="shared" si="46"/>
        <v>1683.6677816421479</v>
      </c>
      <c r="K600" s="1">
        <f>D600*$E$1867/E600</f>
        <v>13.723209732323232</v>
      </c>
      <c r="L600" s="26">
        <f t="shared" si="44"/>
        <v>182.50238467318897</v>
      </c>
      <c r="M600" s="10">
        <f t="shared" si="42"/>
        <v>5.1264079309479271</v>
      </c>
      <c r="N600" s="4">
        <f t="shared" si="43"/>
        <v>7.0372510508450175</v>
      </c>
      <c r="O600" s="36">
        <f>1/M600-(G600/100-(((E600/E480)^(1/10))-1))</f>
        <v>0.22368938063015104</v>
      </c>
      <c r="R600" s="30"/>
      <c r="S600" s="30"/>
    </row>
    <row r="601" spans="1:19" ht="13" x14ac:dyDescent="0.3">
      <c r="A601" s="52" t="s">
        <v>617</v>
      </c>
      <c r="B601" s="6">
        <v>6.81</v>
      </c>
      <c r="C601" s="1">
        <v>0.51</v>
      </c>
      <c r="D601" s="6">
        <v>0.8</v>
      </c>
      <c r="E601" s="6">
        <v>19.399999999999999</v>
      </c>
      <c r="F601" s="1">
        <f t="shared" si="45"/>
        <v>1920.958333333288</v>
      </c>
      <c r="G601" s="17">
        <f>G590*1/12+G602*11/12</f>
        <v>5.0799999999999992</v>
      </c>
      <c r="H601" s="1">
        <f>B601*$E$1867/E601</f>
        <v>117.63932744845361</v>
      </c>
      <c r="I601" s="1">
        <f>C601*$E$1867/E601</f>
        <v>8.8099936855670116</v>
      </c>
      <c r="J601" s="26">
        <f t="shared" si="46"/>
        <v>1574.2268232766125</v>
      </c>
      <c r="K601" s="1">
        <f>D601*$E$1867/E601</f>
        <v>13.819597938144332</v>
      </c>
      <c r="L601" s="26">
        <f t="shared" si="44"/>
        <v>184.93119803543175</v>
      </c>
      <c r="M601" s="10">
        <f t="shared" si="42"/>
        <v>4.7842410450832507</v>
      </c>
      <c r="N601" s="4">
        <f t="shared" si="43"/>
        <v>6.5824249808668815</v>
      </c>
      <c r="O601" s="36">
        <f>1/M601-(G601/100-(((E601/E481)^(1/10))-1))</f>
        <v>0.23534006085393722</v>
      </c>
      <c r="R601" s="30"/>
      <c r="S601" s="30"/>
    </row>
    <row r="602" spans="1:19" ht="13" x14ac:dyDescent="0.3">
      <c r="A602" s="52" t="s">
        <v>618</v>
      </c>
      <c r="B602" s="6">
        <v>7.11</v>
      </c>
      <c r="C602" s="1">
        <v>0.50580000000000003</v>
      </c>
      <c r="D602" s="6">
        <v>0.75749999999999995</v>
      </c>
      <c r="E602" s="6">
        <v>19</v>
      </c>
      <c r="F602" s="1">
        <f t="shared" si="45"/>
        <v>1921.0416666666213</v>
      </c>
      <c r="G602" s="17">
        <v>5.09</v>
      </c>
      <c r="H602" s="1">
        <f>B602*$E$1867/E602</f>
        <v>125.40739618421053</v>
      </c>
      <c r="I602" s="1">
        <f>C602*$E$1867/E602</f>
        <v>8.921386918421053</v>
      </c>
      <c r="J602" s="26">
        <f t="shared" si="46"/>
        <v>1688.1263131424205</v>
      </c>
      <c r="K602" s="1">
        <f>D602*$E$1867/E602</f>
        <v>13.36091457236842</v>
      </c>
      <c r="L602" s="26">
        <f t="shared" si="44"/>
        <v>179.85311986011021</v>
      </c>
      <c r="M602" s="10">
        <f t="shared" si="42"/>
        <v>5.1221841468873768</v>
      </c>
      <c r="N602" s="4">
        <f t="shared" si="43"/>
        <v>7.0609227162370773</v>
      </c>
      <c r="O602" s="36">
        <f>1/M602-(G602/100-(((E602/E482)^(1/10))-1))</f>
        <v>0.21920796290222017</v>
      </c>
      <c r="R602" s="30"/>
      <c r="S602" s="30"/>
    </row>
    <row r="603" spans="1:19" ht="13" x14ac:dyDescent="0.3">
      <c r="A603" s="52" t="s">
        <v>619</v>
      </c>
      <c r="B603" s="6">
        <v>7.06</v>
      </c>
      <c r="C603" s="1">
        <v>0.50170000000000003</v>
      </c>
      <c r="D603" s="6">
        <v>0.71499999999999997</v>
      </c>
      <c r="E603" s="6">
        <v>18.399999999999999</v>
      </c>
      <c r="F603" s="1">
        <f t="shared" si="45"/>
        <v>1921.1249999999545</v>
      </c>
      <c r="G603" s="17">
        <f>G602*11/12+G614*1/12</f>
        <v>5.024166666666666</v>
      </c>
      <c r="H603" s="1">
        <f>B603*$E$1867/E603</f>
        <v>128.58610135869566</v>
      </c>
      <c r="I603" s="1">
        <f>C603*$E$1867/E603</f>
        <v>9.1376270611413055</v>
      </c>
      <c r="J603" s="26">
        <f t="shared" si="46"/>
        <v>1741.1655418691391</v>
      </c>
      <c r="K603" s="1">
        <f>D603*$E$1867/E603</f>
        <v>13.022530095108696</v>
      </c>
      <c r="L603" s="26">
        <f t="shared" si="44"/>
        <v>176.33617031677542</v>
      </c>
      <c r="M603" s="10">
        <f t="shared" si="42"/>
        <v>5.274857191205049</v>
      </c>
      <c r="N603" s="4">
        <f t="shared" si="43"/>
        <v>7.285788401716883</v>
      </c>
      <c r="O603" s="36">
        <f>1/M603-(G603/100-(((E603/E483)^(1/10))-1))</f>
        <v>0.2141431784325914</v>
      </c>
      <c r="R603" s="30"/>
      <c r="S603" s="30"/>
    </row>
    <row r="604" spans="1:19" ht="13" x14ac:dyDescent="0.3">
      <c r="A604" s="52" t="s">
        <v>620</v>
      </c>
      <c r="B604" s="6">
        <v>6.88</v>
      </c>
      <c r="C604" s="1">
        <v>0.4975</v>
      </c>
      <c r="D604" s="6">
        <v>0.67249999999999999</v>
      </c>
      <c r="E604" s="6">
        <v>18.3</v>
      </c>
      <c r="F604" s="1">
        <f t="shared" si="45"/>
        <v>1921.2083333332878</v>
      </c>
      <c r="G604" s="17">
        <f>G602*10/12+G614*2/12</f>
        <v>4.958333333333333</v>
      </c>
      <c r="H604" s="1">
        <f>B604*$E$1867/E604</f>
        <v>125.99244371584699</v>
      </c>
      <c r="I604" s="1">
        <f>C604*$E$1867/E604</f>
        <v>9.1106454576502731</v>
      </c>
      <c r="J604" s="26">
        <f t="shared" si="46"/>
        <v>1716.3256969185841</v>
      </c>
      <c r="K604" s="1">
        <f>D604*$E$1867/E604</f>
        <v>12.315395116120218</v>
      </c>
      <c r="L604" s="26">
        <f t="shared" si="44"/>
        <v>167.76584755490521</v>
      </c>
      <c r="M604" s="10">
        <f t="shared" si="42"/>
        <v>5.1923481586841778</v>
      </c>
      <c r="N604" s="4">
        <f t="shared" si="43"/>
        <v>7.1866431496339844</v>
      </c>
      <c r="O604" s="36">
        <f>1/M604-(G604/100-(((E604/E484)^(1/10))-1))</f>
        <v>0.21609205781717525</v>
      </c>
      <c r="R604" s="30"/>
      <c r="S604" s="30"/>
    </row>
    <row r="605" spans="1:19" ht="13" x14ac:dyDescent="0.3">
      <c r="A605" s="52" t="s">
        <v>621</v>
      </c>
      <c r="B605" s="6">
        <v>6.91</v>
      </c>
      <c r="C605" s="1">
        <v>0.49330000000000002</v>
      </c>
      <c r="D605" s="6">
        <v>0.63</v>
      </c>
      <c r="E605" s="6">
        <v>18.100000000000001</v>
      </c>
      <c r="F605" s="1">
        <f t="shared" si="45"/>
        <v>1921.291666666621</v>
      </c>
      <c r="G605" s="17">
        <f>G602*9/12+G614*3/12</f>
        <v>4.8925000000000001</v>
      </c>
      <c r="H605" s="1">
        <f>B605*$E$1867/E605</f>
        <v>127.94008162983424</v>
      </c>
      <c r="I605" s="1">
        <f>C605*$E$1867/E605</f>
        <v>9.1335517030386733</v>
      </c>
      <c r="J605" s="26">
        <f t="shared" si="46"/>
        <v>1753.2257415082377</v>
      </c>
      <c r="K605" s="1">
        <f>D605*$E$1867/E605</f>
        <v>11.664580524861877</v>
      </c>
      <c r="L605" s="26">
        <f t="shared" si="44"/>
        <v>159.84547281478868</v>
      </c>
      <c r="M605" s="10">
        <f t="shared" si="42"/>
        <v>5.2970859227396767</v>
      </c>
      <c r="N605" s="4">
        <f t="shared" si="43"/>
        <v>7.3471112451693346</v>
      </c>
      <c r="O605" s="36">
        <f>1/M605-(G605/100-(((E605/E485)^(1/10))-1))</f>
        <v>0.21520858180944374</v>
      </c>
      <c r="R605" s="30"/>
      <c r="S605" s="30"/>
    </row>
    <row r="606" spans="1:19" ht="13" x14ac:dyDescent="0.3">
      <c r="A606" s="52" t="s">
        <v>622</v>
      </c>
      <c r="B606" s="6">
        <v>7.12</v>
      </c>
      <c r="C606" s="1">
        <v>0.48920000000000002</v>
      </c>
      <c r="D606" s="6">
        <v>0.58750000000000002</v>
      </c>
      <c r="E606" s="6">
        <v>17.7</v>
      </c>
      <c r="F606" s="1">
        <f t="shared" si="45"/>
        <v>1921.3749999999543</v>
      </c>
      <c r="G606" s="17">
        <f>G602*8/12+G614*4/12</f>
        <v>4.8266666666666662</v>
      </c>
      <c r="H606" s="1">
        <f>B606*$E$1867/E606</f>
        <v>134.80744519774012</v>
      </c>
      <c r="I606" s="1">
        <f>C606*$E$1867/E606</f>
        <v>9.2623317683615838</v>
      </c>
      <c r="J606" s="26">
        <f t="shared" si="46"/>
        <v>1857.9097854228128</v>
      </c>
      <c r="K606" s="1">
        <f>D606*$E$1867/E606</f>
        <v>11.123507591807909</v>
      </c>
      <c r="L606" s="26">
        <f t="shared" si="44"/>
        <v>153.30365153594136</v>
      </c>
      <c r="M606" s="10">
        <f t="shared" si="42"/>
        <v>5.6094692253307787</v>
      </c>
      <c r="N606" s="4">
        <f t="shared" si="43"/>
        <v>7.7953012232006378</v>
      </c>
      <c r="O606" s="36">
        <f>1/M606-(G606/100-(((E606/E486)^(1/10))-1))</f>
        <v>0.20295342319783571</v>
      </c>
      <c r="R606" s="30"/>
      <c r="S606" s="30"/>
    </row>
    <row r="607" spans="1:19" ht="13" x14ac:dyDescent="0.3">
      <c r="A607" s="52" t="s">
        <v>623</v>
      </c>
      <c r="B607" s="6">
        <v>6.55</v>
      </c>
      <c r="C607" s="1">
        <v>0.48499999999999999</v>
      </c>
      <c r="D607" s="6">
        <v>0.54500000000000004</v>
      </c>
      <c r="E607" s="6">
        <v>17.600000000000001</v>
      </c>
      <c r="F607" s="1">
        <f t="shared" si="45"/>
        <v>1921.4583333332876</v>
      </c>
      <c r="G607" s="17">
        <f>G602*7/12+G614*5/12</f>
        <v>4.7608333333333333</v>
      </c>
      <c r="H607" s="1">
        <f>B607*$E$1867/E607</f>
        <v>124.7199083806818</v>
      </c>
      <c r="I607" s="1">
        <f>C607*$E$1867/E607</f>
        <v>9.2349855823863614</v>
      </c>
      <c r="J607" s="26">
        <f t="shared" si="46"/>
        <v>1729.4901780016328</v>
      </c>
      <c r="K607" s="1">
        <f>D607*$E$1867/E607</f>
        <v>10.377458025568183</v>
      </c>
      <c r="L607" s="26">
        <f t="shared" si="44"/>
        <v>143.90414458181527</v>
      </c>
      <c r="M607" s="10">
        <f t="shared" si="42"/>
        <v>5.2161109609893224</v>
      </c>
      <c r="N607" s="4">
        <f t="shared" si="43"/>
        <v>7.2663741034908442</v>
      </c>
      <c r="O607" s="36">
        <f>1/M607-(G607/100-(((E607/E487)^(1/10))-1))</f>
        <v>0.21644775043781003</v>
      </c>
      <c r="R607" s="30"/>
      <c r="S607" s="30"/>
    </row>
    <row r="608" spans="1:19" ht="13" x14ac:dyDescent="0.3">
      <c r="A608" s="52" t="s">
        <v>624</v>
      </c>
      <c r="B608" s="6">
        <v>6.53</v>
      </c>
      <c r="C608" s="1">
        <v>0.48080000000000001</v>
      </c>
      <c r="D608" s="6">
        <v>0.50249999999999995</v>
      </c>
      <c r="E608" s="6">
        <v>17.7</v>
      </c>
      <c r="F608" s="1">
        <f t="shared" si="45"/>
        <v>1921.5416666666208</v>
      </c>
      <c r="G608" s="17">
        <f>G602*6/12+G614*6/12</f>
        <v>4.6950000000000003</v>
      </c>
      <c r="H608" s="1">
        <f>B608*$E$1867/E608</f>
        <v>123.63660353107346</v>
      </c>
      <c r="I608" s="1">
        <f>C608*$E$1867/E608</f>
        <v>9.1032892768361577</v>
      </c>
      <c r="J608" s="26">
        <f t="shared" si="46"/>
        <v>1724.9876010795738</v>
      </c>
      <c r="K608" s="1">
        <f>D608*$E$1867/E608</f>
        <v>9.5141490466101679</v>
      </c>
      <c r="L608" s="26">
        <f t="shared" si="44"/>
        <v>132.74215460068692</v>
      </c>
      <c r="M608" s="10">
        <f t="shared" si="42"/>
        <v>5.1977793619054724</v>
      </c>
      <c r="N608" s="4">
        <f t="shared" si="43"/>
        <v>7.2590804721952749</v>
      </c>
      <c r="O608" s="36">
        <f>1/M608-(G608/100-(((E608/E488)^(1/10))-1))</f>
        <v>0.21723137134873216</v>
      </c>
      <c r="R608" s="30"/>
      <c r="S608" s="30"/>
    </row>
    <row r="609" spans="1:19" ht="13" x14ac:dyDescent="0.3">
      <c r="A609" s="52" t="s">
        <v>625</v>
      </c>
      <c r="B609" s="6">
        <v>6.45</v>
      </c>
      <c r="C609" s="1">
        <v>0.47670000000000001</v>
      </c>
      <c r="D609" s="6">
        <v>0.46</v>
      </c>
      <c r="E609" s="6">
        <v>17.7</v>
      </c>
      <c r="F609" s="1">
        <f t="shared" si="45"/>
        <v>1921.6249999999541</v>
      </c>
      <c r="G609" s="17">
        <f>G602*5/12+G614*7/12</f>
        <v>4.6291666666666664</v>
      </c>
      <c r="H609" s="1">
        <f>B609*$E$1867/E609</f>
        <v>122.12191313559322</v>
      </c>
      <c r="I609" s="1">
        <f>C609*$E$1867/E609</f>
        <v>9.0256613940677966</v>
      </c>
      <c r="J609" s="26">
        <f t="shared" si="46"/>
        <v>1714.3484164496381</v>
      </c>
      <c r="K609" s="1">
        <f>D609*$E$1867/E609</f>
        <v>8.7094697740112998</v>
      </c>
      <c r="L609" s="26">
        <f t="shared" si="44"/>
        <v>122.26360799485792</v>
      </c>
      <c r="M609" s="10">
        <f t="shared" si="42"/>
        <v>5.1612948232157319</v>
      </c>
      <c r="N609" s="4">
        <f t="shared" si="43"/>
        <v>7.2275602020151331</v>
      </c>
      <c r="O609" s="36">
        <f>1/M609-(G609/100-(((E609/E489)^(1/10))-1))</f>
        <v>0.21585157871859106</v>
      </c>
      <c r="R609" s="30"/>
      <c r="S609" s="30"/>
    </row>
    <row r="610" spans="1:19" ht="13" x14ac:dyDescent="0.3">
      <c r="A610" s="52" t="s">
        <v>626</v>
      </c>
      <c r="B610" s="6">
        <v>6.61</v>
      </c>
      <c r="C610" s="1">
        <v>0.47249999999999998</v>
      </c>
      <c r="D610" s="6">
        <v>0.41749999999999998</v>
      </c>
      <c r="E610" s="6">
        <v>17.5</v>
      </c>
      <c r="F610" s="1">
        <f t="shared" si="45"/>
        <v>1921.7083333332873</v>
      </c>
      <c r="G610" s="17">
        <f>G602*4/12+G614*8/12</f>
        <v>4.5633333333333335</v>
      </c>
      <c r="H610" s="1">
        <f>B610*$E$1867/E610</f>
        <v>126.58159442857144</v>
      </c>
      <c r="I610" s="1">
        <f>C610*$E$1867/E610</f>
        <v>9.048381749999999</v>
      </c>
      <c r="J610" s="26">
        <f t="shared" si="46"/>
        <v>1787.5385637107215</v>
      </c>
      <c r="K610" s="1">
        <f>D610*$E$1867/E610</f>
        <v>7.995130964285714</v>
      </c>
      <c r="L610" s="26">
        <f t="shared" si="44"/>
        <v>112.90428900896009</v>
      </c>
      <c r="M610" s="10">
        <f t="shared" si="42"/>
        <v>5.3775244254582608</v>
      </c>
      <c r="N610" s="4">
        <f t="shared" si="43"/>
        <v>7.5505875789303625</v>
      </c>
      <c r="O610" s="36">
        <f>1/M610-(G610/100-(((E610/E490)^(1/10))-1))</f>
        <v>0.20640123633622973</v>
      </c>
      <c r="R610" s="30"/>
      <c r="S610" s="30"/>
    </row>
    <row r="611" spans="1:19" ht="13" x14ac:dyDescent="0.3">
      <c r="A611" s="52" t="s">
        <v>627</v>
      </c>
      <c r="B611" s="6">
        <v>6.7</v>
      </c>
      <c r="C611" s="1">
        <v>0.46829999999999999</v>
      </c>
      <c r="D611" s="6">
        <v>0.375</v>
      </c>
      <c r="E611" s="6">
        <v>17.5</v>
      </c>
      <c r="F611" s="1">
        <f t="shared" si="45"/>
        <v>1921.7916666666206</v>
      </c>
      <c r="G611" s="17">
        <f>G602*3/12+G614*9/12</f>
        <v>4.4974999999999996</v>
      </c>
      <c r="H611" s="1">
        <f>B611*$E$1867/E611</f>
        <v>128.30509571428573</v>
      </c>
      <c r="I611" s="1">
        <f>C611*$E$1867/E611</f>
        <v>8.9679516899999996</v>
      </c>
      <c r="J611" s="26">
        <f t="shared" si="46"/>
        <v>1822.4307215295985</v>
      </c>
      <c r="K611" s="1">
        <f>D611*$E$1867/E611</f>
        <v>7.1812553571428568</v>
      </c>
      <c r="L611" s="26">
        <f t="shared" si="44"/>
        <v>102.0017194885969</v>
      </c>
      <c r="M611" s="10">
        <f t="shared" si="42"/>
        <v>5.47925767805335</v>
      </c>
      <c r="N611" s="4">
        <f t="shared" si="43"/>
        <v>7.7141620987324941</v>
      </c>
      <c r="O611" s="36">
        <f>1/M611-(G611/100-(((E611/E491)^(1/10))-1))</f>
        <v>0.20360686991963528</v>
      </c>
      <c r="R611" s="30"/>
      <c r="S611" s="30"/>
    </row>
    <row r="612" spans="1:19" ht="13" x14ac:dyDescent="0.3">
      <c r="A612" s="52" t="s">
        <v>628</v>
      </c>
      <c r="B612" s="6">
        <v>7.06</v>
      </c>
      <c r="C612" s="1">
        <v>0.4642</v>
      </c>
      <c r="D612" s="6">
        <v>0.33250000000000002</v>
      </c>
      <c r="E612" s="6">
        <v>17.399999999999999</v>
      </c>
      <c r="F612" s="1">
        <f t="shared" si="45"/>
        <v>1921.8749999999538</v>
      </c>
      <c r="G612" s="17">
        <f>G602*2/12+G614*10/12</f>
        <v>4.4316666666666666</v>
      </c>
      <c r="H612" s="1">
        <f>B612*$E$1867/E612</f>
        <v>135.97610718390806</v>
      </c>
      <c r="I612" s="1">
        <f>C612*$E$1867/E612</f>
        <v>8.9405253477011506</v>
      </c>
      <c r="J612" s="26">
        <f t="shared" si="46"/>
        <v>1941.9713956840283</v>
      </c>
      <c r="K612" s="1">
        <f>D612*$E$1867/E612</f>
        <v>6.4039738864942537</v>
      </c>
      <c r="L612" s="26">
        <f t="shared" si="44"/>
        <v>91.459701000699638</v>
      </c>
      <c r="M612" s="10">
        <f t="shared" si="42"/>
        <v>5.8381969932008948</v>
      </c>
      <c r="N612" s="4">
        <f t="shared" si="43"/>
        <v>8.2399460787630918</v>
      </c>
      <c r="O612" s="36">
        <f>1/M612-(G612/100-(((E612/E492)^(1/10))-1))</f>
        <v>0.19353770826111427</v>
      </c>
      <c r="R612" s="30"/>
      <c r="S612" s="30"/>
    </row>
    <row r="613" spans="1:19" ht="13" x14ac:dyDescent="0.3">
      <c r="A613" s="52" t="s">
        <v>629</v>
      </c>
      <c r="B613" s="6">
        <v>7.31</v>
      </c>
      <c r="C613" s="1">
        <v>0.46</v>
      </c>
      <c r="D613" s="6">
        <v>0.28999999999999998</v>
      </c>
      <c r="E613" s="6">
        <v>17.3</v>
      </c>
      <c r="F613" s="1">
        <f t="shared" si="45"/>
        <v>1921.9583333332871</v>
      </c>
      <c r="G613" s="17">
        <f>G602*1/12+G614*11/12</f>
        <v>4.3658333333333328</v>
      </c>
      <c r="H613" s="1">
        <f>B613*$E$1867/E613</f>
        <v>141.60494667630056</v>
      </c>
      <c r="I613" s="1">
        <f>C613*$E$1867/E613</f>
        <v>8.9108447976878598</v>
      </c>
      <c r="J613" s="26">
        <f t="shared" si="46"/>
        <v>2032.9660271459786</v>
      </c>
      <c r="K613" s="1">
        <f>D613*$E$1867/E613</f>
        <v>5.6177065028901723</v>
      </c>
      <c r="L613" s="26">
        <f t="shared" si="44"/>
        <v>80.651183019471105</v>
      </c>
      <c r="M613" s="10">
        <f t="shared" si="42"/>
        <v>6.1141588494172723</v>
      </c>
      <c r="N613" s="4">
        <f t="shared" si="43"/>
        <v>8.6498527940779368</v>
      </c>
      <c r="O613" s="36">
        <f>1/M613-(G613/100-(((E613/E493)^(1/10))-1))</f>
        <v>0.18696752320380897</v>
      </c>
      <c r="R613" s="30"/>
      <c r="S613" s="30"/>
    </row>
    <row r="614" spans="1:19" ht="13" x14ac:dyDescent="0.3">
      <c r="A614" s="52" t="s">
        <v>630</v>
      </c>
      <c r="B614" s="6">
        <v>7.3</v>
      </c>
      <c r="C614" s="1">
        <v>0.4642</v>
      </c>
      <c r="D614" s="6">
        <v>0.32329999999999998</v>
      </c>
      <c r="E614" s="6">
        <v>16.899999999999999</v>
      </c>
      <c r="F614" s="1">
        <f t="shared" si="45"/>
        <v>1922.0416666666204</v>
      </c>
      <c r="G614" s="17">
        <v>4.3</v>
      </c>
      <c r="H614" s="1">
        <f>B614*$E$1867/E614</f>
        <v>144.75824408284024</v>
      </c>
      <c r="I614" s="1">
        <f>C614*$E$1867/E614</f>
        <v>9.2050379319526634</v>
      </c>
      <c r="J614" s="26">
        <f t="shared" si="46"/>
        <v>2089.2494231071082</v>
      </c>
      <c r="K614" s="1">
        <f>D614*$E$1867/E614</f>
        <v>6.4110055221893489</v>
      </c>
      <c r="L614" s="26">
        <f t="shared" si="44"/>
        <v>92.527991574044947</v>
      </c>
      <c r="M614" s="10">
        <f t="shared" si="42"/>
        <v>6.2870872903471282</v>
      </c>
      <c r="N614" s="4">
        <f t="shared" si="43"/>
        <v>8.9170964731832179</v>
      </c>
      <c r="O614" s="36">
        <f>1/M614-(G614/100-(((E614/E494)^(1/10))-1))</f>
        <v>0.17951956182160134</v>
      </c>
      <c r="R614" s="30"/>
      <c r="S614" s="30"/>
    </row>
    <row r="615" spans="1:19" ht="13" x14ac:dyDescent="0.3">
      <c r="A615" s="52" t="s">
        <v>631</v>
      </c>
      <c r="B615" s="6">
        <v>7.46</v>
      </c>
      <c r="C615" s="1">
        <v>0.46829999999999999</v>
      </c>
      <c r="D615" s="6">
        <v>0.35670000000000002</v>
      </c>
      <c r="E615" s="6">
        <v>16.899999999999999</v>
      </c>
      <c r="F615" s="1">
        <f t="shared" si="45"/>
        <v>1922.1249999999536</v>
      </c>
      <c r="G615" s="17">
        <f>G614*11/12+G626*1/12</f>
        <v>4.3049999999999997</v>
      </c>
      <c r="H615" s="1">
        <f>B615*$E$1867/E615</f>
        <v>147.9310275147929</v>
      </c>
      <c r="I615" s="1">
        <f>C615*$E$1867/E615</f>
        <v>9.2863405073964511</v>
      </c>
      <c r="J615" s="26">
        <f t="shared" si="46"/>
        <v>2146.2100897418882</v>
      </c>
      <c r="K615" s="1">
        <f>D615*$E$1867/E615</f>
        <v>7.0733240636094683</v>
      </c>
      <c r="L615" s="26">
        <f t="shared" si="44"/>
        <v>102.62106421058064</v>
      </c>
      <c r="M615" s="10">
        <f t="shared" si="42"/>
        <v>6.4613058726969825</v>
      </c>
      <c r="N615" s="4">
        <f t="shared" si="43"/>
        <v>9.1855378690400578</v>
      </c>
      <c r="O615" s="36">
        <f>1/M615-(G615/100-(((E615/E495)^(1/10))-1))</f>
        <v>0.17408010681528899</v>
      </c>
      <c r="R615" s="30"/>
      <c r="S615" s="30"/>
    </row>
    <row r="616" spans="1:19" ht="13" x14ac:dyDescent="0.3">
      <c r="A616" s="52" t="s">
        <v>632</v>
      </c>
      <c r="B616" s="6">
        <v>7.74</v>
      </c>
      <c r="C616" s="1">
        <v>0.47249999999999998</v>
      </c>
      <c r="D616" s="6">
        <v>0.39</v>
      </c>
      <c r="E616" s="6">
        <v>16.7</v>
      </c>
      <c r="F616" s="1">
        <f t="shared" si="45"/>
        <v>1922.2083333332869</v>
      </c>
      <c r="G616" s="17">
        <f>G614*10/12+G626*2/12</f>
        <v>4.3100000000000005</v>
      </c>
      <c r="H616" s="1">
        <f>B616*$E$1867/E616</f>
        <v>155.32152305389224</v>
      </c>
      <c r="I616" s="1">
        <f>C616*$E$1867/E616</f>
        <v>9.4818371631736511</v>
      </c>
      <c r="J616" s="26">
        <f t="shared" si="46"/>
        <v>2264.8964190281908</v>
      </c>
      <c r="K616" s="1">
        <f>D616*$E$1867/E616</f>
        <v>7.826278293413174</v>
      </c>
      <c r="L616" s="26">
        <f t="shared" si="44"/>
        <v>114.12268778049022</v>
      </c>
      <c r="M616" s="10">
        <f t="shared" si="42"/>
        <v>6.8213872490360421</v>
      </c>
      <c r="N616" s="4">
        <f t="shared" si="43"/>
        <v>9.7174091458281229</v>
      </c>
      <c r="O616" s="36">
        <f>1/M616-(G616/100-(((E616/E496)^(1/10))-1))</f>
        <v>0.16243257308781894</v>
      </c>
      <c r="R616" s="30"/>
      <c r="S616" s="30"/>
    </row>
    <row r="617" spans="1:19" ht="13" x14ac:dyDescent="0.3">
      <c r="A617" s="52" t="s">
        <v>633</v>
      </c>
      <c r="B617" s="6">
        <v>8.2100000000000009</v>
      </c>
      <c r="C617" s="1">
        <v>0.47670000000000001</v>
      </c>
      <c r="D617" s="6">
        <v>0.42330000000000001</v>
      </c>
      <c r="E617" s="6">
        <v>16.7</v>
      </c>
      <c r="F617" s="1">
        <f t="shared" si="45"/>
        <v>1922.2916666666201</v>
      </c>
      <c r="G617" s="17">
        <f>G614*9/12+G626*3/12</f>
        <v>4.3149999999999995</v>
      </c>
      <c r="H617" s="1">
        <f>B617*$E$1867/E617</f>
        <v>164.7531917664671</v>
      </c>
      <c r="I617" s="1">
        <f>C617*$E$1867/E617</f>
        <v>9.5661201601796417</v>
      </c>
      <c r="J617" s="26">
        <f t="shared" si="46"/>
        <v>2414.0533088459097</v>
      </c>
      <c r="K617" s="1">
        <f>D617*$E$1867/E617</f>
        <v>8.494522055389222</v>
      </c>
      <c r="L617" s="26">
        <f t="shared" si="44"/>
        <v>124.46635391406498</v>
      </c>
      <c r="M617" s="10">
        <f t="shared" si="42"/>
        <v>7.2732533902098639</v>
      </c>
      <c r="N617" s="4">
        <f t="shared" si="43"/>
        <v>10.378612240077564</v>
      </c>
      <c r="O617" s="36">
        <f>1/M617-(G617/100-(((E617/E497)^(1/10))-1))</f>
        <v>0.15011860019363649</v>
      </c>
      <c r="R617" s="30"/>
      <c r="S617" s="30"/>
    </row>
    <row r="618" spans="1:19" ht="13" x14ac:dyDescent="0.3">
      <c r="A618" s="52" t="s">
        <v>634</v>
      </c>
      <c r="B618" s="6">
        <v>8.5299999999999994</v>
      </c>
      <c r="C618" s="1">
        <v>0.48080000000000001</v>
      </c>
      <c r="D618" s="6">
        <v>0.45669999999999999</v>
      </c>
      <c r="E618" s="6">
        <v>16.7</v>
      </c>
      <c r="F618" s="1">
        <f t="shared" si="45"/>
        <v>1922.3749999999534</v>
      </c>
      <c r="G618" s="17">
        <f>G614*8/12+G626*4/12</f>
        <v>4.32</v>
      </c>
      <c r="H618" s="1">
        <f>B618*$E$1867/E618</f>
        <v>171.17475344311376</v>
      </c>
      <c r="I618" s="1">
        <f>C618*$E$1867/E618</f>
        <v>9.648396419161676</v>
      </c>
      <c r="J618" s="26">
        <f t="shared" si="46"/>
        <v>2519.9266496585501</v>
      </c>
      <c r="K618" s="1">
        <f>D618*$E$1867/E618</f>
        <v>9.1647725553892219</v>
      </c>
      <c r="L618" s="26">
        <f t="shared" si="44"/>
        <v>134.91799541606798</v>
      </c>
      <c r="M618" s="10">
        <f t="shared" si="42"/>
        <v>7.5934672589193806</v>
      </c>
      <c r="N618" s="4">
        <f t="shared" si="43"/>
        <v>10.851308007115501</v>
      </c>
      <c r="O618" s="36">
        <f>1/M618-(G618/100-(((E618/E498)^(1/10))-1))</f>
        <v>0.14427069252660302</v>
      </c>
      <c r="R618" s="30"/>
      <c r="S618" s="30"/>
    </row>
    <row r="619" spans="1:19" ht="13" x14ac:dyDescent="0.3">
      <c r="A619" s="52" t="s">
        <v>635</v>
      </c>
      <c r="B619" s="6">
        <v>8.4499999999999993</v>
      </c>
      <c r="C619" s="1">
        <v>0.48499999999999999</v>
      </c>
      <c r="D619" s="6">
        <v>0.49</v>
      </c>
      <c r="E619" s="6">
        <v>16.7</v>
      </c>
      <c r="F619" s="1">
        <f t="shared" si="45"/>
        <v>1922.4583333332866</v>
      </c>
      <c r="G619" s="17">
        <f>G614*7/12+G626*5/12</f>
        <v>4.3250000000000002</v>
      </c>
      <c r="H619" s="1">
        <f>B619*$E$1867/E619</f>
        <v>169.56936302395209</v>
      </c>
      <c r="I619" s="1">
        <f>C619*$E$1867/E619</f>
        <v>9.7326794161676649</v>
      </c>
      <c r="J619" s="26">
        <f t="shared" si="46"/>
        <v>2508.2329689376843</v>
      </c>
      <c r="K619" s="1">
        <f>D619*$E$1867/E619</f>
        <v>9.8330163173652689</v>
      </c>
      <c r="L619" s="26">
        <f t="shared" si="44"/>
        <v>145.44782896798404</v>
      </c>
      <c r="M619" s="10">
        <f t="shared" si="42"/>
        <v>7.5579873517551297</v>
      </c>
      <c r="N619" s="4">
        <f t="shared" si="43"/>
        <v>10.815617689535211</v>
      </c>
      <c r="O619" s="36">
        <f>1/M619-(G619/100-(((E619/E499)^(1/10))-1))</f>
        <v>0.14587981797708544</v>
      </c>
      <c r="R619" s="30"/>
      <c r="S619" s="30"/>
    </row>
    <row r="620" spans="1:19" ht="13" x14ac:dyDescent="0.3">
      <c r="A620" s="52" t="s">
        <v>636</v>
      </c>
      <c r="B620" s="6">
        <v>8.51</v>
      </c>
      <c r="C620" s="1">
        <v>0.48920000000000002</v>
      </c>
      <c r="D620" s="6">
        <v>0.52329999999999999</v>
      </c>
      <c r="E620" s="6">
        <v>16.8</v>
      </c>
      <c r="F620" s="1">
        <f t="shared" si="45"/>
        <v>1922.5416666666199</v>
      </c>
      <c r="G620" s="17">
        <f>G614*6/12+G626*6/12</f>
        <v>4.33</v>
      </c>
      <c r="H620" s="1">
        <f>B620*$E$1867/E620</f>
        <v>169.7568974702381</v>
      </c>
      <c r="I620" s="1">
        <f>C620*$E$1867/E620</f>
        <v>9.7585281130952382</v>
      </c>
      <c r="J620" s="26">
        <f t="shared" si="46"/>
        <v>2523.0357721368428</v>
      </c>
      <c r="K620" s="1">
        <f>D620*$E$1867/E620</f>
        <v>10.438752578869046</v>
      </c>
      <c r="L620" s="26">
        <f t="shared" si="44"/>
        <v>155.14742885537129</v>
      </c>
      <c r="M620" s="10">
        <f t="shared" si="42"/>
        <v>7.6020950457740346</v>
      </c>
      <c r="N620" s="4">
        <f t="shared" si="43"/>
        <v>10.892058792535369</v>
      </c>
      <c r="O620" s="36">
        <f>1/M620-(G620/100-(((E620/E500)^(1/10))-1))</f>
        <v>0.14569327464091714</v>
      </c>
      <c r="R620" s="30"/>
      <c r="S620" s="30"/>
    </row>
    <row r="621" spans="1:19" ht="13" x14ac:dyDescent="0.3">
      <c r="A621" s="52" t="s">
        <v>637</v>
      </c>
      <c r="B621" s="6">
        <v>8.83</v>
      </c>
      <c r="C621" s="1">
        <v>0.49330000000000002</v>
      </c>
      <c r="D621" s="6">
        <v>0.55669999999999997</v>
      </c>
      <c r="E621" s="6">
        <v>16.600000000000001</v>
      </c>
      <c r="F621" s="1">
        <f t="shared" si="45"/>
        <v>1922.6249999999532</v>
      </c>
      <c r="G621" s="17">
        <f>G614*5/12+G626*7/12</f>
        <v>4.335</v>
      </c>
      <c r="H621" s="1">
        <f>B621*$E$1867/E621</f>
        <v>178.26240707831323</v>
      </c>
      <c r="I621" s="1">
        <f>C621*$E$1867/E621</f>
        <v>9.9588726400602408</v>
      </c>
      <c r="J621" s="26">
        <f t="shared" si="46"/>
        <v>2661.7847008255417</v>
      </c>
      <c r="K621" s="1">
        <f>D621*$E$1867/E621</f>
        <v>11.238808835843372</v>
      </c>
      <c r="L621" s="26">
        <f t="shared" si="44"/>
        <v>167.81602977911427</v>
      </c>
      <c r="M621" s="10">
        <f t="shared" si="42"/>
        <v>8.0200306898957781</v>
      </c>
      <c r="N621" s="4">
        <f t="shared" si="43"/>
        <v>11.501719558533321</v>
      </c>
      <c r="O621" s="36">
        <f>1/M621-(G621/100-(((E621/E501)^(1/10))-1))</f>
        <v>0.13648243579404418</v>
      </c>
      <c r="R621" s="30"/>
      <c r="S621" s="30"/>
    </row>
    <row r="622" spans="1:19" ht="13" x14ac:dyDescent="0.3">
      <c r="A622" s="52" t="s">
        <v>638</v>
      </c>
      <c r="B622" s="6">
        <v>9.06</v>
      </c>
      <c r="C622" s="1">
        <v>0.4975</v>
      </c>
      <c r="D622" s="6">
        <v>0.59</v>
      </c>
      <c r="E622" s="6">
        <v>16.600000000000001</v>
      </c>
      <c r="F622" s="1">
        <f t="shared" si="45"/>
        <v>1922.7083333332864</v>
      </c>
      <c r="G622" s="17">
        <f>G614*4/12+G626*8/12</f>
        <v>4.34</v>
      </c>
      <c r="H622" s="1">
        <f>B622*$E$1867/E622</f>
        <v>182.90570873493976</v>
      </c>
      <c r="I622" s="1">
        <f>C622*$E$1867/E622</f>
        <v>10.043663365963855</v>
      </c>
      <c r="J622" s="26">
        <f t="shared" si="46"/>
        <v>2743.6152374708722</v>
      </c>
      <c r="K622" s="1">
        <f>D622*$E$1867/E622</f>
        <v>11.9110781626506</v>
      </c>
      <c r="L622" s="26">
        <f t="shared" si="44"/>
        <v>178.66810045340114</v>
      </c>
      <c r="M622" s="10">
        <f t="shared" si="42"/>
        <v>8.2650830022843031</v>
      </c>
      <c r="N622" s="4">
        <f t="shared" si="43"/>
        <v>11.861543308882677</v>
      </c>
      <c r="O622" s="36">
        <f>1/M622-(G622/100-(((E622/E502)^(1/10))-1))</f>
        <v>0.13170642498863802</v>
      </c>
      <c r="R622" s="30"/>
      <c r="S622" s="30"/>
    </row>
    <row r="623" spans="1:19" ht="13" x14ac:dyDescent="0.3">
      <c r="A623" s="52" t="s">
        <v>639</v>
      </c>
      <c r="B623" s="6">
        <v>9.26</v>
      </c>
      <c r="C623" s="1">
        <v>0.50170000000000003</v>
      </c>
      <c r="D623" s="6">
        <v>0.62329999999999997</v>
      </c>
      <c r="E623" s="6">
        <v>16.7</v>
      </c>
      <c r="F623" s="1">
        <f t="shared" si="45"/>
        <v>1922.7916666666197</v>
      </c>
      <c r="G623" s="17">
        <f>G614*3/12+G626*9/12</f>
        <v>4.3449999999999998</v>
      </c>
      <c r="H623" s="1">
        <f>B623*$E$1867/E623</f>
        <v>185.82394101796407</v>
      </c>
      <c r="I623" s="1">
        <f>C623*$E$1867/E623</f>
        <v>10.067804666167666</v>
      </c>
      <c r="J623" s="26">
        <f t="shared" si="46"/>
        <v>2799.9740857192241</v>
      </c>
      <c r="K623" s="1">
        <f>D623*$E$1867/E623</f>
        <v>12.507998103293414</v>
      </c>
      <c r="L623" s="26">
        <f t="shared" si="44"/>
        <v>188.4690980160683</v>
      </c>
      <c r="M623" s="10">
        <f t="shared" si="42"/>
        <v>8.4321519987618991</v>
      </c>
      <c r="N623" s="4">
        <f t="shared" si="43"/>
        <v>12.107471819097533</v>
      </c>
      <c r="O623" s="36">
        <f>1/M623-(G623/100-(((E623/E503)^(1/10))-1))</f>
        <v>0.12989248661951502</v>
      </c>
      <c r="R623" s="30"/>
      <c r="S623" s="30"/>
    </row>
    <row r="624" spans="1:19" ht="13" x14ac:dyDescent="0.3">
      <c r="A624" s="52" t="s">
        <v>640</v>
      </c>
      <c r="B624" s="6">
        <v>8.8000000000000007</v>
      </c>
      <c r="C624" s="1">
        <v>0.50580000000000003</v>
      </c>
      <c r="D624" s="6">
        <v>0.65669999999999995</v>
      </c>
      <c r="E624" s="6">
        <v>16.8</v>
      </c>
      <c r="F624" s="1">
        <f t="shared" si="45"/>
        <v>1922.8749999999529</v>
      </c>
      <c r="G624" s="17">
        <f>G614*2/12+G626*10/12</f>
        <v>4.3499999999999996</v>
      </c>
      <c r="H624" s="1">
        <f>B624*$E$1867/E624</f>
        <v>175.54179761904763</v>
      </c>
      <c r="I624" s="1">
        <f>C624*$E$1867/E624</f>
        <v>10.089663776785715</v>
      </c>
      <c r="J624" s="26">
        <f t="shared" si="46"/>
        <v>2657.713073357666</v>
      </c>
      <c r="K624" s="1">
        <f>D624*$E$1867/E624</f>
        <v>13.099806647321426</v>
      </c>
      <c r="L624" s="26">
        <f t="shared" si="44"/>
        <v>198.33183809931577</v>
      </c>
      <c r="M624" s="10">
        <f t="shared" si="42"/>
        <v>7.9982537722698375</v>
      </c>
      <c r="N624" s="4">
        <f t="shared" si="43"/>
        <v>11.491767155410148</v>
      </c>
      <c r="O624" s="36">
        <f>1/M624-(G624/100-(((E624/E504)^(1/10))-1))</f>
        <v>0.13690598043210195</v>
      </c>
      <c r="R624" s="30"/>
      <c r="S624" s="30"/>
    </row>
    <row r="625" spans="1:19" ht="13" x14ac:dyDescent="0.3">
      <c r="A625" s="52" t="s">
        <v>641</v>
      </c>
      <c r="B625" s="6">
        <v>8.7799999999999994</v>
      </c>
      <c r="C625" s="1">
        <v>0.51</v>
      </c>
      <c r="D625" s="6">
        <v>0.69</v>
      </c>
      <c r="E625" s="6">
        <v>16.899999999999999</v>
      </c>
      <c r="F625" s="1">
        <f t="shared" si="45"/>
        <v>1922.9583333332862</v>
      </c>
      <c r="G625" s="17">
        <f>G614*1/12+G626*11/12</f>
        <v>4.3549999999999995</v>
      </c>
      <c r="H625" s="1">
        <f>B625*$E$1867/E625</f>
        <v>174.10649082840237</v>
      </c>
      <c r="I625" s="1">
        <f>C625*$E$1867/E625</f>
        <v>10.113247189349114</v>
      </c>
      <c r="J625" s="26">
        <f t="shared" si="46"/>
        <v>2648.7420407942877</v>
      </c>
      <c r="K625" s="1">
        <f>D625*$E$1867/E625</f>
        <v>13.682628550295858</v>
      </c>
      <c r="L625" s="26">
        <f t="shared" si="44"/>
        <v>208.15854306925496</v>
      </c>
      <c r="M625" s="10">
        <f t="shared" si="42"/>
        <v>7.9646798649400008</v>
      </c>
      <c r="N625" s="4">
        <f t="shared" si="43"/>
        <v>11.449713276395805</v>
      </c>
      <c r="O625" s="36">
        <f>1/M625-(G625/100-(((E625/E505)^(1/10))-1))</f>
        <v>0.13904051336828618</v>
      </c>
      <c r="R625" s="30"/>
      <c r="S625" s="30"/>
    </row>
    <row r="626" spans="1:19" ht="13" x14ac:dyDescent="0.3">
      <c r="A626" s="52" t="s">
        <v>642</v>
      </c>
      <c r="B626" s="6">
        <v>8.9</v>
      </c>
      <c r="C626" s="1">
        <v>0.51170000000000004</v>
      </c>
      <c r="D626" s="6">
        <v>0.71419999999999995</v>
      </c>
      <c r="E626" s="6">
        <v>16.8</v>
      </c>
      <c r="F626" s="1">
        <f t="shared" si="45"/>
        <v>1923.0416666666194</v>
      </c>
      <c r="G626" s="17">
        <v>4.3600000000000003</v>
      </c>
      <c r="H626" s="1">
        <f>B626*$E$1867/E626</f>
        <v>177.53659077380951</v>
      </c>
      <c r="I626" s="1">
        <f>C626*$E$1867/E626</f>
        <v>10.207356572916668</v>
      </c>
      <c r="J626" s="26">
        <f t="shared" si="46"/>
        <v>2713.866002661432</v>
      </c>
      <c r="K626" s="1">
        <f>D626*$E$1867/E626</f>
        <v>14.246812711309522</v>
      </c>
      <c r="L626" s="26">
        <f t="shared" si="44"/>
        <v>217.78012349447133</v>
      </c>
      <c r="M626" s="10">
        <f t="shared" si="42"/>
        <v>8.1542004830691539</v>
      </c>
      <c r="N626" s="4">
        <f t="shared" si="43"/>
        <v>11.725953614115133</v>
      </c>
      <c r="O626" s="36">
        <f>1/M626-(G626/100-(((E626/E506)^(1/10))-1))</f>
        <v>0.13441486988785215</v>
      </c>
      <c r="R626" s="30"/>
      <c r="S626" s="30"/>
    </row>
    <row r="627" spans="1:19" ht="13" x14ac:dyDescent="0.3">
      <c r="A627" s="52" t="s">
        <v>643</v>
      </c>
      <c r="B627" s="6">
        <v>9.2799999999999994</v>
      </c>
      <c r="C627" s="1">
        <v>0.51329999999999998</v>
      </c>
      <c r="D627" s="6">
        <v>0.73829999999999996</v>
      </c>
      <c r="E627" s="6">
        <v>16.8</v>
      </c>
      <c r="F627" s="1">
        <f t="shared" si="45"/>
        <v>1923.1249999999527</v>
      </c>
      <c r="G627" s="17">
        <f>G626*11/12+G638*1/12</f>
        <v>4.335</v>
      </c>
      <c r="H627" s="1">
        <f>B627*$E$1867/E627</f>
        <v>185.11680476190475</v>
      </c>
      <c r="I627" s="1">
        <f>C627*$E$1867/E627</f>
        <v>10.239273263392857</v>
      </c>
      <c r="J627" s="26">
        <f t="shared" si="46"/>
        <v>2842.7822610069588</v>
      </c>
      <c r="K627" s="1">
        <f>D627*$E$1867/E627</f>
        <v>14.727557861607142</v>
      </c>
      <c r="L627" s="26">
        <f t="shared" si="44"/>
        <v>226.16661026955148</v>
      </c>
      <c r="M627" s="10">
        <f t="shared" si="42"/>
        <v>8.5333605790659703</v>
      </c>
      <c r="N627" s="4">
        <f t="shared" si="43"/>
        <v>12.272020083350814</v>
      </c>
      <c r="O627" s="36">
        <f>1/M627-(G627/100-(((E627/E507)^(1/10))-1))</f>
        <v>0.129215815504828</v>
      </c>
      <c r="R627" s="30"/>
      <c r="S627" s="30"/>
    </row>
    <row r="628" spans="1:19" ht="13" x14ac:dyDescent="0.3">
      <c r="A628" s="52" t="s">
        <v>644</v>
      </c>
      <c r="B628" s="6">
        <v>9.43</v>
      </c>
      <c r="C628" s="1">
        <v>0.51500000000000001</v>
      </c>
      <c r="D628" s="6">
        <v>0.76249999999999996</v>
      </c>
      <c r="E628" s="6">
        <v>16.8</v>
      </c>
      <c r="F628" s="1">
        <f t="shared" si="45"/>
        <v>1923.208333333286</v>
      </c>
      <c r="G628" s="17">
        <f>G626*10/12+G638*2/12</f>
        <v>4.3099999999999996</v>
      </c>
      <c r="H628" s="1">
        <f>B628*$E$1867/E628</f>
        <v>188.10899449404761</v>
      </c>
      <c r="I628" s="1">
        <f>C628*$E$1867/E628</f>
        <v>10.273184747023809</v>
      </c>
      <c r="J628" s="26">
        <f t="shared" si="46"/>
        <v>2901.8792521548676</v>
      </c>
      <c r="K628" s="1">
        <f>D628*$E$1867/E628</f>
        <v>15.210297805059522</v>
      </c>
      <c r="L628" s="26">
        <f t="shared" si="44"/>
        <v>234.64294059046517</v>
      </c>
      <c r="M628" s="10">
        <f t="shared" si="42"/>
        <v>8.700737500978537</v>
      </c>
      <c r="N628" s="4">
        <f t="shared" si="43"/>
        <v>12.511853851855694</v>
      </c>
      <c r="O628" s="36">
        <f>1/M628-(G628/100-(((E628/E508)^(1/10))-1))</f>
        <v>0.12721147552406908</v>
      </c>
      <c r="R628" s="30"/>
      <c r="S628" s="30"/>
    </row>
    <row r="629" spans="1:19" ht="13" x14ac:dyDescent="0.3">
      <c r="A629" s="52" t="s">
        <v>645</v>
      </c>
      <c r="B629" s="6">
        <v>9.1</v>
      </c>
      <c r="C629" s="1">
        <v>0.51670000000000005</v>
      </c>
      <c r="D629" s="6">
        <v>0.78669999999999995</v>
      </c>
      <c r="E629" s="6">
        <v>16.899999999999999</v>
      </c>
      <c r="F629" s="1">
        <f t="shared" si="45"/>
        <v>1923.2916666666192</v>
      </c>
      <c r="G629" s="17">
        <f>G626*9/12+G638*3/12</f>
        <v>4.2850000000000001</v>
      </c>
      <c r="H629" s="1">
        <f>B629*$E$1867/E629</f>
        <v>180.45205769230768</v>
      </c>
      <c r="I629" s="1">
        <f>C629*$E$1867/E629</f>
        <v>10.246107495562132</v>
      </c>
      <c r="J629" s="26">
        <f t="shared" si="46"/>
        <v>2796.9307415139892</v>
      </c>
      <c r="K629" s="1">
        <f>D629*$E$1867/E629</f>
        <v>15.600179536982248</v>
      </c>
      <c r="L629" s="26">
        <f t="shared" si="44"/>
        <v>241.79619937901708</v>
      </c>
      <c r="M629" s="10">
        <f t="shared" si="42"/>
        <v>8.3728096684638142</v>
      </c>
      <c r="N629" s="4">
        <f t="shared" si="43"/>
        <v>12.040671976551753</v>
      </c>
      <c r="O629" s="36">
        <f>1/M629-(G629/100-(((E629/E509)^(1/10))-1))</f>
        <v>0.13258943586124278</v>
      </c>
      <c r="R629" s="30"/>
      <c r="S629" s="30"/>
    </row>
    <row r="630" spans="1:19" ht="13" x14ac:dyDescent="0.3">
      <c r="A630" s="52" t="s">
        <v>646</v>
      </c>
      <c r="B630" s="6">
        <v>8.67</v>
      </c>
      <c r="C630" s="1">
        <v>0.51829999999999998</v>
      </c>
      <c r="D630" s="6">
        <v>0.81079999999999997</v>
      </c>
      <c r="E630" s="6">
        <v>16.899999999999999</v>
      </c>
      <c r="F630" s="1">
        <f t="shared" si="45"/>
        <v>1923.3749999999525</v>
      </c>
      <c r="G630" s="17">
        <f>G626*8/12+G638*4/12</f>
        <v>4.26</v>
      </c>
      <c r="H630" s="1">
        <f>B630*$E$1867/E630</f>
        <v>171.92520221893491</v>
      </c>
      <c r="I630" s="1">
        <f>C630*$E$1867/E630</f>
        <v>10.277835329881658</v>
      </c>
      <c r="J630" s="26">
        <f t="shared" si="46"/>
        <v>2678.0432559564301</v>
      </c>
      <c r="K630" s="1">
        <f>D630*$E$1867/E630</f>
        <v>16.078080041420119</v>
      </c>
      <c r="L630" s="26">
        <f t="shared" si="44"/>
        <v>250.44492179117341</v>
      </c>
      <c r="M630" s="10">
        <f t="shared" si="42"/>
        <v>8.000497867598213</v>
      </c>
      <c r="N630" s="4">
        <f t="shared" si="43"/>
        <v>11.507770660192866</v>
      </c>
      <c r="O630" s="36">
        <f>1/M630-(G630/100-(((E630/E510)^(1/10))-1))</f>
        <v>0.139481083596842</v>
      </c>
      <c r="R630" s="30"/>
      <c r="S630" s="30"/>
    </row>
    <row r="631" spans="1:19" ht="13" x14ac:dyDescent="0.3">
      <c r="A631" s="52" t="s">
        <v>647</v>
      </c>
      <c r="B631" s="6">
        <v>8.34</v>
      </c>
      <c r="C631" s="1">
        <v>0.52</v>
      </c>
      <c r="D631" s="6">
        <v>0.83499999999999996</v>
      </c>
      <c r="E631" s="6">
        <v>17</v>
      </c>
      <c r="F631" s="1">
        <f t="shared" si="45"/>
        <v>1923.4583333332857</v>
      </c>
      <c r="G631" s="17">
        <f>G626*7/12+G638*5/12</f>
        <v>4.2349999999999994</v>
      </c>
      <c r="H631" s="1">
        <f>B631*$E$1867/E631</f>
        <v>164.40850499999999</v>
      </c>
      <c r="I631" s="1">
        <f>C631*$E$1867/E631</f>
        <v>10.25089</v>
      </c>
      <c r="J631" s="26">
        <f t="shared" si="46"/>
        <v>2574.2635531479777</v>
      </c>
      <c r="K631" s="1">
        <f>D631*$E$1867/E631</f>
        <v>16.460563749999999</v>
      </c>
      <c r="L631" s="26">
        <f t="shared" si="44"/>
        <v>257.73502000941983</v>
      </c>
      <c r="M631" s="10">
        <f t="shared" si="42"/>
        <v>7.6718252826730806</v>
      </c>
      <c r="N631" s="4">
        <f t="shared" si="43"/>
        <v>11.038669785687134</v>
      </c>
      <c r="O631" s="36">
        <f>1/M631-(G631/100-(((E631/E511)^(1/10))-1))</f>
        <v>0.14462548934004033</v>
      </c>
      <c r="R631" s="30"/>
      <c r="S631" s="30"/>
    </row>
    <row r="632" spans="1:19" ht="13" x14ac:dyDescent="0.3">
      <c r="A632" s="52" t="s">
        <v>648</v>
      </c>
      <c r="B632" s="6">
        <v>8.06</v>
      </c>
      <c r="C632" s="1">
        <v>0.52170000000000005</v>
      </c>
      <c r="D632" s="6">
        <v>0.85919999999999996</v>
      </c>
      <c r="E632" s="6">
        <v>17.2</v>
      </c>
      <c r="F632" s="1">
        <f t="shared" si="45"/>
        <v>1923.541666666619</v>
      </c>
      <c r="G632" s="17">
        <f>G626*6/12+G638*6/12</f>
        <v>4.21</v>
      </c>
      <c r="H632" s="1">
        <f>B632*$E$1867/E632</f>
        <v>157.04125087209303</v>
      </c>
      <c r="I632" s="1">
        <f>C632*$E$1867/E632</f>
        <v>10.164816449127908</v>
      </c>
      <c r="J632" s="26">
        <f t="shared" si="46"/>
        <v>2472.1722567611873</v>
      </c>
      <c r="K632" s="1">
        <f>D632*$E$1867/E632</f>
        <v>16.740675279069766</v>
      </c>
      <c r="L632" s="26">
        <f t="shared" si="44"/>
        <v>263.53478945523722</v>
      </c>
      <c r="M632" s="10">
        <f t="shared" si="42"/>
        <v>7.3459851194906491</v>
      </c>
      <c r="N632" s="4">
        <f t="shared" si="43"/>
        <v>10.574996358749738</v>
      </c>
      <c r="O632" s="36">
        <f>1/M632-(G632/100-(((E632/E512)^(1/10))-1))</f>
        <v>0.15082031447916544</v>
      </c>
      <c r="R632" s="30"/>
      <c r="S632" s="30"/>
    </row>
    <row r="633" spans="1:19" ht="13" x14ac:dyDescent="0.3">
      <c r="A633" s="52" t="s">
        <v>649</v>
      </c>
      <c r="B633" s="6">
        <v>8.1</v>
      </c>
      <c r="C633" s="1">
        <v>0.52329999999999999</v>
      </c>
      <c r="D633" s="6">
        <v>0.88329999999999997</v>
      </c>
      <c r="E633" s="6">
        <v>17.100000000000001</v>
      </c>
      <c r="F633" s="1">
        <f t="shared" si="45"/>
        <v>1923.6249999999523</v>
      </c>
      <c r="G633" s="17">
        <f>G626*5/12+G638*7/12</f>
        <v>4.1849999999999996</v>
      </c>
      <c r="H633" s="1">
        <f>B633*$E$1867/E633</f>
        <v>158.74353947368419</v>
      </c>
      <c r="I633" s="1">
        <f>C633*$E$1867/E633</f>
        <v>10.25561656871345</v>
      </c>
      <c r="J633" s="26">
        <f t="shared" si="46"/>
        <v>2512.423813906295</v>
      </c>
      <c r="K633" s="1">
        <f>D633*$E$1867/E633</f>
        <v>17.31088498976608</v>
      </c>
      <c r="L633" s="26">
        <f t="shared" si="44"/>
        <v>273.97826602758403</v>
      </c>
      <c r="M633" s="10">
        <f t="shared" si="42"/>
        <v>7.4417831742173712</v>
      </c>
      <c r="N633" s="4">
        <f t="shared" si="43"/>
        <v>10.717769172275753</v>
      </c>
      <c r="O633" s="36">
        <f>1/M633-(G633/100-(((E633/E513)^(1/10))-1))</f>
        <v>0.14870190194385627</v>
      </c>
      <c r="R633" s="30"/>
      <c r="S633" s="30"/>
    </row>
    <row r="634" spans="1:19" ht="13" x14ac:dyDescent="0.3">
      <c r="A634" s="52" t="s">
        <v>650</v>
      </c>
      <c r="B634" s="6">
        <v>8.15</v>
      </c>
      <c r="C634" s="1">
        <v>0.52500000000000002</v>
      </c>
      <c r="D634" s="6">
        <v>0.90749999999999997</v>
      </c>
      <c r="E634" s="6">
        <v>17.2</v>
      </c>
      <c r="F634" s="1">
        <f t="shared" si="45"/>
        <v>1923.7083333332855</v>
      </c>
      <c r="G634" s="17">
        <f>G626*4/12+G638*8/12</f>
        <v>4.16</v>
      </c>
      <c r="H634" s="1">
        <f>B634*$E$1867/E634</f>
        <v>158.7948132267442</v>
      </c>
      <c r="I634" s="1">
        <f>C634*$E$1867/E634</f>
        <v>10.229113735465116</v>
      </c>
      <c r="J634" s="26">
        <f t="shared" si="46"/>
        <v>2526.7266142034846</v>
      </c>
      <c r="K634" s="1">
        <f>D634*$E$1867/E634</f>
        <v>17.681753742732557</v>
      </c>
      <c r="L634" s="26">
        <f t="shared" si="44"/>
        <v>281.35023342204443</v>
      </c>
      <c r="M634" s="10">
        <f t="shared" ref="M634:M697" si="47">H634/AVERAGE(K514:K633)</f>
        <v>7.458183867189792</v>
      </c>
      <c r="N634" s="4">
        <f t="shared" ref="N634:N697" si="48">J634/AVERAGE(L514:L633)</f>
        <v>10.745088848507415</v>
      </c>
      <c r="O634" s="36">
        <f>1/M634-(G634/100-(((E634/E514)^(1/10))-1))</f>
        <v>0.14821085527765077</v>
      </c>
      <c r="R634" s="30"/>
      <c r="S634" s="30"/>
    </row>
    <row r="635" spans="1:19" ht="13" x14ac:dyDescent="0.3">
      <c r="A635" s="52" t="s">
        <v>651</v>
      </c>
      <c r="B635" s="6">
        <v>8.0299999999999994</v>
      </c>
      <c r="C635" s="1">
        <v>0.52669999999999995</v>
      </c>
      <c r="D635" s="6">
        <v>0.93169999999999997</v>
      </c>
      <c r="E635" s="6">
        <v>17.3</v>
      </c>
      <c r="F635" s="1">
        <f t="shared" si="45"/>
        <v>1923.7916666666188</v>
      </c>
      <c r="G635" s="17">
        <f>G626*3/12+G638*9/12</f>
        <v>4.1349999999999998</v>
      </c>
      <c r="H635" s="1">
        <f>B635*$E$1867/E635</f>
        <v>155.55235592485548</v>
      </c>
      <c r="I635" s="1">
        <f>C635*$E$1867/E635</f>
        <v>10.202917293352598</v>
      </c>
      <c r="J635" s="26">
        <f t="shared" si="46"/>
        <v>2488.6619498211508</v>
      </c>
      <c r="K635" s="1">
        <f>D635*$E$1867/E635</f>
        <v>18.048334995664739</v>
      </c>
      <c r="L635" s="26">
        <f t="shared" si="44"/>
        <v>288.75296869842668</v>
      </c>
      <c r="M635" s="10">
        <f t="shared" si="47"/>
        <v>7.3174003956214788</v>
      </c>
      <c r="N635" s="4">
        <f t="shared" si="48"/>
        <v>10.546507102779904</v>
      </c>
      <c r="O635" s="36">
        <f>1/M635-(G635/100-(((E635/E515)^(1/10))-1))</f>
        <v>0.15165270760296165</v>
      </c>
      <c r="R635" s="30"/>
      <c r="S635" s="30"/>
    </row>
    <row r="636" spans="1:19" ht="13" x14ac:dyDescent="0.3">
      <c r="A636" s="52" t="s">
        <v>652</v>
      </c>
      <c r="B636" s="6">
        <v>8.27</v>
      </c>
      <c r="C636" s="1">
        <v>0.52829999999999999</v>
      </c>
      <c r="D636" s="6">
        <v>0.95579999999999998</v>
      </c>
      <c r="E636" s="6">
        <v>17.3</v>
      </c>
      <c r="F636" s="1">
        <f t="shared" si="45"/>
        <v>1923.874999999952</v>
      </c>
      <c r="G636" s="17">
        <f>G626*2/12+G638*10/12</f>
        <v>4.1099999999999994</v>
      </c>
      <c r="H636" s="1">
        <f>B636*$E$1867/E636</f>
        <v>160.20149234104045</v>
      </c>
      <c r="I636" s="1">
        <f>C636*$E$1867/E636</f>
        <v>10.233911536127167</v>
      </c>
      <c r="J636" s="26">
        <f t="shared" si="46"/>
        <v>2576.6871316764377</v>
      </c>
      <c r="K636" s="1">
        <f>D636*$E$1867/E636</f>
        <v>18.515185777456647</v>
      </c>
      <c r="L636" s="26">
        <f t="shared" si="44"/>
        <v>297.79897949895275</v>
      </c>
      <c r="M636" s="10">
        <f t="shared" si="47"/>
        <v>7.5463279119162303</v>
      </c>
      <c r="N636" s="4">
        <f t="shared" si="48"/>
        <v>10.878671811855508</v>
      </c>
      <c r="O636" s="36">
        <f>1/M636-(G636/100-(((E636/E516)^(1/10))-1))</f>
        <v>0.14670636211495344</v>
      </c>
      <c r="R636" s="30"/>
      <c r="S636" s="30"/>
    </row>
    <row r="637" spans="1:19" ht="13" x14ac:dyDescent="0.3">
      <c r="A637" s="52" t="s">
        <v>653</v>
      </c>
      <c r="B637" s="6">
        <v>8.5500000000000007</v>
      </c>
      <c r="C637" s="1">
        <v>0.53</v>
      </c>
      <c r="D637" s="6">
        <v>0.98</v>
      </c>
      <c r="E637" s="6">
        <v>17.3</v>
      </c>
      <c r="F637" s="1">
        <f t="shared" si="45"/>
        <v>1923.9583333332853</v>
      </c>
      <c r="G637" s="17">
        <f>G626*1/12+G638*11/12</f>
        <v>4.085</v>
      </c>
      <c r="H637" s="1">
        <f>B637*$E$1867/E637</f>
        <v>165.6254848265896</v>
      </c>
      <c r="I637" s="1">
        <f>C637*$E$1867/E637</f>
        <v>10.266842919075145</v>
      </c>
      <c r="J637" s="26">
        <f t="shared" si="46"/>
        <v>2677.6878666847147</v>
      </c>
      <c r="K637" s="1">
        <f>D637*$E$1867/E637</f>
        <v>18.983973699421963</v>
      </c>
      <c r="L637" s="26">
        <f t="shared" si="44"/>
        <v>306.91627009953453</v>
      </c>
      <c r="M637" s="10">
        <f t="shared" si="47"/>
        <v>7.8097391449387423</v>
      </c>
      <c r="N637" s="4">
        <f t="shared" si="48"/>
        <v>11.25835061701814</v>
      </c>
      <c r="O637" s="36">
        <f>1/M637-(G637/100-(((E637/E517)^(1/10))-1))</f>
        <v>0.14353740233689569</v>
      </c>
      <c r="R637" s="30"/>
      <c r="S637" s="30"/>
    </row>
    <row r="638" spans="1:19" ht="13" x14ac:dyDescent="0.3">
      <c r="A638" s="52" t="s">
        <v>654</v>
      </c>
      <c r="B638" s="6">
        <v>8.83</v>
      </c>
      <c r="C638" s="1">
        <v>0.53169999999999995</v>
      </c>
      <c r="D638" s="6">
        <v>0.9758</v>
      </c>
      <c r="E638" s="6">
        <v>17.3</v>
      </c>
      <c r="F638" s="1">
        <f t="shared" si="45"/>
        <v>1924.0416666666185</v>
      </c>
      <c r="G638" s="17">
        <v>4.0599999999999996</v>
      </c>
      <c r="H638" s="1">
        <f>B638*$E$1867/E638</f>
        <v>171.04947731213872</v>
      </c>
      <c r="I638" s="1">
        <f>C638*$E$1867/E638</f>
        <v>10.29977430202312</v>
      </c>
      <c r="J638" s="26">
        <f t="shared" si="46"/>
        <v>2779.2547075304933</v>
      </c>
      <c r="K638" s="1">
        <f>D638*$E$1867/E638</f>
        <v>18.902613812138728</v>
      </c>
      <c r="L638" s="26">
        <f t="shared" si="44"/>
        <v>307.13439904963258</v>
      </c>
      <c r="M638" s="10">
        <f t="shared" si="47"/>
        <v>8.072249446037377</v>
      </c>
      <c r="N638" s="4">
        <f t="shared" si="48"/>
        <v>11.633992739691038</v>
      </c>
      <c r="O638" s="36">
        <f>1/M638-(G638/100-(((E638/E518)^(1/10))-1))</f>
        <v>0.13962335892935634</v>
      </c>
      <c r="R638" s="30"/>
      <c r="S638" s="30"/>
    </row>
    <row r="639" spans="1:19" ht="13" x14ac:dyDescent="0.3">
      <c r="A639" s="52" t="s">
        <v>655</v>
      </c>
      <c r="B639" s="6">
        <v>8.8699999999999992</v>
      </c>
      <c r="C639" s="1">
        <v>0.5333</v>
      </c>
      <c r="D639" s="6">
        <v>0.97170000000000001</v>
      </c>
      <c r="E639" s="6">
        <v>17.2</v>
      </c>
      <c r="F639" s="1">
        <f t="shared" si="45"/>
        <v>1924.1249999999518</v>
      </c>
      <c r="G639" s="17">
        <f>G638*11/12+G650*1/12</f>
        <v>4.043333333333333</v>
      </c>
      <c r="H639" s="1">
        <f>B639*$E$1867/E639</f>
        <v>172.82331206395347</v>
      </c>
      <c r="I639" s="1">
        <f>C639*$E$1867/E639</f>
        <v>10.390831152616279</v>
      </c>
      <c r="J639" s="26">
        <f t="shared" si="46"/>
        <v>2822.1458204762112</v>
      </c>
      <c r="K639" s="1">
        <f>D639*$E$1867/E639</f>
        <v>18.932628222383723</v>
      </c>
      <c r="L639" s="26">
        <f t="shared" si="44"/>
        <v>309.16337020932752</v>
      </c>
      <c r="M639" s="10">
        <f t="shared" si="47"/>
        <v>8.162066220850356</v>
      </c>
      <c r="N639" s="4">
        <f t="shared" si="48"/>
        <v>11.76097970953878</v>
      </c>
      <c r="O639" s="36">
        <f>1/M639-(G639/100-(((E639/E519)^(1/10))-1))</f>
        <v>0.13887619650281113</v>
      </c>
      <c r="R639" s="30"/>
      <c r="S639" s="30"/>
    </row>
    <row r="640" spans="1:19" ht="13" x14ac:dyDescent="0.3">
      <c r="A640" s="52" t="s">
        <v>656</v>
      </c>
      <c r="B640" s="6">
        <v>8.6999999999999993</v>
      </c>
      <c r="C640" s="1">
        <v>0.53500000000000003</v>
      </c>
      <c r="D640" s="6">
        <v>0.96750000000000003</v>
      </c>
      <c r="E640" s="6">
        <v>17.100000000000001</v>
      </c>
      <c r="F640" s="1">
        <f t="shared" si="45"/>
        <v>1924.2083333332851</v>
      </c>
      <c r="G640" s="17">
        <f>G638*10/12+G650*2/12</f>
        <v>4.0266666666666664</v>
      </c>
      <c r="H640" s="1">
        <f>B640*$E$1867/E640</f>
        <v>170.50232017543857</v>
      </c>
      <c r="I640" s="1">
        <f>C640*$E$1867/E640</f>
        <v>10.48491279239766</v>
      </c>
      <c r="J640" s="26">
        <f t="shared" si="46"/>
        <v>2798.5127347107918</v>
      </c>
      <c r="K640" s="1">
        <f>D640*$E$1867/E640</f>
        <v>18.961033881578945</v>
      </c>
      <c r="L640" s="26">
        <f t="shared" si="44"/>
        <v>311.21391618766563</v>
      </c>
      <c r="M640" s="10">
        <f t="shared" si="47"/>
        <v>8.0580770441160894</v>
      </c>
      <c r="N640" s="4">
        <f t="shared" si="48"/>
        <v>11.610015219838786</v>
      </c>
      <c r="O640" s="36">
        <f>1/M640-(G640/100-(((E640/E520)^(1/10))-1))</f>
        <v>0.14000792613364052</v>
      </c>
      <c r="R640" s="30"/>
      <c r="S640" s="30"/>
    </row>
    <row r="641" spans="1:19" ht="13" x14ac:dyDescent="0.3">
      <c r="A641" s="52" t="s">
        <v>657</v>
      </c>
      <c r="B641" s="6">
        <v>8.5</v>
      </c>
      <c r="C641" s="1">
        <v>0.53669999999999995</v>
      </c>
      <c r="D641" s="6">
        <v>0.96330000000000005</v>
      </c>
      <c r="E641" s="6">
        <v>17</v>
      </c>
      <c r="F641" s="1">
        <f t="shared" si="45"/>
        <v>1924.2916666666183</v>
      </c>
      <c r="G641" s="17">
        <f>G638*9/12+G650*3/12</f>
        <v>4.01</v>
      </c>
      <c r="H641" s="1">
        <f>B641*$E$1867/E641</f>
        <v>167.562625</v>
      </c>
      <c r="I641" s="1">
        <f>C641*$E$1867/E641</f>
        <v>10.580101274999999</v>
      </c>
      <c r="J641" s="26">
        <f t="shared" si="46"/>
        <v>2764.7337493809232</v>
      </c>
      <c r="K641" s="1">
        <f>D641*$E$1867/E641</f>
        <v>18.989773724999999</v>
      </c>
      <c r="L641" s="26">
        <f t="shared" si="44"/>
        <v>313.32564950336979</v>
      </c>
      <c r="M641" s="10">
        <f t="shared" si="47"/>
        <v>7.9236203483279786</v>
      </c>
      <c r="N641" s="4">
        <f t="shared" si="48"/>
        <v>11.416959092815114</v>
      </c>
      <c r="O641" s="36">
        <f>1/M641-(G641/100-(((E641/E521)^(1/10))-1))</f>
        <v>0.14273334858362083</v>
      </c>
      <c r="R641" s="30"/>
      <c r="S641" s="30"/>
    </row>
    <row r="642" spans="1:19" ht="13" x14ac:dyDescent="0.3">
      <c r="A642" s="52" t="s">
        <v>658</v>
      </c>
      <c r="B642" s="6">
        <v>8.4700000000000006</v>
      </c>
      <c r="C642" s="1">
        <v>0.5383</v>
      </c>
      <c r="D642" s="6">
        <v>0.95920000000000005</v>
      </c>
      <c r="E642" s="6">
        <v>17</v>
      </c>
      <c r="F642" s="1">
        <f t="shared" si="45"/>
        <v>1924.3749999999516</v>
      </c>
      <c r="G642" s="17">
        <f>G638*8/12+G650*4/12</f>
        <v>3.9933333333333332</v>
      </c>
      <c r="H642" s="1">
        <f>B642*$E$1867/E642</f>
        <v>166.9712275</v>
      </c>
      <c r="I642" s="1">
        <f>C642*$E$1867/E642</f>
        <v>10.611642475</v>
      </c>
      <c r="J642" s="26">
        <f t="shared" si="46"/>
        <v>2769.5666123957726</v>
      </c>
      <c r="K642" s="1">
        <f>D642*$E$1867/E642</f>
        <v>18.908949400000001</v>
      </c>
      <c r="L642" s="26">
        <f t="shared" si="44"/>
        <v>313.64442675443041</v>
      </c>
      <c r="M642" s="10">
        <f t="shared" si="47"/>
        <v>7.8996983306652906</v>
      </c>
      <c r="N642" s="4">
        <f t="shared" si="48"/>
        <v>11.38353172277583</v>
      </c>
      <c r="O642" s="36">
        <f>1/M642-(G642/100-(((E642/E522)^(1/10))-1))</f>
        <v>0.14221000739146011</v>
      </c>
      <c r="R642" s="30"/>
      <c r="S642" s="30"/>
    </row>
    <row r="643" spans="1:19" ht="13" x14ac:dyDescent="0.3">
      <c r="A643" s="52" t="s">
        <v>659</v>
      </c>
      <c r="B643" s="6">
        <v>8.6300000000000008</v>
      </c>
      <c r="C643" s="1">
        <v>0.54</v>
      </c>
      <c r="D643" s="6">
        <v>0.95499999999999996</v>
      </c>
      <c r="E643" s="6">
        <v>17</v>
      </c>
      <c r="F643" s="1">
        <f t="shared" si="45"/>
        <v>1924.4583333332848</v>
      </c>
      <c r="G643" s="17">
        <f>G638*7/12+G650*5/12</f>
        <v>3.9766666666666666</v>
      </c>
      <c r="H643" s="1">
        <f>B643*$E$1867/E643</f>
        <v>170.12534750000003</v>
      </c>
      <c r="I643" s="1">
        <f>C643*$E$1867/E643</f>
        <v>10.645155000000001</v>
      </c>
      <c r="J643" s="26">
        <f t="shared" si="46"/>
        <v>2836.5986260369937</v>
      </c>
      <c r="K643" s="1">
        <f>D643*$E$1867/E643</f>
        <v>18.82615375</v>
      </c>
      <c r="L643" s="26">
        <f t="shared" ref="L643:L706" si="49">K643*(J643/H643)</f>
        <v>313.89938445716433</v>
      </c>
      <c r="M643" s="10">
        <f t="shared" si="47"/>
        <v>8.0516769463966433</v>
      </c>
      <c r="N643" s="4">
        <f t="shared" si="48"/>
        <v>11.603299337130561</v>
      </c>
      <c r="O643" s="36">
        <f>1/M643-(G643/100-(((E643/E523)^(1/10))-1))</f>
        <v>0.1399872917927617</v>
      </c>
      <c r="R643" s="30"/>
      <c r="S643" s="30"/>
    </row>
    <row r="644" spans="1:19" ht="13" x14ac:dyDescent="0.3">
      <c r="A644" s="52" t="s">
        <v>660</v>
      </c>
      <c r="B644" s="6">
        <v>9.0299999999999994</v>
      </c>
      <c r="C644" s="1">
        <v>0.54169999999999996</v>
      </c>
      <c r="D644" s="6">
        <v>0.95079999999999998</v>
      </c>
      <c r="E644" s="6">
        <v>17.100000000000001</v>
      </c>
      <c r="F644" s="1">
        <f t="shared" ref="F644:F707" si="50">F643+1/12</f>
        <v>1924.5416666666181</v>
      </c>
      <c r="G644" s="17">
        <f>G638*6/12+G650*6/12</f>
        <v>3.96</v>
      </c>
      <c r="H644" s="1">
        <f>B644*$E$1867/E644</f>
        <v>176.96964956140349</v>
      </c>
      <c r="I644" s="1">
        <f>C644*$E$1867/E644</f>
        <v>10.616219176900582</v>
      </c>
      <c r="J644" s="26">
        <f t="shared" ref="J644:J707" si="51">J643*((H644+(I644/12))/H643)</f>
        <v>2965.4685105465187</v>
      </c>
      <c r="K644" s="1">
        <f>D644*$E$1867/E644</f>
        <v>18.633747818713449</v>
      </c>
      <c r="L644" s="26">
        <f t="shared" si="49"/>
        <v>312.24445845267218</v>
      </c>
      <c r="M644" s="10">
        <f t="shared" si="47"/>
        <v>8.3777121399718304</v>
      </c>
      <c r="N644" s="4">
        <f t="shared" si="48"/>
        <v>12.071823287457528</v>
      </c>
      <c r="O644" s="36">
        <f>1/M644-(G644/100-(((E644/E524)^(1/10))-1))</f>
        <v>0.13487887811364771</v>
      </c>
      <c r="R644" s="30"/>
      <c r="S644" s="30"/>
    </row>
    <row r="645" spans="1:19" ht="13" x14ac:dyDescent="0.3">
      <c r="A645" s="52" t="s">
        <v>661</v>
      </c>
      <c r="B645" s="6">
        <v>9.34</v>
      </c>
      <c r="C645" s="1">
        <v>0.54330000000000001</v>
      </c>
      <c r="D645" s="6">
        <v>0.94669999999999999</v>
      </c>
      <c r="E645" s="6">
        <v>17</v>
      </c>
      <c r="F645" s="1">
        <f t="shared" si="50"/>
        <v>1924.6249999999513</v>
      </c>
      <c r="G645" s="17">
        <f>G638*5/12+G650*7/12</f>
        <v>3.9433333333333329</v>
      </c>
      <c r="H645" s="1">
        <f>B645*$E$1867/E645</f>
        <v>184.12175499999998</v>
      </c>
      <c r="I645" s="1">
        <f>C645*$E$1867/E645</f>
        <v>10.710208724999999</v>
      </c>
      <c r="J645" s="26">
        <f t="shared" si="51"/>
        <v>3100.2717140770187</v>
      </c>
      <c r="K645" s="1">
        <f>D645*$E$1867/E645</f>
        <v>18.662533775</v>
      </c>
      <c r="L645" s="26">
        <f t="shared" si="49"/>
        <v>314.2427442951514</v>
      </c>
      <c r="M645" s="10">
        <f t="shared" si="47"/>
        <v>8.7174183085483286</v>
      </c>
      <c r="N645" s="4">
        <f t="shared" si="48"/>
        <v>12.559042780803479</v>
      </c>
      <c r="O645" s="36">
        <f>1/M645-(G645/100-(((E645/E525)^(1/10))-1))</f>
        <v>0.12768930742272613</v>
      </c>
      <c r="R645" s="30"/>
      <c r="S645" s="30"/>
    </row>
    <row r="646" spans="1:19" ht="13" x14ac:dyDescent="0.3">
      <c r="A646" s="52" t="s">
        <v>662</v>
      </c>
      <c r="B646" s="6">
        <v>9.25</v>
      </c>
      <c r="C646" s="1">
        <v>0.54500000000000004</v>
      </c>
      <c r="D646" s="6">
        <v>0.9425</v>
      </c>
      <c r="E646" s="6">
        <v>17.100000000000001</v>
      </c>
      <c r="F646" s="1">
        <f t="shared" si="50"/>
        <v>1924.7083333332846</v>
      </c>
      <c r="G646" s="17">
        <f>G638*4/12+G650*8/12</f>
        <v>3.9266666666666667</v>
      </c>
      <c r="H646" s="1">
        <f>B646*$E$1867/E646</f>
        <v>181.28120248538008</v>
      </c>
      <c r="I646" s="1">
        <f>C646*$E$1867/E646</f>
        <v>10.680892470760234</v>
      </c>
      <c r="J646" s="26">
        <f t="shared" si="51"/>
        <v>3067.4292495201098</v>
      </c>
      <c r="K646" s="1">
        <f>D646*$E$1867/E646</f>
        <v>18.471084685672512</v>
      </c>
      <c r="L646" s="26">
        <f t="shared" si="49"/>
        <v>312.54616947813008</v>
      </c>
      <c r="M646" s="10">
        <f t="shared" si="47"/>
        <v>8.5816703752090486</v>
      </c>
      <c r="N646" s="4">
        <f t="shared" si="48"/>
        <v>12.362730876100693</v>
      </c>
      <c r="O646" s="36">
        <f>1/M646-(G646/100-(((E646/E526)^(1/10))-1))</f>
        <v>0.13028797514421847</v>
      </c>
      <c r="R646" s="30"/>
      <c r="S646" s="30"/>
    </row>
    <row r="647" spans="1:19" ht="13" x14ac:dyDescent="0.3">
      <c r="A647" s="52" t="s">
        <v>663</v>
      </c>
      <c r="B647" s="6">
        <v>9.1300000000000008</v>
      </c>
      <c r="C647" s="1">
        <v>0.54669999999999996</v>
      </c>
      <c r="D647" s="6">
        <v>0.93830000000000002</v>
      </c>
      <c r="E647" s="6">
        <v>17.2</v>
      </c>
      <c r="F647" s="1">
        <f t="shared" si="50"/>
        <v>1924.7916666666179</v>
      </c>
      <c r="G647" s="17">
        <f>G638*3/12+G650*9/12</f>
        <v>3.91</v>
      </c>
      <c r="H647" s="1">
        <f>B647*$E$1867/E647</f>
        <v>177.8891588662791</v>
      </c>
      <c r="I647" s="1">
        <f>C647*$E$1867/E647</f>
        <v>10.651917103197674</v>
      </c>
      <c r="J647" s="26">
        <f t="shared" si="51"/>
        <v>3025.0529843563404</v>
      </c>
      <c r="K647" s="1">
        <f>D647*$E$1867/E647</f>
        <v>18.281861748546511</v>
      </c>
      <c r="L647" s="26">
        <f t="shared" si="49"/>
        <v>310.8879753802359</v>
      </c>
      <c r="M647" s="10">
        <f t="shared" si="47"/>
        <v>8.4194910358724258</v>
      </c>
      <c r="N647" s="4">
        <f t="shared" si="48"/>
        <v>12.130082536261691</v>
      </c>
      <c r="O647" s="36">
        <f>1/M647-(G647/100-(((E647/E527)^(1/10))-1))</f>
        <v>0.13435201723474416</v>
      </c>
      <c r="R647" s="30"/>
      <c r="S647" s="30"/>
    </row>
    <row r="648" spans="1:19" ht="13" x14ac:dyDescent="0.3">
      <c r="A648" s="52" t="s">
        <v>664</v>
      </c>
      <c r="B648" s="6">
        <v>9.64</v>
      </c>
      <c r="C648" s="1">
        <v>0.54830000000000001</v>
      </c>
      <c r="D648" s="6">
        <v>0.93420000000000003</v>
      </c>
      <c r="E648" s="6">
        <v>17.2</v>
      </c>
      <c r="F648" s="1">
        <f t="shared" si="50"/>
        <v>1924.8749999999511</v>
      </c>
      <c r="G648" s="17">
        <f>G638*2/12+G650*10/12</f>
        <v>3.8933333333333335</v>
      </c>
      <c r="H648" s="1">
        <f>B648*$E$1867/E648</f>
        <v>187.82601220930235</v>
      </c>
      <c r="I648" s="1">
        <f>C648*$E$1867/E648</f>
        <v>10.68309154505814</v>
      </c>
      <c r="J648" s="26">
        <f t="shared" si="51"/>
        <v>3209.1709180509674</v>
      </c>
      <c r="K648" s="1">
        <f>D648*$E$1867/E648</f>
        <v>18.201977241279071</v>
      </c>
      <c r="L648" s="26">
        <f t="shared" si="49"/>
        <v>310.99662568913004</v>
      </c>
      <c r="M648" s="10">
        <f t="shared" si="47"/>
        <v>8.8883273612509726</v>
      </c>
      <c r="N648" s="4">
        <f t="shared" si="48"/>
        <v>12.803950814956575</v>
      </c>
      <c r="O648" s="36">
        <f>1/M648-(G648/100-(((E648/E528)^(1/10))-1))</f>
        <v>0.12721517587619613</v>
      </c>
      <c r="R648" s="30"/>
      <c r="S648" s="30"/>
    </row>
    <row r="649" spans="1:19" ht="13" x14ac:dyDescent="0.3">
      <c r="A649" s="52" t="s">
        <v>665</v>
      </c>
      <c r="B649" s="6">
        <v>10.16</v>
      </c>
      <c r="C649" s="1">
        <v>0.55000000000000004</v>
      </c>
      <c r="D649" s="6">
        <v>0.93</v>
      </c>
      <c r="E649" s="6">
        <v>17.3</v>
      </c>
      <c r="F649" s="1">
        <f t="shared" si="50"/>
        <v>1924.9583333332844</v>
      </c>
      <c r="G649" s="17">
        <f>G638*1/12+G650*11/12</f>
        <v>3.8766666666666669</v>
      </c>
      <c r="H649" s="1">
        <f>B649*$E$1867/E649</f>
        <v>196.81344161849708</v>
      </c>
      <c r="I649" s="1">
        <f>C649*$E$1867/E649</f>
        <v>10.654270953757226</v>
      </c>
      <c r="J649" s="26">
        <f t="shared" si="51"/>
        <v>3377.8987640509563</v>
      </c>
      <c r="K649" s="1">
        <f>D649*$E$1867/E649</f>
        <v>18.015403612716764</v>
      </c>
      <c r="L649" s="26">
        <f t="shared" si="49"/>
        <v>309.19742623694782</v>
      </c>
      <c r="M649" s="10">
        <f t="shared" si="47"/>
        <v>9.310639680416374</v>
      </c>
      <c r="N649" s="4">
        <f t="shared" si="48"/>
        <v>13.408391594348105</v>
      </c>
      <c r="O649" s="36">
        <f>1/M649-(G649/100-(((E649/E529)^(1/10))-1))</f>
        <v>0.12392891919221902</v>
      </c>
      <c r="R649" s="30"/>
      <c r="S649" s="30"/>
    </row>
    <row r="650" spans="1:19" ht="13" x14ac:dyDescent="0.3">
      <c r="A650" s="52" t="s">
        <v>666</v>
      </c>
      <c r="B650" s="6">
        <v>10.58</v>
      </c>
      <c r="C650" s="1">
        <v>0.55420000000000003</v>
      </c>
      <c r="D650" s="6">
        <v>0.95669999999999999</v>
      </c>
      <c r="E650" s="6">
        <v>17.3</v>
      </c>
      <c r="F650" s="1">
        <f t="shared" si="50"/>
        <v>1925.0416666666176</v>
      </c>
      <c r="G650" s="17">
        <v>3.86</v>
      </c>
      <c r="H650" s="1">
        <f>B650*$E$1867/E650</f>
        <v>204.9494303468208</v>
      </c>
      <c r="I650" s="1">
        <f>C650*$E$1867/E650</f>
        <v>10.735630841040463</v>
      </c>
      <c r="J650" s="26">
        <f t="shared" si="51"/>
        <v>3532.8909004178681</v>
      </c>
      <c r="K650" s="1">
        <f>D650*$E$1867/E650</f>
        <v>18.532620039017338</v>
      </c>
      <c r="L650" s="26">
        <f t="shared" si="49"/>
        <v>319.46282839600883</v>
      </c>
      <c r="M650" s="10">
        <f t="shared" si="47"/>
        <v>9.6926188522549968</v>
      </c>
      <c r="N650" s="4">
        <f t="shared" si="48"/>
        <v>13.953065695481392</v>
      </c>
      <c r="O650" s="36">
        <f>1/M650-(G650/100-(((E650/E530)^(1/10))-1))</f>
        <v>0.11986287085323862</v>
      </c>
      <c r="R650" s="30"/>
      <c r="S650" s="30"/>
    </row>
    <row r="651" spans="1:19" ht="13" x14ac:dyDescent="0.3">
      <c r="A651" s="52" t="s">
        <v>667</v>
      </c>
      <c r="B651" s="6">
        <v>10.67</v>
      </c>
      <c r="C651" s="1">
        <v>0.55830000000000002</v>
      </c>
      <c r="D651" s="6">
        <v>0.98329999999999995</v>
      </c>
      <c r="E651" s="6">
        <v>17.2</v>
      </c>
      <c r="F651" s="1">
        <f t="shared" si="50"/>
        <v>1925.1249999999509</v>
      </c>
      <c r="G651" s="17">
        <f>G650*11/12+G662*1/12</f>
        <v>3.8450000000000002</v>
      </c>
      <c r="H651" s="1">
        <f>B651*$E$1867/E651</f>
        <v>207.89455915697675</v>
      </c>
      <c r="I651" s="1">
        <f>C651*$E$1867/E651</f>
        <v>10.877931806686046</v>
      </c>
      <c r="J651" s="26">
        <f t="shared" si="51"/>
        <v>3599.2846653360348</v>
      </c>
      <c r="K651" s="1">
        <f>D651*$E$1867/E651</f>
        <v>19.158642925872094</v>
      </c>
      <c r="L651" s="26">
        <f t="shared" si="49"/>
        <v>331.69415289830579</v>
      </c>
      <c r="M651" s="10">
        <f t="shared" si="47"/>
        <v>9.8308047228195754</v>
      </c>
      <c r="N651" s="4">
        <f t="shared" si="48"/>
        <v>14.143902484635959</v>
      </c>
      <c r="O651" s="36">
        <f>1/M651-(G651/100-(((E651/E531)^(1/10))-1))</f>
        <v>0.11900102849113872</v>
      </c>
      <c r="R651" s="30"/>
      <c r="S651" s="30"/>
    </row>
    <row r="652" spans="1:19" ht="13" x14ac:dyDescent="0.3">
      <c r="A652" s="52" t="s">
        <v>668</v>
      </c>
      <c r="B652" s="6">
        <v>10.39</v>
      </c>
      <c r="C652" s="1">
        <v>0.5625</v>
      </c>
      <c r="D652" s="6">
        <v>1.01</v>
      </c>
      <c r="E652" s="6">
        <v>17.3</v>
      </c>
      <c r="F652" s="1">
        <f t="shared" si="50"/>
        <v>1925.2083333332841</v>
      </c>
      <c r="G652" s="17">
        <f>G650*10/12+G662*2/12</f>
        <v>3.83</v>
      </c>
      <c r="H652" s="1">
        <f>B652*$E$1867/E652</f>
        <v>201.26886401734106</v>
      </c>
      <c r="I652" s="1">
        <f>C652*$E$1867/E652</f>
        <v>10.896413475433526</v>
      </c>
      <c r="J652" s="26">
        <f t="shared" si="51"/>
        <v>3500.2946364356835</v>
      </c>
      <c r="K652" s="1">
        <f>D652*$E$1867/E652</f>
        <v>19.565115751445084</v>
      </c>
      <c r="L652" s="26">
        <f t="shared" si="49"/>
        <v>340.25963260828104</v>
      </c>
      <c r="M652" s="10">
        <f t="shared" si="47"/>
        <v>9.5185375388100315</v>
      </c>
      <c r="N652" s="4">
        <f t="shared" si="48"/>
        <v>13.685923349947968</v>
      </c>
      <c r="O652" s="36">
        <f>1/M652-(G652/100-(((E652/E532)^(1/10))-1))</f>
        <v>0.12416250134532483</v>
      </c>
      <c r="R652" s="30"/>
      <c r="S652" s="30"/>
    </row>
    <row r="653" spans="1:19" ht="13" x14ac:dyDescent="0.3">
      <c r="A653" s="52" t="s">
        <v>669</v>
      </c>
      <c r="B653" s="6">
        <v>10.28</v>
      </c>
      <c r="C653" s="1">
        <v>0.56669999999999998</v>
      </c>
      <c r="D653" s="6">
        <v>1.0369999999999999</v>
      </c>
      <c r="E653" s="6">
        <v>17.2</v>
      </c>
      <c r="F653" s="1">
        <f t="shared" si="50"/>
        <v>1925.2916666666174</v>
      </c>
      <c r="G653" s="17">
        <f>G650*9/12+G662*3/12</f>
        <v>3.8149999999999999</v>
      </c>
      <c r="H653" s="1">
        <f>B653*$E$1867/E653</f>
        <v>200.29578895348837</v>
      </c>
      <c r="I653" s="1">
        <f>C653*$E$1867/E653</f>
        <v>11.041597626453489</v>
      </c>
      <c r="J653" s="26">
        <f t="shared" si="51"/>
        <v>3499.3739160419555</v>
      </c>
      <c r="K653" s="1">
        <f>D653*$E$1867/E653</f>
        <v>20.204935130813951</v>
      </c>
      <c r="L653" s="26">
        <f t="shared" si="49"/>
        <v>353.00104581084702</v>
      </c>
      <c r="M653" s="10">
        <f t="shared" si="47"/>
        <v>9.4765667879030673</v>
      </c>
      <c r="N653" s="4">
        <f t="shared" si="48"/>
        <v>13.615545452014176</v>
      </c>
      <c r="O653" s="36">
        <f>1/M653-(G653/100-(((E653/E533)^(1/10))-1))</f>
        <v>0.1231034037044843</v>
      </c>
      <c r="R653" s="30"/>
      <c r="S653" s="30"/>
    </row>
    <row r="654" spans="1:19" ht="13" x14ac:dyDescent="0.3">
      <c r="A654" s="52" t="s">
        <v>670</v>
      </c>
      <c r="B654" s="6">
        <v>10.61</v>
      </c>
      <c r="C654" s="1">
        <v>0.57079999999999997</v>
      </c>
      <c r="D654" s="6">
        <v>1.0629999999999999</v>
      </c>
      <c r="E654" s="6">
        <v>17.3</v>
      </c>
      <c r="F654" s="1">
        <f t="shared" si="50"/>
        <v>1925.3749999999507</v>
      </c>
      <c r="G654" s="17">
        <f>G650*8/12+G662*4/12</f>
        <v>3.8</v>
      </c>
      <c r="H654" s="1">
        <f>B654*$E$1867/E654</f>
        <v>205.5305723988439</v>
      </c>
      <c r="I654" s="1">
        <f>C654*$E$1867/E654</f>
        <v>11.057196109826588</v>
      </c>
      <c r="J654" s="26">
        <f t="shared" si="51"/>
        <v>3606.9293638872182</v>
      </c>
      <c r="K654" s="1">
        <f>D654*$E$1867/E654</f>
        <v>20.591800043352599</v>
      </c>
      <c r="L654" s="26">
        <f t="shared" si="49"/>
        <v>361.37284767314924</v>
      </c>
      <c r="M654" s="10">
        <f t="shared" si="47"/>
        <v>9.7290076940213286</v>
      </c>
      <c r="N654" s="4">
        <f t="shared" si="48"/>
        <v>13.963817337114971</v>
      </c>
      <c r="O654" s="36">
        <f>1/M654-(G654/100-(((E654/E534)^(1/10))-1))</f>
        <v>0.12007698527266283</v>
      </c>
      <c r="R654" s="30"/>
      <c r="S654" s="30"/>
    </row>
    <row r="655" spans="1:19" ht="13" x14ac:dyDescent="0.3">
      <c r="A655" s="52" t="s">
        <v>671</v>
      </c>
      <c r="B655" s="6">
        <v>10.8</v>
      </c>
      <c r="C655" s="1">
        <v>0.57499999999999996</v>
      </c>
      <c r="D655" s="6">
        <v>1.0900000000000001</v>
      </c>
      <c r="E655" s="6">
        <v>17.5</v>
      </c>
      <c r="F655" s="1">
        <f t="shared" si="50"/>
        <v>1925.4583333332839</v>
      </c>
      <c r="G655" s="17">
        <f>G650*7/12+G662*5/12</f>
        <v>3.7850000000000001</v>
      </c>
      <c r="H655" s="1">
        <f>B655*$E$1867/E655</f>
        <v>206.8201542857143</v>
      </c>
      <c r="I655" s="1">
        <f>C655*$E$1867/E655</f>
        <v>11.011258214285712</v>
      </c>
      <c r="J655" s="26">
        <f t="shared" si="51"/>
        <v>3645.6640716446859</v>
      </c>
      <c r="K655" s="1">
        <f>D655*$E$1867/E655</f>
        <v>20.873515571428573</v>
      </c>
      <c r="L655" s="26">
        <f t="shared" si="49"/>
        <v>367.94202204562112</v>
      </c>
      <c r="M655" s="10">
        <f t="shared" si="47"/>
        <v>9.7963861804506109</v>
      </c>
      <c r="N655" s="4">
        <f t="shared" si="48"/>
        <v>14.043411328040776</v>
      </c>
      <c r="O655" s="36">
        <f>1/M655-(G655/100-(((E655/E535)^(1/10))-1))</f>
        <v>0.12073372793126161</v>
      </c>
      <c r="R655" s="30"/>
      <c r="S655" s="30"/>
    </row>
    <row r="656" spans="1:19" ht="13" x14ac:dyDescent="0.3">
      <c r="A656" s="52" t="s">
        <v>672</v>
      </c>
      <c r="B656" s="6">
        <v>11.1</v>
      </c>
      <c r="C656" s="1">
        <v>0.57920000000000005</v>
      </c>
      <c r="D656" s="6">
        <v>1.117</v>
      </c>
      <c r="E656" s="6">
        <v>17.7</v>
      </c>
      <c r="F656" s="1">
        <f t="shared" si="50"/>
        <v>1925.5416666666172</v>
      </c>
      <c r="G656" s="17">
        <f>G650*6/12+G662*6/12</f>
        <v>3.77</v>
      </c>
      <c r="H656" s="1">
        <f>B656*$E$1867/E656</f>
        <v>210.16329237288136</v>
      </c>
      <c r="I656" s="1">
        <f>C656*$E$1867/E656</f>
        <v>10.966358463276837</v>
      </c>
      <c r="J656" s="26">
        <f t="shared" si="51"/>
        <v>3720.7031640309829</v>
      </c>
      <c r="K656" s="1">
        <f>D656*$E$1867/E656</f>
        <v>21.148864646892655</v>
      </c>
      <c r="L656" s="26">
        <f t="shared" si="49"/>
        <v>374.41670578582051</v>
      </c>
      <c r="M656" s="10">
        <f t="shared" si="47"/>
        <v>9.9639938917877995</v>
      </c>
      <c r="N656" s="4">
        <f t="shared" si="48"/>
        <v>14.263012384495759</v>
      </c>
      <c r="O656" s="36">
        <f>1/M656-(G656/100-(((E656/E536)^(1/10))-1))</f>
        <v>0.12036790116256756</v>
      </c>
      <c r="R656" s="30"/>
      <c r="S656" s="30"/>
    </row>
    <row r="657" spans="1:19" ht="13" x14ac:dyDescent="0.3">
      <c r="A657" s="52" t="s">
        <v>673</v>
      </c>
      <c r="B657" s="6">
        <v>11.25</v>
      </c>
      <c r="C657" s="1">
        <v>0.58330000000000004</v>
      </c>
      <c r="D657" s="6">
        <v>1.143</v>
      </c>
      <c r="E657" s="6">
        <v>17.7</v>
      </c>
      <c r="F657" s="1">
        <f t="shared" si="50"/>
        <v>1925.6249999999504</v>
      </c>
      <c r="G657" s="17">
        <f>G650*5/12+G662*7/12</f>
        <v>3.7550000000000003</v>
      </c>
      <c r="H657" s="1">
        <f>B657*$E$1867/E657</f>
        <v>213.00333686440678</v>
      </c>
      <c r="I657" s="1">
        <f>C657*$E$1867/E657</f>
        <v>11.0439863460452</v>
      </c>
      <c r="J657" s="26">
        <f t="shared" si="51"/>
        <v>3787.2763761243391</v>
      </c>
      <c r="K657" s="1">
        <f>D657*$E$1867/E657</f>
        <v>21.64113902542373</v>
      </c>
      <c r="L657" s="26">
        <f t="shared" si="49"/>
        <v>384.78727981423282</v>
      </c>
      <c r="M657" s="10">
        <f t="shared" si="47"/>
        <v>10.110918458488941</v>
      </c>
      <c r="N657" s="4">
        <f t="shared" si="48"/>
        <v>14.4499404511054</v>
      </c>
      <c r="O657" s="36">
        <f>1/M657-(G657/100-(((E657/E537)^(1/10))-1))</f>
        <v>0.11905952231040803</v>
      </c>
      <c r="R657" s="30"/>
      <c r="S657" s="30"/>
    </row>
    <row r="658" spans="1:19" ht="13" x14ac:dyDescent="0.3">
      <c r="A658" s="52" t="s">
        <v>674</v>
      </c>
      <c r="B658" s="6">
        <v>11.51</v>
      </c>
      <c r="C658" s="1">
        <v>0.58750000000000002</v>
      </c>
      <c r="D658" s="6">
        <v>1.17</v>
      </c>
      <c r="E658" s="6">
        <v>17.7</v>
      </c>
      <c r="F658" s="1">
        <f t="shared" si="50"/>
        <v>1925.7083333332837</v>
      </c>
      <c r="G658" s="17">
        <f>G650*4/12+G662*8/12</f>
        <v>3.74</v>
      </c>
      <c r="H658" s="1">
        <f>B658*$E$1867/E658</f>
        <v>217.92608064971751</v>
      </c>
      <c r="I658" s="1">
        <f>C658*$E$1867/E658</f>
        <v>11.123507591807909</v>
      </c>
      <c r="J658" s="26">
        <f t="shared" si="51"/>
        <v>3891.2862069723465</v>
      </c>
      <c r="K658" s="1">
        <f>D658*$E$1867/E658</f>
        <v>22.152347033898302</v>
      </c>
      <c r="L658" s="26">
        <f t="shared" si="49"/>
        <v>395.5521166079622</v>
      </c>
      <c r="M658" s="10">
        <f t="shared" si="47"/>
        <v>10.359247611348501</v>
      </c>
      <c r="N658" s="4">
        <f t="shared" si="48"/>
        <v>14.777258376991174</v>
      </c>
      <c r="O658" s="36">
        <f>1/M658-(G658/100-(((E658/E538)^(1/10))-1))</f>
        <v>0.11683864606599491</v>
      </c>
      <c r="R658" s="30"/>
      <c r="S658" s="30"/>
    </row>
    <row r="659" spans="1:19" ht="13" x14ac:dyDescent="0.3">
      <c r="A659" s="52" t="s">
        <v>675</v>
      </c>
      <c r="B659" s="6">
        <v>11.89</v>
      </c>
      <c r="C659" s="1">
        <v>0.5917</v>
      </c>
      <c r="D659" s="6">
        <v>1.1970000000000001</v>
      </c>
      <c r="E659" s="6">
        <v>17.7</v>
      </c>
      <c r="F659" s="1">
        <f t="shared" si="50"/>
        <v>1925.7916666666169</v>
      </c>
      <c r="G659" s="17">
        <f>G650*3/12+G662*9/12</f>
        <v>3.7250000000000001</v>
      </c>
      <c r="H659" s="1">
        <f>B659*$E$1867/E659</f>
        <v>225.12086002824859</v>
      </c>
      <c r="I659" s="1">
        <f>C659*$E$1867/E659</f>
        <v>11.203028837570622</v>
      </c>
      <c r="J659" s="26">
        <f t="shared" si="51"/>
        <v>4036.426224004344</v>
      </c>
      <c r="K659" s="1">
        <f>D659*$E$1867/E659</f>
        <v>22.663555042372884</v>
      </c>
      <c r="L659" s="26">
        <f t="shared" si="49"/>
        <v>406.35846847209427</v>
      </c>
      <c r="M659" s="10">
        <f t="shared" si="47"/>
        <v>10.718495997022929</v>
      </c>
      <c r="N659" s="4">
        <f t="shared" si="48"/>
        <v>15.256796100151364</v>
      </c>
      <c r="O659" s="36">
        <f>1/M659-(G659/100-(((E659/E539)^(1/10))-1))</f>
        <v>0.11271163979524515</v>
      </c>
      <c r="R659" s="30"/>
      <c r="S659" s="30"/>
    </row>
    <row r="660" spans="1:19" ht="13" x14ac:dyDescent="0.3">
      <c r="A660" s="52" t="s">
        <v>676</v>
      </c>
      <c r="B660" s="6">
        <v>12.26</v>
      </c>
      <c r="C660" s="1">
        <v>0.5958</v>
      </c>
      <c r="D660" s="6">
        <v>1.2230000000000001</v>
      </c>
      <c r="E660" s="6">
        <v>18</v>
      </c>
      <c r="F660" s="1">
        <f t="shared" si="50"/>
        <v>1925.8749999999502</v>
      </c>
      <c r="G660" s="17">
        <f>G650*2/12+G662*10/12</f>
        <v>3.71</v>
      </c>
      <c r="H660" s="1">
        <f>B660*$E$1867/E660</f>
        <v>228.25753138888888</v>
      </c>
      <c r="I660" s="1">
        <f>C660*$E$1867/E660</f>
        <v>11.092645775000001</v>
      </c>
      <c r="J660" s="26">
        <f t="shared" si="51"/>
        <v>4109.2411690924991</v>
      </c>
      <c r="K660" s="1">
        <f>D660*$E$1867/E660</f>
        <v>22.769898930555556</v>
      </c>
      <c r="L660" s="26">
        <f t="shared" si="49"/>
        <v>409.91859296901521</v>
      </c>
      <c r="M660" s="10">
        <f t="shared" si="47"/>
        <v>10.886317440307936</v>
      </c>
      <c r="N660" s="4">
        <f t="shared" si="48"/>
        <v>15.45834517203625</v>
      </c>
      <c r="O660" s="36">
        <f>1/M660-(G660/100-(((E660/E540)^(1/10))-1))</f>
        <v>0.1121687068854568</v>
      </c>
      <c r="R660" s="30"/>
      <c r="S660" s="30"/>
    </row>
    <row r="661" spans="1:19" ht="13" x14ac:dyDescent="0.3">
      <c r="A661" s="52" t="s">
        <v>677</v>
      </c>
      <c r="B661" s="6">
        <v>12.46</v>
      </c>
      <c r="C661" s="1">
        <v>0.6</v>
      </c>
      <c r="D661" s="6">
        <v>1.25</v>
      </c>
      <c r="E661" s="6">
        <v>17.899999999999999</v>
      </c>
      <c r="F661" s="1">
        <f t="shared" si="50"/>
        <v>1925.9583333332835</v>
      </c>
      <c r="G661" s="17">
        <f>G650*1/12+G662*11/12</f>
        <v>3.6950000000000003</v>
      </c>
      <c r="H661" s="1">
        <f>B661*$E$1867/E661</f>
        <v>233.27712932960895</v>
      </c>
      <c r="I661" s="1">
        <f>C661*$E$1867/E661</f>
        <v>11.233248603351955</v>
      </c>
      <c r="J661" s="26">
        <f t="shared" si="51"/>
        <v>4216.4596063696681</v>
      </c>
      <c r="K661" s="1">
        <f>D661*$E$1867/E661</f>
        <v>23.402601256983242</v>
      </c>
      <c r="L661" s="26">
        <f t="shared" si="49"/>
        <v>422.99955922649161</v>
      </c>
      <c r="M661" s="10">
        <f t="shared" si="47"/>
        <v>11.147365239137253</v>
      </c>
      <c r="N661" s="4">
        <f t="shared" si="48"/>
        <v>15.788866974247391</v>
      </c>
      <c r="O661" s="36">
        <f>1/M661-(G661/100-(((E661/E541)^(1/10))-1))</f>
        <v>0.10957865215542237</v>
      </c>
      <c r="R661" s="30"/>
      <c r="S661" s="30"/>
    </row>
    <row r="662" spans="1:19" ht="13" x14ac:dyDescent="0.3">
      <c r="A662" s="52" t="s">
        <v>678</v>
      </c>
      <c r="B662" s="6">
        <v>12.65</v>
      </c>
      <c r="C662" s="1">
        <v>0.60750000000000004</v>
      </c>
      <c r="D662" s="6">
        <v>1.2490000000000001</v>
      </c>
      <c r="E662" s="6">
        <v>17.899999999999999</v>
      </c>
      <c r="F662" s="1">
        <f t="shared" si="50"/>
        <v>1926.0416666666167</v>
      </c>
      <c r="G662" s="17">
        <v>3.68</v>
      </c>
      <c r="H662" s="1">
        <f>B662*$E$1867/E662</f>
        <v>236.83432472067042</v>
      </c>
      <c r="I662" s="1">
        <f>C662*$E$1867/E662</f>
        <v>11.373664210893855</v>
      </c>
      <c r="J662" s="26">
        <f t="shared" si="51"/>
        <v>4297.887021520768</v>
      </c>
      <c r="K662" s="1">
        <f>D662*$E$1867/E662</f>
        <v>23.383879175977658</v>
      </c>
      <c r="L662" s="26">
        <f t="shared" si="49"/>
        <v>424.35263951616122</v>
      </c>
      <c r="M662" s="10">
        <f t="shared" si="47"/>
        <v>11.340966188506238</v>
      </c>
      <c r="N662" s="4">
        <f t="shared" si="48"/>
        <v>16.018850836070307</v>
      </c>
      <c r="O662" s="36">
        <f>1/M662-(G662/100-(((E662/E542)^(1/10))-1))</f>
        <v>0.10717666605596017</v>
      </c>
      <c r="R662" s="30"/>
      <c r="S662" s="30"/>
    </row>
    <row r="663" spans="1:19" ht="13" x14ac:dyDescent="0.3">
      <c r="A663" s="52" t="s">
        <v>679</v>
      </c>
      <c r="B663" s="6">
        <v>12.67</v>
      </c>
      <c r="C663" s="1">
        <v>0.61499999999999999</v>
      </c>
      <c r="D663" s="6">
        <v>1.248</v>
      </c>
      <c r="E663" s="6">
        <v>17.899999999999999</v>
      </c>
      <c r="F663" s="1">
        <f t="shared" si="50"/>
        <v>1926.12499999995</v>
      </c>
      <c r="G663" s="17">
        <f>G662*11/12+G674*1/12</f>
        <v>3.6516666666666668</v>
      </c>
      <c r="H663" s="1">
        <f>B663*$E$1867/E663</f>
        <v>237.20876634078212</v>
      </c>
      <c r="I663" s="1">
        <f>C663*$E$1867/E663</f>
        <v>11.514079818435754</v>
      </c>
      <c r="J663" s="26">
        <f t="shared" si="51"/>
        <v>4322.0944879463286</v>
      </c>
      <c r="K663" s="1">
        <f>D663*$E$1867/E663</f>
        <v>23.365157094972069</v>
      </c>
      <c r="L663" s="26">
        <f t="shared" si="49"/>
        <v>425.72801270378994</v>
      </c>
      <c r="M663" s="10">
        <f t="shared" si="47"/>
        <v>11.389435672748011</v>
      </c>
      <c r="N663" s="4">
        <f t="shared" si="48"/>
        <v>16.04127331519663</v>
      </c>
      <c r="O663" s="36">
        <f>1/M663-(G663/100-(((E663/E543)^(1/10))-1))</f>
        <v>0.10708475333291059</v>
      </c>
      <c r="R663" s="30"/>
      <c r="S663" s="30"/>
    </row>
    <row r="664" spans="1:19" ht="13" x14ac:dyDescent="0.3">
      <c r="A664" s="52" t="s">
        <v>680</v>
      </c>
      <c r="B664" s="6">
        <v>11.81</v>
      </c>
      <c r="C664" s="1">
        <v>0.62250000000000005</v>
      </c>
      <c r="D664" s="6">
        <v>1.248</v>
      </c>
      <c r="E664" s="6">
        <v>17.8</v>
      </c>
      <c r="F664" s="1">
        <f t="shared" si="50"/>
        <v>1926.2083333332832</v>
      </c>
      <c r="G664" s="17">
        <f>G662*10/12+G674*2/12</f>
        <v>3.6233333333333335</v>
      </c>
      <c r="H664" s="1">
        <f>B664*$E$1867/E664</f>
        <v>222.3499551966292</v>
      </c>
      <c r="I664" s="1">
        <f>C664*$E$1867/E664</f>
        <v>11.719970119382022</v>
      </c>
      <c r="J664" s="26">
        <f t="shared" si="51"/>
        <v>4069.1529469787502</v>
      </c>
      <c r="K664" s="1">
        <f>D664*$E$1867/E664</f>
        <v>23.496422022471908</v>
      </c>
      <c r="L664" s="26">
        <f t="shared" si="49"/>
        <v>430.00024367734801</v>
      </c>
      <c r="M664" s="10">
        <f t="shared" si="47"/>
        <v>10.712352062732489</v>
      </c>
      <c r="N664" s="4">
        <f t="shared" si="48"/>
        <v>15.046869401752993</v>
      </c>
      <c r="O664" s="36">
        <f>1/M664-(G664/100-(((E664/E544)^(1/10))-1))</f>
        <v>0.11131698916246477</v>
      </c>
      <c r="R664" s="30"/>
      <c r="S664" s="30"/>
    </row>
    <row r="665" spans="1:19" ht="13" x14ac:dyDescent="0.3">
      <c r="A665" s="52" t="s">
        <v>681</v>
      </c>
      <c r="B665" s="6">
        <v>11.48</v>
      </c>
      <c r="C665" s="1">
        <v>0.63</v>
      </c>
      <c r="D665" s="6">
        <v>1.2470000000000001</v>
      </c>
      <c r="E665" s="6">
        <v>17.899999999999999</v>
      </c>
      <c r="F665" s="1">
        <f t="shared" si="50"/>
        <v>1926.2916666666165</v>
      </c>
      <c r="G665" s="17">
        <f>G662*9/12+G674*3/12</f>
        <v>3.5950000000000002</v>
      </c>
      <c r="H665" s="1">
        <f>B665*$E$1867/E665</f>
        <v>214.9294899441341</v>
      </c>
      <c r="I665" s="1">
        <f>C665*$E$1867/E665</f>
        <v>11.794911033519554</v>
      </c>
      <c r="J665" s="26">
        <f t="shared" si="51"/>
        <v>3951.3413650318948</v>
      </c>
      <c r="K665" s="1">
        <f>D665*$E$1867/E665</f>
        <v>23.346435013966484</v>
      </c>
      <c r="L665" s="26">
        <f t="shared" si="49"/>
        <v>429.20929287410917</v>
      </c>
      <c r="M665" s="10">
        <f t="shared" si="47"/>
        <v>10.39558768595473</v>
      </c>
      <c r="N665" s="4">
        <f t="shared" si="48"/>
        <v>14.562366728257418</v>
      </c>
      <c r="O665" s="36">
        <f>1/M665-(G665/100-(((E665/E545)^(1/10))-1))</f>
        <v>0.11403621939591532</v>
      </c>
      <c r="R665" s="30"/>
      <c r="S665" s="30"/>
    </row>
    <row r="666" spans="1:19" ht="13" x14ac:dyDescent="0.3">
      <c r="A666" s="52" t="s">
        <v>682</v>
      </c>
      <c r="B666" s="6">
        <v>11.56</v>
      </c>
      <c r="C666" s="1">
        <v>0.63749999999999996</v>
      </c>
      <c r="D666" s="6">
        <v>1.246</v>
      </c>
      <c r="E666" s="6">
        <v>17.8</v>
      </c>
      <c r="F666" s="1">
        <f t="shared" si="50"/>
        <v>1926.3749999999498</v>
      </c>
      <c r="G666" s="17">
        <f>G662*8/12+G674*4/12</f>
        <v>3.5666666666666669</v>
      </c>
      <c r="H666" s="1">
        <f>B666*$E$1867/E666</f>
        <v>217.64313988764044</v>
      </c>
      <c r="I666" s="1">
        <f>C666*$E$1867/E666</f>
        <v>12.002379037921347</v>
      </c>
      <c r="J666" s="26">
        <f t="shared" si="51"/>
        <v>4019.6180915376508</v>
      </c>
      <c r="K666" s="1">
        <f>D666*$E$1867/E666</f>
        <v>23.458767499999997</v>
      </c>
      <c r="L666" s="26">
        <f t="shared" si="49"/>
        <v>433.25641367265678</v>
      </c>
      <c r="M666" s="10">
        <f t="shared" si="47"/>
        <v>10.575158463806098</v>
      </c>
      <c r="N666" s="4">
        <f t="shared" si="48"/>
        <v>14.771860041900327</v>
      </c>
      <c r="O666" s="36">
        <f>1/M666-(G666/100-(((E666/E546)^(1/10))-1))</f>
        <v>0.11110746549615291</v>
      </c>
      <c r="R666" s="30"/>
      <c r="S666" s="30"/>
    </row>
    <row r="667" spans="1:19" ht="13" x14ac:dyDescent="0.3">
      <c r="A667" s="52" t="s">
        <v>683</v>
      </c>
      <c r="B667" s="6">
        <v>12.11</v>
      </c>
      <c r="C667" s="1">
        <v>0.64500000000000002</v>
      </c>
      <c r="D667" s="6">
        <v>1.2450000000000001</v>
      </c>
      <c r="E667" s="6">
        <v>17.7</v>
      </c>
      <c r="F667" s="1">
        <f t="shared" si="50"/>
        <v>1926.458333333283</v>
      </c>
      <c r="G667" s="17">
        <f>G662*7/12+G674*5/12</f>
        <v>3.5383333333333336</v>
      </c>
      <c r="H667" s="1">
        <f>B667*$E$1867/E667</f>
        <v>229.28625861581921</v>
      </c>
      <c r="I667" s="1">
        <f>C667*$E$1867/E667</f>
        <v>12.212191313559323</v>
      </c>
      <c r="J667" s="26">
        <f t="shared" si="51"/>
        <v>4253.4485083218551</v>
      </c>
      <c r="K667" s="1">
        <f>D667*$E$1867/E667</f>
        <v>23.572369279661018</v>
      </c>
      <c r="L667" s="26">
        <f t="shared" si="49"/>
        <v>437.28682021971179</v>
      </c>
      <c r="M667" s="10">
        <f t="shared" si="47"/>
        <v>11.197979740229956</v>
      </c>
      <c r="N667" s="4">
        <f t="shared" si="48"/>
        <v>15.591949753085158</v>
      </c>
      <c r="O667" s="36">
        <f>1/M667-(G667/100-(((E667/E547)^(1/10))-1))</f>
        <v>0.10456095641367763</v>
      </c>
      <c r="R667" s="30"/>
      <c r="S667" s="30"/>
    </row>
    <row r="668" spans="1:19" ht="13" x14ac:dyDescent="0.3">
      <c r="A668" s="52" t="s">
        <v>684</v>
      </c>
      <c r="B668" s="6">
        <v>12.62</v>
      </c>
      <c r="C668" s="1">
        <v>0.65249999999999997</v>
      </c>
      <c r="D668" s="6">
        <v>1.244</v>
      </c>
      <c r="E668" s="6">
        <v>17.5</v>
      </c>
      <c r="F668" s="1">
        <f t="shared" si="50"/>
        <v>1926.5416666666163</v>
      </c>
      <c r="G668" s="17">
        <f>G662*6/12+G674*6/12</f>
        <v>3.51</v>
      </c>
      <c r="H668" s="1">
        <f>B668*$E$1867/E668</f>
        <v>241.67318028571427</v>
      </c>
      <c r="I668" s="1">
        <f>C668*$E$1867/E668</f>
        <v>12.49538432142857</v>
      </c>
      <c r="J668" s="26">
        <f t="shared" si="51"/>
        <v>4502.5527212297466</v>
      </c>
      <c r="K668" s="1">
        <f>D668*$E$1867/E668</f>
        <v>23.822617771428572</v>
      </c>
      <c r="L668" s="26">
        <f t="shared" si="49"/>
        <v>443.83324763944574</v>
      </c>
      <c r="M668" s="10">
        <f t="shared" si="47"/>
        <v>11.869694058481276</v>
      </c>
      <c r="N668" s="4">
        <f t="shared" si="48"/>
        <v>16.469124743360354</v>
      </c>
      <c r="O668" s="36">
        <f>1/M668-(G668/100-(((E668/E548)^(1/10))-1))</f>
        <v>9.8597390299536375E-2</v>
      </c>
      <c r="R668" s="30"/>
      <c r="S668" s="30"/>
    </row>
    <row r="669" spans="1:19" ht="13" x14ac:dyDescent="0.3">
      <c r="A669" s="52" t="s">
        <v>685</v>
      </c>
      <c r="B669" s="6">
        <v>13.12</v>
      </c>
      <c r="C669" s="1">
        <v>0.66</v>
      </c>
      <c r="D669" s="6">
        <v>1.2430000000000001</v>
      </c>
      <c r="E669" s="6">
        <v>17.399999999999999</v>
      </c>
      <c r="F669" s="1">
        <f t="shared" si="50"/>
        <v>1926.6249999999495</v>
      </c>
      <c r="G669" s="17">
        <f>G662*5/12+G674*7/12</f>
        <v>3.4816666666666665</v>
      </c>
      <c r="H669" s="1">
        <f>B669*$E$1867/E669</f>
        <v>252.69214252873564</v>
      </c>
      <c r="I669" s="1">
        <f>C669*$E$1867/E669</f>
        <v>12.711647413793106</v>
      </c>
      <c r="J669" s="26">
        <f t="shared" si="51"/>
        <v>4727.5798850052533</v>
      </c>
      <c r="K669" s="1">
        <f>D669*$E$1867/E669</f>
        <v>23.940269295977014</v>
      </c>
      <c r="L669" s="26">
        <f t="shared" si="49"/>
        <v>447.89495404432398</v>
      </c>
      <c r="M669" s="10">
        <f t="shared" si="47"/>
        <v>12.488808219521882</v>
      </c>
      <c r="N669" s="4">
        <f t="shared" si="48"/>
        <v>17.260693795594307</v>
      </c>
      <c r="O669" s="36">
        <f>1/M669-(G669/100-(((E669/E549)^(1/10))-1))</f>
        <v>9.3136770867250987E-2</v>
      </c>
      <c r="R669" s="30"/>
      <c r="S669" s="30"/>
    </row>
    <row r="670" spans="1:19" ht="13" x14ac:dyDescent="0.3">
      <c r="A670" s="52" t="s">
        <v>686</v>
      </c>
      <c r="B670" s="6">
        <v>13.32</v>
      </c>
      <c r="C670" s="1">
        <v>0.66749999999999998</v>
      </c>
      <c r="D670" s="6">
        <v>1.242</v>
      </c>
      <c r="E670" s="6">
        <v>17.5</v>
      </c>
      <c r="F670" s="1">
        <f t="shared" si="50"/>
        <v>1926.7083333332828</v>
      </c>
      <c r="G670" s="17">
        <f>G662*4/12+G674*8/12</f>
        <v>3.4533333333333331</v>
      </c>
      <c r="H670" s="1">
        <f>B670*$E$1867/E670</f>
        <v>255.0781902857143</v>
      </c>
      <c r="I670" s="1">
        <f>C670*$E$1867/E670</f>
        <v>12.782634535714285</v>
      </c>
      <c r="J670" s="26">
        <f t="shared" si="51"/>
        <v>4792.1491340117464</v>
      </c>
      <c r="K670" s="1">
        <f>D670*$E$1867/E670</f>
        <v>23.784317742857141</v>
      </c>
      <c r="L670" s="26">
        <f t="shared" si="49"/>
        <v>446.83552736055464</v>
      </c>
      <c r="M670" s="10">
        <f t="shared" si="47"/>
        <v>12.692614823344718</v>
      </c>
      <c r="N670" s="4">
        <f t="shared" si="48"/>
        <v>17.470213778374866</v>
      </c>
      <c r="O670" s="36">
        <f>1/M670-(G670/100-(((E670/E550)^(1/10))-1))</f>
        <v>9.0830411840195358E-2</v>
      </c>
      <c r="R670" s="30"/>
      <c r="S670" s="30"/>
    </row>
    <row r="671" spans="1:19" ht="13" x14ac:dyDescent="0.3">
      <c r="A671" s="52" t="s">
        <v>687</v>
      </c>
      <c r="B671" s="6">
        <v>13.02</v>
      </c>
      <c r="C671" s="1">
        <v>0.67500000000000004</v>
      </c>
      <c r="D671" s="6">
        <v>1.242</v>
      </c>
      <c r="E671" s="6">
        <v>17.600000000000001</v>
      </c>
      <c r="F671" s="1">
        <f t="shared" si="50"/>
        <v>1926.791666666616</v>
      </c>
      <c r="G671" s="17">
        <f>G662*3/12+G674*9/12</f>
        <v>3.4249999999999998</v>
      </c>
      <c r="H671" s="1">
        <f>B671*$E$1867/E671</f>
        <v>247.91652017045453</v>
      </c>
      <c r="I671" s="1">
        <f>C671*$E$1867/E671</f>
        <v>12.852814985795455</v>
      </c>
      <c r="J671" s="26">
        <f t="shared" si="51"/>
        <v>4677.7251057379926</v>
      </c>
      <c r="K671" s="1">
        <f>D671*$E$1867/E671</f>
        <v>23.649179573863634</v>
      </c>
      <c r="L671" s="26">
        <f t="shared" si="49"/>
        <v>446.21617368099743</v>
      </c>
      <c r="M671" s="10">
        <f t="shared" si="47"/>
        <v>12.426517521583349</v>
      </c>
      <c r="N671" s="4">
        <f t="shared" si="48"/>
        <v>17.03381172227499</v>
      </c>
      <c r="O671" s="36">
        <f>1/M671-(G671/100-(((E671/E551)^(1/10))-1))</f>
        <v>9.1529018787589261E-2</v>
      </c>
      <c r="R671" s="30"/>
      <c r="S671" s="30"/>
    </row>
    <row r="672" spans="1:19" ht="13" x14ac:dyDescent="0.3">
      <c r="A672" s="52" t="s">
        <v>688</v>
      </c>
      <c r="B672" s="6">
        <v>13.19</v>
      </c>
      <c r="C672" s="1">
        <v>0.6825</v>
      </c>
      <c r="D672" s="6">
        <v>1.2410000000000001</v>
      </c>
      <c r="E672" s="6">
        <v>17.7</v>
      </c>
      <c r="F672" s="1">
        <f t="shared" si="50"/>
        <v>1926.8749999999493</v>
      </c>
      <c r="G672" s="17">
        <f>G662*2/12+G674*10/12</f>
        <v>3.3966666666666665</v>
      </c>
      <c r="H672" s="1">
        <f>B672*$E$1867/E672</f>
        <v>249.73457895480223</v>
      </c>
      <c r="I672" s="1">
        <f>C672*$E$1867/E672</f>
        <v>12.922202436440678</v>
      </c>
      <c r="J672" s="26">
        <f t="shared" si="51"/>
        <v>4732.3466712544987</v>
      </c>
      <c r="K672" s="1">
        <f>D672*$E$1867/E672</f>
        <v>23.496634759887009</v>
      </c>
      <c r="L672" s="26">
        <f t="shared" si="49"/>
        <v>445.24959962295941</v>
      </c>
      <c r="M672" s="10">
        <f t="shared" si="47"/>
        <v>12.615251212344482</v>
      </c>
      <c r="N672" s="4">
        <f t="shared" si="48"/>
        <v>17.21908527437661</v>
      </c>
      <c r="O672" s="36">
        <f>1/M672-(G672/100-(((E672/E552)^(1/10))-1))</f>
        <v>8.9367477165152615E-2</v>
      </c>
      <c r="R672" s="30"/>
      <c r="S672" s="30"/>
    </row>
    <row r="673" spans="1:19" ht="13" x14ac:dyDescent="0.3">
      <c r="A673" s="52" t="s">
        <v>689</v>
      </c>
      <c r="B673" s="6">
        <v>13.49</v>
      </c>
      <c r="C673" s="1">
        <v>0.69</v>
      </c>
      <c r="D673" s="6">
        <v>1.24</v>
      </c>
      <c r="E673" s="6">
        <v>17.7</v>
      </c>
      <c r="F673" s="1">
        <f t="shared" si="50"/>
        <v>1926.9583333332826</v>
      </c>
      <c r="G673" s="17">
        <f>G662*1/12+G674*11/12</f>
        <v>3.3683333333333327</v>
      </c>
      <c r="H673" s="1">
        <f>B673*$E$1867/E673</f>
        <v>255.4146679378531</v>
      </c>
      <c r="I673" s="1">
        <f>C673*$E$1867/E673</f>
        <v>13.064204661016948</v>
      </c>
      <c r="J673" s="26">
        <f t="shared" si="51"/>
        <v>4860.6115639742475</v>
      </c>
      <c r="K673" s="1">
        <f>D673*$E$1867/E673</f>
        <v>23.477701129943501</v>
      </c>
      <c r="L673" s="26">
        <f t="shared" si="49"/>
        <v>446.78712671075363</v>
      </c>
      <c r="M673" s="10">
        <f t="shared" si="47"/>
        <v>13.009052728993131</v>
      </c>
      <c r="N673" s="4">
        <f t="shared" si="48"/>
        <v>17.677841903544774</v>
      </c>
      <c r="O673" s="36">
        <f>1/M673-(G673/100-(((E673/E553)^(1/10))-1))</f>
        <v>8.6347660503229062E-2</v>
      </c>
      <c r="R673" s="30"/>
      <c r="S673" s="30"/>
    </row>
    <row r="674" spans="1:19" ht="13" x14ac:dyDescent="0.3">
      <c r="A674" s="52" t="s">
        <v>690</v>
      </c>
      <c r="B674" s="6">
        <v>13.4</v>
      </c>
      <c r="C674" s="1">
        <v>0.69669999999999999</v>
      </c>
      <c r="D674" s="6">
        <v>1.2290000000000001</v>
      </c>
      <c r="E674" s="6">
        <v>17.5</v>
      </c>
      <c r="F674" s="1">
        <f t="shared" si="50"/>
        <v>1927.0416666666158</v>
      </c>
      <c r="G674" s="17">
        <v>3.34</v>
      </c>
      <c r="H674" s="1">
        <f>B674*$E$1867/E674</f>
        <v>256.61019142857145</v>
      </c>
      <c r="I674" s="1">
        <f>C674*$E$1867/E674</f>
        <v>13.341814952857144</v>
      </c>
      <c r="J674" s="26">
        <f t="shared" si="51"/>
        <v>4904.5209071542013</v>
      </c>
      <c r="K674" s="1">
        <f>D674*$E$1867/E674</f>
        <v>23.535367557142859</v>
      </c>
      <c r="L674" s="26">
        <f t="shared" si="49"/>
        <v>449.82508917108305</v>
      </c>
      <c r="M674" s="10">
        <f t="shared" si="47"/>
        <v>13.185930628677793</v>
      </c>
      <c r="N674" s="4">
        <f t="shared" si="48"/>
        <v>17.836264453737655</v>
      </c>
      <c r="O674" s="36">
        <f>1/M674-(G674/100-(((E674/E554)^(1/10))-1))</f>
        <v>8.3521082543100103E-2</v>
      </c>
      <c r="R674" s="30"/>
      <c r="S674" s="30"/>
    </row>
    <row r="675" spans="1:19" ht="13" x14ac:dyDescent="0.3">
      <c r="A675" s="52" t="s">
        <v>691</v>
      </c>
      <c r="B675" s="6">
        <v>13.66</v>
      </c>
      <c r="C675" s="1">
        <v>0.70330000000000004</v>
      </c>
      <c r="D675" s="6">
        <v>1.218</v>
      </c>
      <c r="E675" s="6">
        <v>17.399999999999999</v>
      </c>
      <c r="F675" s="1">
        <f t="shared" si="50"/>
        <v>1927.1249999999491</v>
      </c>
      <c r="G675" s="17">
        <f>G674*11/12+G686*1/12</f>
        <v>3.339166666666666</v>
      </c>
      <c r="H675" s="1">
        <f>B675*$E$1867/E675</f>
        <v>263.09258132183908</v>
      </c>
      <c r="I675" s="1">
        <f>C675*$E$1867/E675</f>
        <v>13.545608524425289</v>
      </c>
      <c r="J675" s="26">
        <f t="shared" si="51"/>
        <v>5049.991526368719</v>
      </c>
      <c r="K675" s="1">
        <f>D675*$E$1867/E675</f>
        <v>23.4587675</v>
      </c>
      <c r="L675" s="26">
        <f t="shared" si="49"/>
        <v>450.28474956933377</v>
      </c>
      <c r="M675" s="10">
        <f t="shared" si="47"/>
        <v>13.63396613221621</v>
      </c>
      <c r="N675" s="4">
        <f t="shared" si="48"/>
        <v>18.358019636037497</v>
      </c>
      <c r="O675" s="36">
        <f>1/M675-(G675/100-(((E675/E555)^(1/10))-1))</f>
        <v>7.7809844861314176E-2</v>
      </c>
      <c r="R675" s="30"/>
      <c r="S675" s="30"/>
    </row>
    <row r="676" spans="1:19" ht="13" x14ac:dyDescent="0.3">
      <c r="A676" s="52" t="s">
        <v>692</v>
      </c>
      <c r="B676" s="6">
        <v>13.87</v>
      </c>
      <c r="C676" s="1">
        <v>0.71</v>
      </c>
      <c r="D676" s="6">
        <v>1.208</v>
      </c>
      <c r="E676" s="6">
        <v>17.3</v>
      </c>
      <c r="F676" s="1">
        <f t="shared" si="50"/>
        <v>1927.2083333332823</v>
      </c>
      <c r="G676" s="17">
        <f>G674*10/12+G686*2/12</f>
        <v>3.3383333333333334</v>
      </c>
      <c r="H676" s="1">
        <f>B676*$E$1867/E676</f>
        <v>268.68134205202313</v>
      </c>
      <c r="I676" s="1">
        <f>C676*$E$1867/E676</f>
        <v>13.753695231213872</v>
      </c>
      <c r="J676" s="26">
        <f t="shared" si="51"/>
        <v>5179.2661636742459</v>
      </c>
      <c r="K676" s="1">
        <f>D676*$E$1867/E676</f>
        <v>23.400653294797685</v>
      </c>
      <c r="L676" s="26">
        <f t="shared" si="49"/>
        <v>451.08532990039566</v>
      </c>
      <c r="M676" s="10">
        <f t="shared" si="47"/>
        <v>14.033257507604496</v>
      </c>
      <c r="N676" s="4">
        <f t="shared" si="48"/>
        <v>18.811934763187697</v>
      </c>
      <c r="O676" s="36">
        <f>1/M676-(G676/100-(((E676/E556)^(1/10))-1))</f>
        <v>7.5133224962694561E-2</v>
      </c>
      <c r="R676" s="30"/>
      <c r="S676" s="30"/>
    </row>
    <row r="677" spans="1:19" ht="13" x14ac:dyDescent="0.3">
      <c r="A677" s="52" t="s">
        <v>693</v>
      </c>
      <c r="B677" s="6">
        <v>14.21</v>
      </c>
      <c r="C677" s="1">
        <v>0.7167</v>
      </c>
      <c r="D677" s="6">
        <v>1.1970000000000001</v>
      </c>
      <c r="E677" s="6">
        <v>17.3</v>
      </c>
      <c r="F677" s="1">
        <f t="shared" si="50"/>
        <v>1927.2916666666156</v>
      </c>
      <c r="G677" s="17">
        <f>G674*9/12+G686*3/12</f>
        <v>3.3374999999999999</v>
      </c>
      <c r="H677" s="1">
        <f>B677*$E$1867/E677</f>
        <v>275.26761864161853</v>
      </c>
      <c r="I677" s="1">
        <f>C677*$E$1867/E677</f>
        <v>13.883483622832369</v>
      </c>
      <c r="J677" s="26">
        <f t="shared" si="51"/>
        <v>5328.5294778252692</v>
      </c>
      <c r="K677" s="1">
        <f>D677*$E$1867/E677</f>
        <v>23.187567875722543</v>
      </c>
      <c r="L677" s="26">
        <f t="shared" si="49"/>
        <v>448.8564239941482</v>
      </c>
      <c r="M677" s="10">
        <f t="shared" si="47"/>
        <v>14.488222209157056</v>
      </c>
      <c r="N677" s="4">
        <f t="shared" si="48"/>
        <v>19.33512346405816</v>
      </c>
      <c r="O677" s="36">
        <f>1/M677-(G677/100-(((E677/E557)^(1/10))-1))</f>
        <v>6.7855377278557782E-2</v>
      </c>
      <c r="R677" s="30"/>
      <c r="S677" s="30"/>
    </row>
    <row r="678" spans="1:19" ht="13" x14ac:dyDescent="0.3">
      <c r="A678" s="52" t="s">
        <v>694</v>
      </c>
      <c r="B678" s="6">
        <v>14.7</v>
      </c>
      <c r="C678" s="1">
        <v>0.72330000000000005</v>
      </c>
      <c r="D678" s="6">
        <v>1.1859999999999999</v>
      </c>
      <c r="E678" s="6">
        <v>17.399999999999999</v>
      </c>
      <c r="F678" s="1">
        <f t="shared" si="50"/>
        <v>1927.3749999999488</v>
      </c>
      <c r="G678" s="17">
        <f>G674*8/12+G686*4/12</f>
        <v>3.3366666666666669</v>
      </c>
      <c r="H678" s="1">
        <f>B678*$E$1867/E678</f>
        <v>283.12305603448277</v>
      </c>
      <c r="I678" s="1">
        <f>C678*$E$1867/E678</f>
        <v>13.930809961206899</v>
      </c>
      <c r="J678" s="26">
        <f t="shared" si="51"/>
        <v>5503.0644421635943</v>
      </c>
      <c r="K678" s="1">
        <f>D678*$E$1867/E678</f>
        <v>22.842445201149424</v>
      </c>
      <c r="L678" s="26">
        <f t="shared" si="49"/>
        <v>443.98873662626005</v>
      </c>
      <c r="M678" s="10">
        <f t="shared" si="47"/>
        <v>15.002347055737117</v>
      </c>
      <c r="N678" s="4">
        <f t="shared" si="48"/>
        <v>19.936096682958414</v>
      </c>
      <c r="O678" s="36">
        <f>1/M678-(G678/100-(((E678/E558)^(1/10))-1))</f>
        <v>6.4468256503694893E-2</v>
      </c>
      <c r="R678" s="30"/>
      <c r="S678" s="30"/>
    </row>
    <row r="679" spans="1:19" ht="13" x14ac:dyDescent="0.3">
      <c r="A679" s="52" t="s">
        <v>695</v>
      </c>
      <c r="B679" s="6">
        <v>14.89</v>
      </c>
      <c r="C679" s="1">
        <v>0.73</v>
      </c>
      <c r="D679" s="6">
        <v>1.175</v>
      </c>
      <c r="E679" s="6">
        <v>17.600000000000001</v>
      </c>
      <c r="F679" s="1">
        <f t="shared" si="50"/>
        <v>1927.4583333332821</v>
      </c>
      <c r="G679" s="17">
        <f>G674*7/12+G686*5/12</f>
        <v>3.3358333333333334</v>
      </c>
      <c r="H679" s="1">
        <f>B679*$E$1867/E679</f>
        <v>283.52357798295452</v>
      </c>
      <c r="I679" s="1">
        <f>C679*$E$1867/E679</f>
        <v>13.900081392045452</v>
      </c>
      <c r="J679" s="26">
        <f t="shared" si="51"/>
        <v>5533.364052931458</v>
      </c>
      <c r="K679" s="1">
        <f>D679*$E$1867/E679</f>
        <v>22.37341867897727</v>
      </c>
      <c r="L679" s="26">
        <f t="shared" si="49"/>
        <v>436.64894306208618</v>
      </c>
      <c r="M679" s="10">
        <f t="shared" si="47"/>
        <v>15.120333481747526</v>
      </c>
      <c r="N679" s="4">
        <f t="shared" si="48"/>
        <v>20.010588031136436</v>
      </c>
      <c r="O679" s="36">
        <f>1/M679-(G679/100-(((E679/E559)^(1/10))-1))</f>
        <v>6.3536290068551424E-2</v>
      </c>
      <c r="R679" s="30"/>
      <c r="S679" s="30"/>
    </row>
    <row r="680" spans="1:19" ht="13" x14ac:dyDescent="0.3">
      <c r="A680" s="52" t="s">
        <v>696</v>
      </c>
      <c r="B680" s="6">
        <v>15.22</v>
      </c>
      <c r="C680" s="1">
        <v>0.73670000000000002</v>
      </c>
      <c r="D680" s="6">
        <v>1.1639999999999999</v>
      </c>
      <c r="E680" s="6">
        <v>17.3</v>
      </c>
      <c r="F680" s="1">
        <f t="shared" si="50"/>
        <v>1927.5416666666154</v>
      </c>
      <c r="G680" s="17">
        <f>G674*6/12+G686*6/12</f>
        <v>3.335</v>
      </c>
      <c r="H680" s="1">
        <f>B680*$E$1867/E680</f>
        <v>294.83273439306356</v>
      </c>
      <c r="I680" s="1">
        <f>C680*$E$1867/E680</f>
        <v>14.27091165751445</v>
      </c>
      <c r="J680" s="26">
        <f t="shared" si="51"/>
        <v>5777.2880062925969</v>
      </c>
      <c r="K680" s="1">
        <f>D680*$E$1867/E680</f>
        <v>22.548311618497106</v>
      </c>
      <c r="L680" s="26">
        <f t="shared" si="49"/>
        <v>441.83726933801461</v>
      </c>
      <c r="M680" s="10">
        <f t="shared" si="47"/>
        <v>15.82080259447774</v>
      </c>
      <c r="N680" s="4">
        <f t="shared" si="48"/>
        <v>20.854728675080448</v>
      </c>
      <c r="O680" s="36">
        <f>1/M680-(G680/100-(((E680/E560)^(1/10))-1))</f>
        <v>6.0442434969226307E-2</v>
      </c>
      <c r="R680" s="30"/>
      <c r="S680" s="30"/>
    </row>
    <row r="681" spans="1:19" ht="13" x14ac:dyDescent="0.3">
      <c r="A681" s="52" t="s">
        <v>697</v>
      </c>
      <c r="B681" s="6">
        <v>16.03</v>
      </c>
      <c r="C681" s="1">
        <v>0.74329999999999996</v>
      </c>
      <c r="D681" s="6">
        <v>1.153</v>
      </c>
      <c r="E681" s="6">
        <v>17.2</v>
      </c>
      <c r="F681" s="1">
        <f t="shared" si="50"/>
        <v>1927.6249999999486</v>
      </c>
      <c r="G681" s="17">
        <f>G674*5/12+G686*7/12</f>
        <v>3.3341666666666665</v>
      </c>
      <c r="H681" s="1">
        <f>B681*$E$1867/E681</f>
        <v>312.32893938953492</v>
      </c>
      <c r="I681" s="1">
        <f>C681*$E$1867/E681</f>
        <v>14.482476646802326</v>
      </c>
      <c r="J681" s="26">
        <f t="shared" si="51"/>
        <v>6143.7773946693724</v>
      </c>
      <c r="K681" s="1">
        <f>D681*$E$1867/E681</f>
        <v>22.465082165697677</v>
      </c>
      <c r="L681" s="26">
        <f t="shared" si="49"/>
        <v>441.9073821618083</v>
      </c>
      <c r="M681" s="10">
        <f t="shared" si="47"/>
        <v>16.862861852763803</v>
      </c>
      <c r="N681" s="4">
        <f t="shared" si="48"/>
        <v>22.135608380554519</v>
      </c>
      <c r="O681" s="36">
        <f>1/M681-(G681/100-(((E681/E561)^(1/10))-1))</f>
        <v>5.4351821876082645E-2</v>
      </c>
      <c r="R681" s="30"/>
      <c r="S681" s="30"/>
    </row>
    <row r="682" spans="1:19" ht="13" x14ac:dyDescent="0.3">
      <c r="A682" s="52" t="s">
        <v>698</v>
      </c>
      <c r="B682" s="6">
        <v>16.940000000000001</v>
      </c>
      <c r="C682" s="1">
        <v>0.75</v>
      </c>
      <c r="D682" s="6">
        <v>1.143</v>
      </c>
      <c r="E682" s="6">
        <v>17.3</v>
      </c>
      <c r="F682" s="1">
        <f t="shared" si="50"/>
        <v>1927.7083333332819</v>
      </c>
      <c r="G682" s="17">
        <f>G674*4/12+G686*8/12</f>
        <v>3.3333333333333335</v>
      </c>
      <c r="H682" s="1">
        <f>B682*$E$1867/E682</f>
        <v>328.15154537572255</v>
      </c>
      <c r="I682" s="1">
        <f>C682*$E$1867/E682</f>
        <v>14.528551300578034</v>
      </c>
      <c r="J682" s="26">
        <f t="shared" si="51"/>
        <v>6478.8373412182182</v>
      </c>
      <c r="K682" s="1">
        <f>D682*$E$1867/E682</f>
        <v>22.141512182080927</v>
      </c>
      <c r="L682" s="26">
        <f t="shared" si="49"/>
        <v>437.14941446354334</v>
      </c>
      <c r="M682" s="10">
        <f t="shared" si="47"/>
        <v>17.818723713516423</v>
      </c>
      <c r="N682" s="4">
        <f t="shared" si="48"/>
        <v>23.292169691516673</v>
      </c>
      <c r="O682" s="36">
        <f>1/M682-(G682/100-(((E682/E562)^(1/10))-1))</f>
        <v>4.943039914607561E-2</v>
      </c>
      <c r="R682" s="30"/>
      <c r="S682" s="30"/>
    </row>
    <row r="683" spans="1:19" ht="13" x14ac:dyDescent="0.3">
      <c r="A683" s="52" t="s">
        <v>699</v>
      </c>
      <c r="B683" s="6">
        <v>16.68</v>
      </c>
      <c r="C683" s="1">
        <v>0.75670000000000004</v>
      </c>
      <c r="D683" s="6">
        <v>1.1319999999999999</v>
      </c>
      <c r="E683" s="6">
        <v>17.399999999999999</v>
      </c>
      <c r="F683" s="1">
        <f t="shared" si="50"/>
        <v>1927.7916666666151</v>
      </c>
      <c r="G683" s="17">
        <f>G674*3/12+G686*9/12</f>
        <v>3.3325</v>
      </c>
      <c r="H683" s="1">
        <f>B683*$E$1867/E683</f>
        <v>321.25799827586206</v>
      </c>
      <c r="I683" s="1">
        <f>C683*$E$1867/E683</f>
        <v>14.574096360632186</v>
      </c>
      <c r="J683" s="26">
        <f t="shared" si="51"/>
        <v>6366.7136261048836</v>
      </c>
      <c r="K683" s="1">
        <f>D683*$E$1867/E683</f>
        <v>21.802401321839078</v>
      </c>
      <c r="L683" s="26">
        <f t="shared" si="49"/>
        <v>432.08152426563112</v>
      </c>
      <c r="M683" s="10">
        <f t="shared" si="47"/>
        <v>17.537237852261082</v>
      </c>
      <c r="N683" s="4">
        <f t="shared" si="48"/>
        <v>22.835106977288728</v>
      </c>
      <c r="O683" s="36">
        <f>1/M683-(G683/100-(((E683/E563)^(1/10))-1))</f>
        <v>4.9399338657378486E-2</v>
      </c>
      <c r="R683" s="30"/>
      <c r="S683" s="30"/>
    </row>
    <row r="684" spans="1:19" ht="13" x14ac:dyDescent="0.3">
      <c r="A684" s="52" t="s">
        <v>700</v>
      </c>
      <c r="B684" s="6">
        <v>17.059999999999999</v>
      </c>
      <c r="C684" s="1">
        <v>0.76329999999999998</v>
      </c>
      <c r="D684" s="6">
        <v>1.121</v>
      </c>
      <c r="E684" s="6">
        <v>17.3</v>
      </c>
      <c r="F684" s="1">
        <f t="shared" si="50"/>
        <v>1927.8749999999484</v>
      </c>
      <c r="G684" s="17">
        <f>G674*2/12+G686*10/12</f>
        <v>3.3316666666666666</v>
      </c>
      <c r="H684" s="1">
        <f>B684*$E$1867/E684</f>
        <v>330.47611358381499</v>
      </c>
      <c r="I684" s="1">
        <f>C684*$E$1867/E684</f>
        <v>14.786190943641618</v>
      </c>
      <c r="J684" s="26">
        <f t="shared" si="51"/>
        <v>6573.8183653128808</v>
      </c>
      <c r="K684" s="1">
        <f>D684*$E$1867/E684</f>
        <v>21.715341343930636</v>
      </c>
      <c r="L684" s="26">
        <f t="shared" si="49"/>
        <v>431.96074956129775</v>
      </c>
      <c r="M684" s="10">
        <f t="shared" si="47"/>
        <v>18.131301434952427</v>
      </c>
      <c r="N684" s="4">
        <f t="shared" si="48"/>
        <v>23.52018681564477</v>
      </c>
      <c r="O684" s="36">
        <f>1/M684-(G684/100-(((E684/E564)^(1/10))-1))</f>
        <v>4.6948374092751662E-2</v>
      </c>
      <c r="R684" s="30"/>
      <c r="S684" s="30"/>
    </row>
    <row r="685" spans="1:19" ht="13" x14ac:dyDescent="0.3">
      <c r="A685" s="52" t="s">
        <v>701</v>
      </c>
      <c r="B685" s="6">
        <v>17.46</v>
      </c>
      <c r="C685" s="1">
        <v>0.77</v>
      </c>
      <c r="D685" s="6">
        <v>1.1100000000000001</v>
      </c>
      <c r="E685" s="6">
        <v>17.3</v>
      </c>
      <c r="F685" s="1">
        <f t="shared" si="50"/>
        <v>1927.9583333332816</v>
      </c>
      <c r="G685" s="17">
        <f>G674*1/12+G686*11/12</f>
        <v>3.3308333333333335</v>
      </c>
      <c r="H685" s="1">
        <f>B685*$E$1867/E685</f>
        <v>338.22467427745664</v>
      </c>
      <c r="I685" s="1">
        <f>C685*$E$1867/E685</f>
        <v>14.915979335260115</v>
      </c>
      <c r="J685" s="26">
        <f t="shared" si="51"/>
        <v>6752.6781166551664</v>
      </c>
      <c r="K685" s="1">
        <f>D685*$E$1867/E685</f>
        <v>21.50225592485549</v>
      </c>
      <c r="L685" s="26">
        <f t="shared" si="49"/>
        <v>429.29396961553459</v>
      </c>
      <c r="M685" s="10">
        <f t="shared" si="47"/>
        <v>18.646624021402523</v>
      </c>
      <c r="N685" s="4">
        <f t="shared" si="48"/>
        <v>24.099196924913016</v>
      </c>
      <c r="O685" s="36">
        <f>1/M685-(G685/100-(((E685/E565)^(1/10))-1))</f>
        <v>4.3926042689999514E-2</v>
      </c>
      <c r="R685" s="30"/>
      <c r="S685" s="30"/>
    </row>
    <row r="686" spans="1:19" ht="13" x14ac:dyDescent="0.3">
      <c r="A686" s="52" t="s">
        <v>702</v>
      </c>
      <c r="B686" s="6">
        <v>17.53</v>
      </c>
      <c r="C686" s="1">
        <v>0.77669999999999995</v>
      </c>
      <c r="D686" s="6">
        <v>1.133</v>
      </c>
      <c r="E686" s="6">
        <v>17.3</v>
      </c>
      <c r="F686" s="1">
        <f t="shared" si="50"/>
        <v>1928.0416666666149</v>
      </c>
      <c r="G686" s="17">
        <v>3.33</v>
      </c>
      <c r="H686" s="1">
        <f>B686*$E$1867/E686</f>
        <v>339.58067239884394</v>
      </c>
      <c r="I686" s="1">
        <f>C686*$E$1867/E686</f>
        <v>15.04576772687861</v>
      </c>
      <c r="J686" s="26">
        <f t="shared" si="51"/>
        <v>6804.7831887780976</v>
      </c>
      <c r="K686" s="1">
        <f>D686*$E$1867/E686</f>
        <v>21.947798164739883</v>
      </c>
      <c r="L686" s="26">
        <f t="shared" si="49"/>
        <v>439.80715076358149</v>
      </c>
      <c r="M686" s="10">
        <f t="shared" si="47"/>
        <v>18.806128571700771</v>
      </c>
      <c r="N686" s="4">
        <f t="shared" si="48"/>
        <v>24.220417357765456</v>
      </c>
      <c r="O686" s="36">
        <f>1/M686-(G686/100-(((E686/E566)^(1/10))-1))</f>
        <v>4.1264637828492733E-2</v>
      </c>
      <c r="R686" s="30"/>
      <c r="S686" s="30"/>
    </row>
    <row r="687" spans="1:19" ht="13" x14ac:dyDescent="0.3">
      <c r="A687" s="52" t="s">
        <v>703</v>
      </c>
      <c r="B687" s="6">
        <v>17.32</v>
      </c>
      <c r="C687" s="1">
        <v>0.7833</v>
      </c>
      <c r="D687" s="6">
        <v>1.155</v>
      </c>
      <c r="E687" s="6">
        <v>17.100000000000001</v>
      </c>
      <c r="F687" s="1">
        <f t="shared" si="50"/>
        <v>1928.1249999999482</v>
      </c>
      <c r="G687" s="17">
        <f>G686*11/12+G698*1/12</f>
        <v>3.3525</v>
      </c>
      <c r="H687" s="1">
        <f>B687*$E$1867/E687</f>
        <v>339.43680292397659</v>
      </c>
      <c r="I687" s="1">
        <f>C687*$E$1867/E687</f>
        <v>15.35108820614035</v>
      </c>
      <c r="J687" s="26">
        <f t="shared" si="51"/>
        <v>6827.5349793153764</v>
      </c>
      <c r="K687" s="1">
        <f>D687*$E$1867/E687</f>
        <v>22.635652850877193</v>
      </c>
      <c r="L687" s="26">
        <f t="shared" si="49"/>
        <v>455.30039844741685</v>
      </c>
      <c r="M687" s="10">
        <f t="shared" si="47"/>
        <v>18.868850519584029</v>
      </c>
      <c r="N687" s="4">
        <f t="shared" si="48"/>
        <v>24.221421773126742</v>
      </c>
      <c r="O687" s="36">
        <f>1/M687-(G687/100-(((E687/E567)^(1/10))-1))</f>
        <v>3.8950026927498278E-2</v>
      </c>
      <c r="R687" s="30"/>
      <c r="S687" s="30"/>
    </row>
    <row r="688" spans="1:19" ht="13" x14ac:dyDescent="0.3">
      <c r="A688" s="52" t="s">
        <v>704</v>
      </c>
      <c r="B688" s="6">
        <v>18.25</v>
      </c>
      <c r="C688" s="1">
        <v>0.79</v>
      </c>
      <c r="D688" s="6">
        <v>1.177</v>
      </c>
      <c r="E688" s="6">
        <v>17.100000000000001</v>
      </c>
      <c r="F688" s="1">
        <f t="shared" si="50"/>
        <v>1928.2083333332814</v>
      </c>
      <c r="G688" s="17">
        <f>G686*10/12+G698*2/12</f>
        <v>3.375</v>
      </c>
      <c r="H688" s="1">
        <f>B688*$E$1867/E688</f>
        <v>357.66291301169588</v>
      </c>
      <c r="I688" s="1">
        <f>C688*$E$1867/E688</f>
        <v>15.482394590643272</v>
      </c>
      <c r="J688" s="26">
        <f t="shared" si="51"/>
        <v>7220.0919606607331</v>
      </c>
      <c r="K688" s="1">
        <f>D688*$E$1867/E688</f>
        <v>23.066808143274852</v>
      </c>
      <c r="L688" s="26">
        <f t="shared" si="49"/>
        <v>465.64647877795517</v>
      </c>
      <c r="M688" s="10">
        <f t="shared" si="47"/>
        <v>19.943417799064537</v>
      </c>
      <c r="N688" s="4">
        <f t="shared" si="48"/>
        <v>25.513762948699373</v>
      </c>
      <c r="O688" s="36">
        <f>1/M688-(G688/100-(((E688/E568)^(1/10))-1))</f>
        <v>3.6595352942590614E-2</v>
      </c>
      <c r="R688" s="30"/>
      <c r="S688" s="30"/>
    </row>
    <row r="689" spans="1:19" ht="13" x14ac:dyDescent="0.3">
      <c r="A689" s="52" t="s">
        <v>705</v>
      </c>
      <c r="B689" s="6">
        <v>19.399999999999999</v>
      </c>
      <c r="C689" s="1">
        <v>0.79669999999999996</v>
      </c>
      <c r="D689" s="6">
        <v>1.2</v>
      </c>
      <c r="E689" s="6">
        <v>17.100000000000001</v>
      </c>
      <c r="F689" s="1">
        <f t="shared" si="50"/>
        <v>1928.2916666666147</v>
      </c>
      <c r="G689" s="17">
        <f>G686*9/12+G698*3/12</f>
        <v>3.3975</v>
      </c>
      <c r="H689" s="1">
        <f>B689*$E$1867/E689</f>
        <v>380.20057602339176</v>
      </c>
      <c r="I689" s="1">
        <f>C689*$E$1867/E689</f>
        <v>15.613700975146195</v>
      </c>
      <c r="J689" s="26">
        <f t="shared" si="51"/>
        <v>7701.3226287985244</v>
      </c>
      <c r="K689" s="1">
        <f>D689*$E$1867/E689</f>
        <v>23.517561403508768</v>
      </c>
      <c r="L689" s="26">
        <f t="shared" si="49"/>
        <v>476.37047188444478</v>
      </c>
      <c r="M689" s="10">
        <f t="shared" si="47"/>
        <v>21.25790924948749</v>
      </c>
      <c r="N689" s="4">
        <f t="shared" si="48"/>
        <v>27.09863918946477</v>
      </c>
      <c r="O689" s="36">
        <f>1/M689-(G689/100-(((E689/E569)^(1/10))-1))</f>
        <v>3.1823715303227119E-2</v>
      </c>
      <c r="R689" s="30"/>
      <c r="S689" s="30"/>
    </row>
    <row r="690" spans="1:19" ht="13" x14ac:dyDescent="0.3">
      <c r="A690" s="52" t="s">
        <v>706</v>
      </c>
      <c r="B690" s="6">
        <v>20</v>
      </c>
      <c r="C690" s="1">
        <v>0.80330000000000001</v>
      </c>
      <c r="D690" s="6">
        <v>1.222</v>
      </c>
      <c r="E690" s="6">
        <v>17.2</v>
      </c>
      <c r="F690" s="1">
        <f t="shared" si="50"/>
        <v>1928.3749999999479</v>
      </c>
      <c r="G690" s="17">
        <f>G686*8/12+G698*4/12</f>
        <v>3.42</v>
      </c>
      <c r="H690" s="1">
        <f>B690*$E$1867/E690</f>
        <v>389.68052325581397</v>
      </c>
      <c r="I690" s="1">
        <f>C690*$E$1867/E690</f>
        <v>15.651518216569768</v>
      </c>
      <c r="J690" s="26">
        <f t="shared" si="51"/>
        <v>7919.7676286130063</v>
      </c>
      <c r="K690" s="1">
        <f>D690*$E$1867/E690</f>
        <v>23.809479970930234</v>
      </c>
      <c r="L690" s="26">
        <f t="shared" si="49"/>
        <v>483.89780210825472</v>
      </c>
      <c r="M690" s="10">
        <f t="shared" si="47"/>
        <v>21.832732178740024</v>
      </c>
      <c r="N690" s="4">
        <f t="shared" si="48"/>
        <v>27.733593696413841</v>
      </c>
      <c r="O690" s="36">
        <f>1/M690-(G690/100-(((E690/E570)^(1/10))-1))</f>
        <v>2.8825490853708981E-2</v>
      </c>
      <c r="R690" s="30"/>
      <c r="S690" s="30"/>
    </row>
    <row r="691" spans="1:19" ht="13" x14ac:dyDescent="0.3">
      <c r="A691" s="52" t="s">
        <v>707</v>
      </c>
      <c r="B691" s="6">
        <v>19.02</v>
      </c>
      <c r="C691" s="1">
        <v>0.81</v>
      </c>
      <c r="D691" s="6">
        <v>1.2450000000000001</v>
      </c>
      <c r="E691" s="6">
        <v>17.100000000000001</v>
      </c>
      <c r="F691" s="1">
        <f t="shared" si="50"/>
        <v>1928.4583333332812</v>
      </c>
      <c r="G691" s="17">
        <f>G686*7/12+G698*5/12</f>
        <v>3.4424999999999999</v>
      </c>
      <c r="H691" s="1">
        <f>B691*$E$1867/E691</f>
        <v>372.75334824561395</v>
      </c>
      <c r="I691" s="1">
        <f>C691*$E$1867/E691</f>
        <v>15.874353947368421</v>
      </c>
      <c r="J691" s="26">
        <f t="shared" si="51"/>
        <v>7602.6295652391591</v>
      </c>
      <c r="K691" s="1">
        <f>D691*$E$1867/E691</f>
        <v>24.399469956140351</v>
      </c>
      <c r="L691" s="26">
        <f t="shared" si="49"/>
        <v>497.64846523253181</v>
      </c>
      <c r="M691" s="10">
        <f t="shared" si="47"/>
        <v>20.913421576866696</v>
      </c>
      <c r="N691" s="4">
        <f t="shared" si="48"/>
        <v>26.482054104053201</v>
      </c>
      <c r="O691" s="36">
        <f>1/M691-(G691/100-(((E691/E571)^(1/10))-1))</f>
        <v>2.8629212973394998E-2</v>
      </c>
      <c r="R691" s="30"/>
      <c r="S691" s="30"/>
    </row>
    <row r="692" spans="1:19" ht="13" x14ac:dyDescent="0.3">
      <c r="A692" s="52" t="s">
        <v>708</v>
      </c>
      <c r="B692" s="6">
        <v>19.16</v>
      </c>
      <c r="C692" s="1">
        <v>0.81669999999999998</v>
      </c>
      <c r="D692" s="6">
        <v>1.268</v>
      </c>
      <c r="E692" s="6">
        <v>17.100000000000001</v>
      </c>
      <c r="F692" s="1">
        <f t="shared" si="50"/>
        <v>1928.5416666666144</v>
      </c>
      <c r="G692" s="17">
        <f>G686*6/12+G698*6/12</f>
        <v>3.4649999999999999</v>
      </c>
      <c r="H692" s="1">
        <f>B692*$E$1867/E692</f>
        <v>375.49706374269005</v>
      </c>
      <c r="I692" s="1">
        <f>C692*$E$1867/E692</f>
        <v>16.005660331871344</v>
      </c>
      <c r="J692" s="26">
        <f t="shared" si="51"/>
        <v>7685.7941517951222</v>
      </c>
      <c r="K692" s="1">
        <f>D692*$E$1867/E692</f>
        <v>24.850223216374264</v>
      </c>
      <c r="L692" s="26">
        <f t="shared" si="49"/>
        <v>508.64232695596104</v>
      </c>
      <c r="M692" s="10">
        <f t="shared" si="47"/>
        <v>21.081905435296786</v>
      </c>
      <c r="N692" s="4">
        <f t="shared" si="48"/>
        <v>26.613845391227294</v>
      </c>
      <c r="O692" s="36">
        <f>1/M692-(G692/100-(((E692/E572)^(1/10))-1))</f>
        <v>2.5300092823006895E-2</v>
      </c>
      <c r="R692" s="30"/>
      <c r="S692" s="30"/>
    </row>
    <row r="693" spans="1:19" ht="13" x14ac:dyDescent="0.3">
      <c r="A693" s="52" t="s">
        <v>709</v>
      </c>
      <c r="B693" s="6">
        <v>19.78</v>
      </c>
      <c r="C693" s="1">
        <v>0.82330000000000003</v>
      </c>
      <c r="D693" s="6">
        <v>1.29</v>
      </c>
      <c r="E693" s="6">
        <v>17.100000000000001</v>
      </c>
      <c r="F693" s="1">
        <f t="shared" si="50"/>
        <v>1928.6249999999477</v>
      </c>
      <c r="G693" s="17">
        <f>G686*5/12+G698*7/12</f>
        <v>3.4874999999999998</v>
      </c>
      <c r="H693" s="1">
        <f>B693*$E$1867/E693</f>
        <v>387.64780380116957</v>
      </c>
      <c r="I693" s="1">
        <f>C693*$E$1867/E693</f>
        <v>16.135006919590644</v>
      </c>
      <c r="J693" s="26">
        <f t="shared" si="51"/>
        <v>7962.020764593175</v>
      </c>
      <c r="K693" s="1">
        <f>D693*$E$1867/E693</f>
        <v>25.28137850877193</v>
      </c>
      <c r="L693" s="26">
        <f t="shared" si="49"/>
        <v>519.26222377781573</v>
      </c>
      <c r="M693" s="10">
        <f t="shared" si="47"/>
        <v>21.762131502579237</v>
      </c>
      <c r="N693" s="4">
        <f t="shared" si="48"/>
        <v>27.390718137541455</v>
      </c>
      <c r="O693" s="36">
        <f>1/M693-(G693/100-(((E693/E573)^(1/10))-1))</f>
        <v>2.1602490360549093E-2</v>
      </c>
      <c r="R693" s="30"/>
      <c r="S693" s="30"/>
    </row>
    <row r="694" spans="1:19" ht="13" x14ac:dyDescent="0.3">
      <c r="A694" s="52" t="s">
        <v>710</v>
      </c>
      <c r="B694" s="6">
        <v>21.17</v>
      </c>
      <c r="C694" s="1">
        <v>0.83</v>
      </c>
      <c r="D694" s="6">
        <v>1.3120000000000001</v>
      </c>
      <c r="E694" s="6">
        <v>17.3</v>
      </c>
      <c r="F694" s="1">
        <f t="shared" si="50"/>
        <v>1928.708333333281</v>
      </c>
      <c r="G694" s="17">
        <f>G686*4/12+G698*8/12</f>
        <v>3.51</v>
      </c>
      <c r="H694" s="1">
        <f>B694*$E$1867/E694</f>
        <v>410.09257471098266</v>
      </c>
      <c r="I694" s="1">
        <f>C694*$E$1867/E694</f>
        <v>16.078263439306358</v>
      </c>
      <c r="J694" s="26">
        <f t="shared" si="51"/>
        <v>8450.5407195550015</v>
      </c>
      <c r="K694" s="1">
        <f>D694*$E$1867/E694</f>
        <v>25.415279075144507</v>
      </c>
      <c r="L694" s="26">
        <f t="shared" si="49"/>
        <v>523.71796996013995</v>
      </c>
      <c r="M694" s="10">
        <f t="shared" si="47"/>
        <v>23.004649446159231</v>
      </c>
      <c r="N694" s="4">
        <f t="shared" si="48"/>
        <v>28.866481380788994</v>
      </c>
      <c r="O694" s="36">
        <f>1/M694-(G694/100-(((E694/E574)^(1/10))-1))</f>
        <v>1.8121294561627845E-2</v>
      </c>
      <c r="R694" s="30"/>
      <c r="S694" s="30"/>
    </row>
    <row r="695" spans="1:19" ht="13" x14ac:dyDescent="0.3">
      <c r="A695" s="52" t="s">
        <v>711</v>
      </c>
      <c r="B695" s="6">
        <v>21.6</v>
      </c>
      <c r="C695" s="1">
        <v>0.8367</v>
      </c>
      <c r="D695" s="6">
        <v>1.335</v>
      </c>
      <c r="E695" s="6">
        <v>17.2</v>
      </c>
      <c r="F695" s="1">
        <f t="shared" si="50"/>
        <v>1928.7916666666142</v>
      </c>
      <c r="G695" s="17">
        <f>G686*3/12+G698*9/12</f>
        <v>3.5324999999999998</v>
      </c>
      <c r="H695" s="1">
        <f>B695*$E$1867/E695</f>
        <v>420.85496511627912</v>
      </c>
      <c r="I695" s="1">
        <f>C695*$E$1867/E695</f>
        <v>16.302284690406978</v>
      </c>
      <c r="J695" s="26">
        <f t="shared" si="51"/>
        <v>8700.3093930837331</v>
      </c>
      <c r="K695" s="1">
        <f>D695*$E$1867/E695</f>
        <v>26.01117492732558</v>
      </c>
      <c r="L695" s="26">
        <f t="shared" si="49"/>
        <v>537.72745554475841</v>
      </c>
      <c r="M695" s="10">
        <f t="shared" si="47"/>
        <v>23.578344239585032</v>
      </c>
      <c r="N695" s="4">
        <f t="shared" si="48"/>
        <v>29.500230182003193</v>
      </c>
      <c r="O695" s="36">
        <f>1/M695-(G695/100-(((E695/E575)^(1/10))-1))</f>
        <v>1.434507984784375E-2</v>
      </c>
      <c r="R695" s="30"/>
      <c r="S695" s="30"/>
    </row>
    <row r="696" spans="1:19" ht="13" x14ac:dyDescent="0.3">
      <c r="A696" s="52" t="s">
        <v>712</v>
      </c>
      <c r="B696" s="6">
        <v>23.06</v>
      </c>
      <c r="C696" s="1">
        <v>0.84330000000000005</v>
      </c>
      <c r="D696" s="6">
        <v>1.357</v>
      </c>
      <c r="E696" s="6">
        <v>17.2</v>
      </c>
      <c r="F696" s="1">
        <f t="shared" si="50"/>
        <v>1928.8749999999475</v>
      </c>
      <c r="G696" s="17">
        <f>G686*2/12+G698*10/12</f>
        <v>3.5550000000000002</v>
      </c>
      <c r="H696" s="1">
        <f>B696*$E$1867/E696</f>
        <v>449.30164331395343</v>
      </c>
      <c r="I696" s="1">
        <f>C696*$E$1867/E696</f>
        <v>16.430879263081394</v>
      </c>
      <c r="J696" s="26">
        <f t="shared" si="51"/>
        <v>9316.6920762550835</v>
      </c>
      <c r="K696" s="1">
        <f>D696*$E$1867/E696</f>
        <v>26.439823502906979</v>
      </c>
      <c r="L696" s="26">
        <f t="shared" si="49"/>
        <v>548.25460309965956</v>
      </c>
      <c r="M696" s="10">
        <f t="shared" si="47"/>
        <v>25.121984571109586</v>
      </c>
      <c r="N696" s="4">
        <f t="shared" si="48"/>
        <v>31.338079943327788</v>
      </c>
      <c r="O696" s="36">
        <f>1/M696-(G696/100-(((E696/E576)^(1/10))-1))</f>
        <v>9.6446681414625174E-3</v>
      </c>
      <c r="R696" s="30"/>
      <c r="S696" s="30"/>
    </row>
    <row r="697" spans="1:19" ht="13" x14ac:dyDescent="0.3">
      <c r="A697" s="52" t="s">
        <v>713</v>
      </c>
      <c r="B697" s="6">
        <v>23.15</v>
      </c>
      <c r="C697" s="1">
        <v>0.85</v>
      </c>
      <c r="D697" s="6">
        <v>1.38</v>
      </c>
      <c r="E697" s="6">
        <v>17.100000000000001</v>
      </c>
      <c r="F697" s="1">
        <f t="shared" si="50"/>
        <v>1928.9583333332807</v>
      </c>
      <c r="G697" s="17">
        <f>G686*1/12+G698*11/12</f>
        <v>3.5775000000000001</v>
      </c>
      <c r="H697" s="1">
        <f>B697*$E$1867/E697</f>
        <v>453.69295540935667</v>
      </c>
      <c r="I697" s="1">
        <f>C697*$E$1867/E697</f>
        <v>16.65827266081871</v>
      </c>
      <c r="J697" s="26">
        <f t="shared" si="51"/>
        <v>9436.5354742932323</v>
      </c>
      <c r="K697" s="1">
        <f>D697*$E$1867/E697</f>
        <v>27.045195614035084</v>
      </c>
      <c r="L697" s="26">
        <f t="shared" si="49"/>
        <v>562.52349695570888</v>
      </c>
      <c r="M697" s="10">
        <f t="shared" si="47"/>
        <v>25.301591027426142</v>
      </c>
      <c r="N697" s="4">
        <f t="shared" si="48"/>
        <v>31.472825431435915</v>
      </c>
      <c r="O697" s="36">
        <f>1/M697-(G697/100-(((E697/E577)^(1/10))-1))</f>
        <v>7.3264009939585928E-3</v>
      </c>
      <c r="R697" s="30"/>
      <c r="S697" s="30"/>
    </row>
    <row r="698" spans="1:19" ht="13" x14ac:dyDescent="0.3">
      <c r="A698" s="52" t="s">
        <v>714</v>
      </c>
      <c r="B698" s="6">
        <v>24.86</v>
      </c>
      <c r="C698" s="1">
        <v>0.86</v>
      </c>
      <c r="D698" s="6">
        <v>1.399</v>
      </c>
      <c r="E698" s="6">
        <v>17.100000000000001</v>
      </c>
      <c r="F698" s="1">
        <f t="shared" si="50"/>
        <v>1929.041666666614</v>
      </c>
      <c r="G698" s="17">
        <v>3.6</v>
      </c>
      <c r="H698" s="1">
        <f>B698*$E$1867/E698</f>
        <v>487.20548040935665</v>
      </c>
      <c r="I698" s="1">
        <f>C698*$E$1867/E698</f>
        <v>16.854252339181286</v>
      </c>
      <c r="J698" s="26">
        <f t="shared" si="51"/>
        <v>10162.788636425663</v>
      </c>
      <c r="K698" s="1">
        <f>D698*$E$1867/E698</f>
        <v>27.417557002923974</v>
      </c>
      <c r="L698" s="26">
        <f t="shared" si="49"/>
        <v>571.91236131775963</v>
      </c>
      <c r="M698" s="10">
        <f t="shared" ref="M698:M761" si="52">H698/AVERAGE(K578:K697)</f>
        <v>27.083199620832769</v>
      </c>
      <c r="N698" s="4">
        <f t="shared" ref="N698:N761" si="53">J698/AVERAGE(L578:L697)</f>
        <v>33.590937699106377</v>
      </c>
      <c r="O698" s="36">
        <f>1/M698-(G698/100-(((E698/E578)^(1/10))-1))</f>
        <v>4.5014539849113633E-3</v>
      </c>
      <c r="R698" s="30"/>
      <c r="S698" s="30"/>
    </row>
    <row r="699" spans="1:19" ht="13" x14ac:dyDescent="0.3">
      <c r="A699" s="52" t="s">
        <v>715</v>
      </c>
      <c r="B699" s="6">
        <v>24.99</v>
      </c>
      <c r="C699" s="1">
        <v>0.87</v>
      </c>
      <c r="D699" s="6">
        <v>1.4179999999999999</v>
      </c>
      <c r="E699" s="6">
        <v>17.100000000000001</v>
      </c>
      <c r="F699" s="1">
        <f t="shared" si="50"/>
        <v>1929.1249999999472</v>
      </c>
      <c r="G699" s="17">
        <f>G698*11/12+G710*1/12</f>
        <v>3.5741666666666667</v>
      </c>
      <c r="H699" s="1">
        <f>B699*$E$1867/E699</f>
        <v>489.75321622807013</v>
      </c>
      <c r="I699" s="1">
        <f>C699*$E$1867/E699</f>
        <v>17.050232017543859</v>
      </c>
      <c r="J699" s="26">
        <f t="shared" si="51"/>
        <v>10245.570804522051</v>
      </c>
      <c r="K699" s="1">
        <f>D699*$E$1867/E699</f>
        <v>27.789918391812861</v>
      </c>
      <c r="L699" s="26">
        <f t="shared" si="49"/>
        <v>581.36132056071506</v>
      </c>
      <c r="M699" s="10">
        <f t="shared" si="52"/>
        <v>27.131672798247386</v>
      </c>
      <c r="N699" s="4">
        <f t="shared" si="53"/>
        <v>33.555039532540228</v>
      </c>
      <c r="O699" s="36">
        <f>1/M699-(G699/100-(((E699/E579)^(1/10))-1))</f>
        <v>6.5369906477101281E-3</v>
      </c>
      <c r="R699" s="30"/>
      <c r="S699" s="30"/>
    </row>
    <row r="700" spans="1:19" ht="13" x14ac:dyDescent="0.3">
      <c r="A700" s="52" t="s">
        <v>716</v>
      </c>
      <c r="B700" s="6">
        <v>25.43</v>
      </c>
      <c r="C700" s="1">
        <v>0.88</v>
      </c>
      <c r="D700" s="6">
        <v>1.4379999999999999</v>
      </c>
      <c r="E700" s="6">
        <v>17</v>
      </c>
      <c r="F700" s="1">
        <f t="shared" si="50"/>
        <v>1929.2083333332805</v>
      </c>
      <c r="G700" s="17">
        <f>G698*10/12+G710*2/12</f>
        <v>3.5483333333333333</v>
      </c>
      <c r="H700" s="1">
        <f>B700*$E$1867/E700</f>
        <v>501.30794750000001</v>
      </c>
      <c r="I700" s="1">
        <f>C700*$E$1867/E700</f>
        <v>17.347659999999998</v>
      </c>
      <c r="J700" s="26">
        <f t="shared" si="51"/>
        <v>10517.5367719975</v>
      </c>
      <c r="K700" s="1">
        <f>D700*$E$1867/E700</f>
        <v>28.3476535</v>
      </c>
      <c r="L700" s="26">
        <f t="shared" si="49"/>
        <v>594.73920087032661</v>
      </c>
      <c r="M700" s="10">
        <f t="shared" si="52"/>
        <v>27.675748437861877</v>
      </c>
      <c r="N700" s="4">
        <f t="shared" si="53"/>
        <v>34.129290955610152</v>
      </c>
      <c r="O700" s="36">
        <f>1/M700-(G700/100-(((E700/E580)^(1/10))-1))</f>
        <v>4.2490483780684013E-3</v>
      </c>
      <c r="R700" s="30"/>
      <c r="S700" s="30"/>
    </row>
    <row r="701" spans="1:19" ht="13" x14ac:dyDescent="0.3">
      <c r="A701" s="52" t="s">
        <v>717</v>
      </c>
      <c r="B701" s="6">
        <v>25.28</v>
      </c>
      <c r="C701" s="1">
        <v>0.89</v>
      </c>
      <c r="D701" s="6">
        <v>1.4570000000000001</v>
      </c>
      <c r="E701" s="6">
        <v>16.899999999999999</v>
      </c>
      <c r="F701" s="1">
        <f t="shared" si="50"/>
        <v>1929.2916666666138</v>
      </c>
      <c r="G701" s="17">
        <f>G698*9/12+G710*3/12</f>
        <v>3.5225</v>
      </c>
      <c r="H701" s="1">
        <f>B701*$E$1867/E701</f>
        <v>501.29978224852073</v>
      </c>
      <c r="I701" s="1">
        <f>C701*$E$1867/E701</f>
        <v>17.648607840236689</v>
      </c>
      <c r="J701" s="26">
        <f t="shared" si="51"/>
        <v>10548.221394570404</v>
      </c>
      <c r="K701" s="1">
        <f>D701*$E$1867/E701</f>
        <v>28.892159127218939</v>
      </c>
      <c r="L701" s="26">
        <f t="shared" si="49"/>
        <v>607.9413992044731</v>
      </c>
      <c r="M701" s="10">
        <f t="shared" si="52"/>
        <v>27.568454472898289</v>
      </c>
      <c r="N701" s="4">
        <f t="shared" si="53"/>
        <v>33.902563138115248</v>
      </c>
      <c r="O701" s="36">
        <f>1/M701-(G701/100-(((E701/E581)^(1/10))-1))</f>
        <v>2.2395419813420123E-3</v>
      </c>
      <c r="R701" s="30"/>
      <c r="S701" s="30"/>
    </row>
    <row r="702" spans="1:19" ht="13" x14ac:dyDescent="0.3">
      <c r="A702" s="52" t="s">
        <v>718</v>
      </c>
      <c r="B702" s="6">
        <v>25.66</v>
      </c>
      <c r="C702" s="1">
        <v>0.9</v>
      </c>
      <c r="D702" s="6">
        <v>1.476</v>
      </c>
      <c r="E702" s="6">
        <v>17</v>
      </c>
      <c r="F702" s="1">
        <f t="shared" si="50"/>
        <v>1929.374999999947</v>
      </c>
      <c r="G702" s="17">
        <f>G698*8/12+G710*4/12</f>
        <v>3.4966666666666666</v>
      </c>
      <c r="H702" s="1">
        <f>B702*$E$1867/E702</f>
        <v>505.84199500000005</v>
      </c>
      <c r="I702" s="1">
        <f>C702*$E$1867/E702</f>
        <v>17.741925000000002</v>
      </c>
      <c r="J702" s="26">
        <f t="shared" si="51"/>
        <v>10674.907555981599</v>
      </c>
      <c r="K702" s="1">
        <f>D702*$E$1867/E702</f>
        <v>29.096756999999997</v>
      </c>
      <c r="L702" s="26">
        <f t="shared" si="49"/>
        <v>614.03599191850492</v>
      </c>
      <c r="M702" s="10">
        <f t="shared" si="52"/>
        <v>27.698586875008129</v>
      </c>
      <c r="N702" s="4">
        <f t="shared" si="53"/>
        <v>33.970071523184757</v>
      </c>
      <c r="O702" s="36">
        <f>1/M702-(G702/100-(((E702/E582)^(1/10))-1))</f>
        <v>1.7264044494609415E-3</v>
      </c>
      <c r="R702" s="30"/>
      <c r="S702" s="30"/>
    </row>
    <row r="703" spans="1:19" ht="13" x14ac:dyDescent="0.3">
      <c r="A703" s="52" t="s">
        <v>719</v>
      </c>
      <c r="B703" s="6">
        <v>26.15</v>
      </c>
      <c r="C703" s="1">
        <v>0.91</v>
      </c>
      <c r="D703" s="6">
        <v>1.4950000000000001</v>
      </c>
      <c r="E703" s="6">
        <v>17.100000000000001</v>
      </c>
      <c r="F703" s="1">
        <f t="shared" si="50"/>
        <v>1929.4583333332803</v>
      </c>
      <c r="G703" s="17">
        <f>G698*7/12+G710*5/12</f>
        <v>3.4708333333333332</v>
      </c>
      <c r="H703" s="1">
        <f>B703*$E$1867/E703</f>
        <v>512.48685891812852</v>
      </c>
      <c r="I703" s="1">
        <f>C703*$E$1867/E703</f>
        <v>17.83415073099415</v>
      </c>
      <c r="J703" s="26">
        <f t="shared" si="51"/>
        <v>10846.498951658754</v>
      </c>
      <c r="K703" s="1">
        <f>D703*$E$1867/E703</f>
        <v>29.298961915204679</v>
      </c>
      <c r="L703" s="26">
        <f t="shared" si="49"/>
        <v>620.09621157666697</v>
      </c>
      <c r="M703" s="10">
        <f t="shared" si="52"/>
        <v>27.935467830288676</v>
      </c>
      <c r="N703" s="4">
        <f t="shared" si="53"/>
        <v>34.169786393113839</v>
      </c>
      <c r="O703" s="36">
        <f>1/M703-(G703/100-(((E703/E583)^(1/10))-1))</f>
        <v>2.2656304519138026E-3</v>
      </c>
      <c r="R703" s="30"/>
      <c r="S703" s="30"/>
    </row>
    <row r="704" spans="1:19" ht="13" x14ac:dyDescent="0.3">
      <c r="A704" s="52" t="s">
        <v>720</v>
      </c>
      <c r="B704" s="6">
        <v>28.48</v>
      </c>
      <c r="C704" s="1">
        <v>0.92</v>
      </c>
      <c r="D704" s="6">
        <v>1.514</v>
      </c>
      <c r="E704" s="6">
        <v>17.3</v>
      </c>
      <c r="F704" s="1">
        <f t="shared" si="50"/>
        <v>1929.5416666666135</v>
      </c>
      <c r="G704" s="17">
        <f>G698*6/12+G710*6/12</f>
        <v>3.4450000000000003</v>
      </c>
      <c r="H704" s="1">
        <f>B704*$E$1867/E704</f>
        <v>551.69752138728325</v>
      </c>
      <c r="I704" s="1">
        <f>C704*$E$1867/E704</f>
        <v>17.82168959537572</v>
      </c>
      <c r="J704" s="26">
        <f t="shared" si="51"/>
        <v>11707.802963284414</v>
      </c>
      <c r="K704" s="1">
        <f>D704*$E$1867/E704</f>
        <v>29.328302225433521</v>
      </c>
      <c r="L704" s="26">
        <f t="shared" si="49"/>
        <v>622.38812101167832</v>
      </c>
      <c r="M704" s="10">
        <f t="shared" si="52"/>
        <v>29.933289406842206</v>
      </c>
      <c r="N704" s="4">
        <f t="shared" si="53"/>
        <v>36.510951968420372</v>
      </c>
      <c r="O704" s="36">
        <f>1/M704-(G704/100-(((E704/E584)^(1/10))-1))</f>
        <v>-1.618582994118066E-3</v>
      </c>
      <c r="R704" s="30"/>
      <c r="S704" s="30"/>
    </row>
    <row r="705" spans="1:19" ht="13" x14ac:dyDescent="0.3">
      <c r="A705" s="52" t="s">
        <v>721</v>
      </c>
      <c r="B705" s="6">
        <v>30.1</v>
      </c>
      <c r="C705" s="1">
        <v>0.93</v>
      </c>
      <c r="D705" s="6">
        <v>1.5329999999999999</v>
      </c>
      <c r="E705" s="6">
        <v>17.3</v>
      </c>
      <c r="F705" s="1">
        <f t="shared" si="50"/>
        <v>1929.6249999999468</v>
      </c>
      <c r="G705" s="17">
        <f>G698*5/12+G710*7/12</f>
        <v>3.4191666666666665</v>
      </c>
      <c r="H705" s="1">
        <f>B705*$E$1867/E705</f>
        <v>583.07919219653172</v>
      </c>
      <c r="I705" s="1">
        <f>C705*$E$1867/E705</f>
        <v>18.015403612716764</v>
      </c>
      <c r="J705" s="26">
        <f t="shared" si="51"/>
        <v>12405.625840046187</v>
      </c>
      <c r="K705" s="1">
        <f>D705*$E$1867/E705</f>
        <v>29.696358858381497</v>
      </c>
      <c r="L705" s="26">
        <f t="shared" si="49"/>
        <v>631.82140906281734</v>
      </c>
      <c r="M705" s="10">
        <f t="shared" si="52"/>
        <v>31.480313247172997</v>
      </c>
      <c r="N705" s="4">
        <f t="shared" si="53"/>
        <v>38.291695558437191</v>
      </c>
      <c r="O705" s="36">
        <f>1/M705-(G705/100-(((E705/E585)^(1/10))-1))</f>
        <v>-4.7089853208238733E-3</v>
      </c>
      <c r="R705" s="30"/>
      <c r="S705" s="30"/>
    </row>
    <row r="706" spans="1:19" ht="13" x14ac:dyDescent="0.3">
      <c r="A706" s="52" t="s">
        <v>722</v>
      </c>
      <c r="B706" s="6">
        <v>31.3</v>
      </c>
      <c r="C706" s="1">
        <v>0.94</v>
      </c>
      <c r="D706" s="6">
        <v>1.552</v>
      </c>
      <c r="E706" s="6">
        <v>17.3</v>
      </c>
      <c r="F706" s="1">
        <f t="shared" si="50"/>
        <v>1929.7083333332801</v>
      </c>
      <c r="G706" s="17">
        <f>G698*4/12+G710*8/12</f>
        <v>3.3933333333333335</v>
      </c>
      <c r="H706" s="1">
        <f>B706*$E$1867/E706</f>
        <v>606.32487427745673</v>
      </c>
      <c r="I706" s="1">
        <f>C706*$E$1867/E706</f>
        <v>18.209117630057801</v>
      </c>
      <c r="J706" s="26">
        <f t="shared" si="51"/>
        <v>12932.487136796766</v>
      </c>
      <c r="K706" s="1">
        <f>D706*$E$1867/E706</f>
        <v>30.064415491329477</v>
      </c>
      <c r="L706" s="26">
        <f t="shared" si="49"/>
        <v>641.25303630378835</v>
      </c>
      <c r="M706" s="10">
        <f t="shared" si="52"/>
        <v>32.563788598776704</v>
      </c>
      <c r="N706" s="4">
        <f t="shared" si="53"/>
        <v>39.500688697971846</v>
      </c>
      <c r="O706" s="36">
        <f>1/M706-(G706/100-(((E706/E586)^(1/10))-1))</f>
        <v>-6.0695163108649697E-3</v>
      </c>
      <c r="R706" s="30"/>
      <c r="S706" s="30"/>
    </row>
    <row r="707" spans="1:19" ht="13" x14ac:dyDescent="0.3">
      <c r="A707" s="52" t="s">
        <v>723</v>
      </c>
      <c r="B707" s="6">
        <v>27.99</v>
      </c>
      <c r="C707" s="1">
        <v>0.95</v>
      </c>
      <c r="D707" s="6">
        <v>1.5720000000000001</v>
      </c>
      <c r="E707" s="6">
        <v>17.3</v>
      </c>
      <c r="F707" s="1">
        <f t="shared" si="50"/>
        <v>1929.7916666666133</v>
      </c>
      <c r="G707" s="17">
        <f>G698*3/12+G710*9/12</f>
        <v>3.3674999999999997</v>
      </c>
      <c r="H707" s="1">
        <f>B707*$E$1867/E707</f>
        <v>542.20553453757213</v>
      </c>
      <c r="I707" s="1">
        <f>C707*$E$1867/E707</f>
        <v>18.402831647398845</v>
      </c>
      <c r="J707" s="26">
        <f t="shared" si="51"/>
        <v>11597.576257420802</v>
      </c>
      <c r="K707" s="1">
        <f>D707*$E$1867/E707</f>
        <v>30.451843526011562</v>
      </c>
      <c r="L707" s="26">
        <f t="shared" ref="L707:L770" si="54">K707*(J707/H707)</f>
        <v>651.35369334281904</v>
      </c>
      <c r="M707" s="10">
        <f t="shared" si="52"/>
        <v>28.961067164354787</v>
      </c>
      <c r="N707" s="4">
        <f t="shared" si="53"/>
        <v>35.047458190086331</v>
      </c>
      <c r="O707" s="36">
        <f>1/M707-(G707/100-(((E707/E587)^(1/10))-1))</f>
        <v>-3.6562270419569914E-3</v>
      </c>
      <c r="R707" s="30"/>
      <c r="S707" s="30"/>
    </row>
    <row r="708" spans="1:19" ht="13" x14ac:dyDescent="0.3">
      <c r="A708" s="52" t="s">
        <v>724</v>
      </c>
      <c r="B708" s="6">
        <v>20.58</v>
      </c>
      <c r="C708" s="1">
        <v>0.96</v>
      </c>
      <c r="D708" s="6">
        <v>1.591</v>
      </c>
      <c r="E708" s="6">
        <v>17.3</v>
      </c>
      <c r="F708" s="1">
        <f t="shared" ref="F708:F771" si="55">F707+1/12</f>
        <v>1929.8749999999466</v>
      </c>
      <c r="G708" s="17">
        <f>G698*2/12+G710*10/12</f>
        <v>3.3416666666666668</v>
      </c>
      <c r="H708" s="1">
        <f>B708*$E$1867/E708</f>
        <v>398.66344768786121</v>
      </c>
      <c r="I708" s="1">
        <f>C708*$E$1867/E708</f>
        <v>18.596545664739882</v>
      </c>
      <c r="J708" s="26">
        <f t="shared" ref="J708:J771" si="56">J707*((H708+(I708/12))/H707)</f>
        <v>8560.4117712866664</v>
      </c>
      <c r="K708" s="1">
        <f>D708*$E$1867/E708</f>
        <v>30.819900158959534</v>
      </c>
      <c r="L708" s="26">
        <f t="shared" si="54"/>
        <v>661.78887891725401</v>
      </c>
      <c r="M708" s="10">
        <f t="shared" si="52"/>
        <v>21.171036000097036</v>
      </c>
      <c r="N708" s="4">
        <f t="shared" si="53"/>
        <v>25.58877076396271</v>
      </c>
      <c r="O708" s="36">
        <f>1/M708-(G708/100-(((E708/E588)^(1/10))-1))</f>
        <v>7.1336922722850804E-3</v>
      </c>
      <c r="R708" s="30"/>
      <c r="S708" s="30"/>
    </row>
    <row r="709" spans="1:19" ht="13" x14ac:dyDescent="0.3">
      <c r="A709" s="52" t="s">
        <v>725</v>
      </c>
      <c r="B709" s="6">
        <v>21.4</v>
      </c>
      <c r="C709" s="1">
        <v>0.97</v>
      </c>
      <c r="D709" s="6">
        <v>1.61</v>
      </c>
      <c r="E709" s="6">
        <v>17.2</v>
      </c>
      <c r="F709" s="1">
        <f t="shared" si="55"/>
        <v>1929.9583333332798</v>
      </c>
      <c r="G709" s="17">
        <f>G698*1/12+G710*11/12</f>
        <v>3.315833333333333</v>
      </c>
      <c r="H709" s="1">
        <f>B709*$E$1867/E709</f>
        <v>416.95815988372095</v>
      </c>
      <c r="I709" s="1">
        <f>C709*$E$1867/E709</f>
        <v>18.899505377906976</v>
      </c>
      <c r="J709" s="26">
        <f t="shared" si="56"/>
        <v>8987.0688082249835</v>
      </c>
      <c r="K709" s="1">
        <f>D709*$E$1867/E709</f>
        <v>31.369282122093026</v>
      </c>
      <c r="L709" s="26">
        <f t="shared" si="54"/>
        <v>676.1299430487021</v>
      </c>
      <c r="M709" s="10">
        <f t="shared" si="52"/>
        <v>22.007373176418334</v>
      </c>
      <c r="N709" s="4">
        <f t="shared" si="53"/>
        <v>26.566024428345134</v>
      </c>
      <c r="O709" s="36">
        <f>1/M709-(G709/100-(((E709/E589)^(1/10))-1))</f>
        <v>2.9000080484936838E-3</v>
      </c>
      <c r="R709" s="30"/>
      <c r="S709" s="30"/>
    </row>
    <row r="710" spans="1:19" ht="13" x14ac:dyDescent="0.3">
      <c r="A710" s="52" t="s">
        <v>726</v>
      </c>
      <c r="B710" s="6">
        <v>21.71</v>
      </c>
      <c r="C710" s="1">
        <v>0.9708</v>
      </c>
      <c r="D710" s="6">
        <v>1.5569999999999999</v>
      </c>
      <c r="E710" s="6">
        <v>17.100000000000001</v>
      </c>
      <c r="F710" s="1">
        <f t="shared" si="55"/>
        <v>1930.0416666666131</v>
      </c>
      <c r="G710" s="17">
        <v>3.29</v>
      </c>
      <c r="H710" s="1">
        <f>B710*$E$1867/E710</f>
        <v>425.4718817251462</v>
      </c>
      <c r="I710" s="1">
        <f>C710*$E$1867/E710</f>
        <v>19.025707175438594</v>
      </c>
      <c r="J710" s="26">
        <f t="shared" si="56"/>
        <v>9204.7457624806702</v>
      </c>
      <c r="K710" s="1">
        <f>D710*$E$1867/E710</f>
        <v>30.514035921052631</v>
      </c>
      <c r="L710" s="26">
        <f t="shared" si="54"/>
        <v>660.14689784350082</v>
      </c>
      <c r="M710" s="10">
        <f t="shared" si="52"/>
        <v>22.310724294336847</v>
      </c>
      <c r="N710" s="4">
        <f t="shared" si="53"/>
        <v>26.89846989632851</v>
      </c>
      <c r="O710" s="36">
        <f>1/M710-(G710/100-(((E710/E590)^(1/10))-1))</f>
        <v>-1.0822635497040323E-4</v>
      </c>
      <c r="R710" s="30"/>
      <c r="S710" s="30"/>
    </row>
    <row r="711" spans="1:19" ht="13" x14ac:dyDescent="0.3">
      <c r="A711" s="52" t="s">
        <v>727</v>
      </c>
      <c r="B711" s="6">
        <v>23.07</v>
      </c>
      <c r="C711" s="1">
        <v>0.97170000000000001</v>
      </c>
      <c r="D711" s="6">
        <v>1.5029999999999999</v>
      </c>
      <c r="E711" s="6">
        <v>17</v>
      </c>
      <c r="F711" s="1">
        <f t="shared" si="55"/>
        <v>1930.1249999999463</v>
      </c>
      <c r="G711" s="17">
        <f>G710*11/12+G722*1/12</f>
        <v>3.2941666666666665</v>
      </c>
      <c r="H711" s="1">
        <f>B711*$E$1867/E711</f>
        <v>454.78467749999999</v>
      </c>
      <c r="I711" s="1">
        <f>C711*$E$1867/E711</f>
        <v>19.155365025000002</v>
      </c>
      <c r="J711" s="26">
        <f t="shared" si="56"/>
        <v>9873.4390424259236</v>
      </c>
      <c r="K711" s="1">
        <f>D711*$E$1867/E711</f>
        <v>29.629014749999996</v>
      </c>
      <c r="L711" s="26">
        <f t="shared" si="54"/>
        <v>643.25005985115558</v>
      </c>
      <c r="M711" s="10">
        <f t="shared" si="52"/>
        <v>23.697117749335881</v>
      </c>
      <c r="N711" s="4">
        <f t="shared" si="53"/>
        <v>28.533590991681244</v>
      </c>
      <c r="O711" s="36">
        <f>1/M711-(G711/100-(((E711/E591)^(1/10))-1))</f>
        <v>-4.3688622144010744E-3</v>
      </c>
      <c r="R711" s="30"/>
      <c r="S711" s="30"/>
    </row>
    <row r="712" spans="1:19" ht="13" x14ac:dyDescent="0.3">
      <c r="A712" s="52" t="s">
        <v>728</v>
      </c>
      <c r="B712" s="6">
        <v>23.94</v>
      </c>
      <c r="C712" s="1">
        <v>0.97250000000000003</v>
      </c>
      <c r="D712" s="6">
        <v>1.45</v>
      </c>
      <c r="E712" s="6">
        <v>16.899999999999999</v>
      </c>
      <c r="F712" s="1">
        <f t="shared" si="55"/>
        <v>1930.2083333332796</v>
      </c>
      <c r="G712" s="17">
        <f>G710*10/12+G722*2/12</f>
        <v>3.2983333333333333</v>
      </c>
      <c r="H712" s="1">
        <f>B712*$E$1867/E712</f>
        <v>474.72772100591726</v>
      </c>
      <c r="I712" s="1">
        <f>C712*$E$1867/E712</f>
        <v>19.284574297337279</v>
      </c>
      <c r="J712" s="26">
        <f t="shared" si="56"/>
        <v>10341.294544091208</v>
      </c>
      <c r="K712" s="1">
        <f>D712*$E$1867/E712</f>
        <v>28.753349852071008</v>
      </c>
      <c r="L712" s="26">
        <f t="shared" si="54"/>
        <v>626.35242643827269</v>
      </c>
      <c r="M712" s="10">
        <f t="shared" si="52"/>
        <v>24.58660779266885</v>
      </c>
      <c r="N712" s="4">
        <f t="shared" si="53"/>
        <v>29.568429499384266</v>
      </c>
      <c r="O712" s="36">
        <f>1/M712-(G712/100-(((E712/E592)^(1/10))-1))</f>
        <v>-7.5243722051968054E-3</v>
      </c>
      <c r="R712" s="30"/>
      <c r="S712" s="30"/>
    </row>
    <row r="713" spans="1:19" ht="13" x14ac:dyDescent="0.3">
      <c r="A713" s="52" t="s">
        <v>729</v>
      </c>
      <c r="B713" s="6">
        <v>25.46</v>
      </c>
      <c r="C713" s="1">
        <v>0.97330000000000005</v>
      </c>
      <c r="D713" s="6">
        <v>1.397</v>
      </c>
      <c r="E713" s="6">
        <v>17</v>
      </c>
      <c r="F713" s="1">
        <f t="shared" si="55"/>
        <v>1930.2916666666129</v>
      </c>
      <c r="G713" s="17">
        <f>G710*9/12+G722*3/12</f>
        <v>3.3024999999999998</v>
      </c>
      <c r="H713" s="1">
        <f>B713*$E$1867/E713</f>
        <v>501.89934500000004</v>
      </c>
      <c r="I713" s="1">
        <f>C713*$E$1867/E713</f>
        <v>19.186906225000001</v>
      </c>
      <c r="J713" s="26">
        <f t="shared" si="56"/>
        <v>10968.021278570121</v>
      </c>
      <c r="K713" s="1">
        <f>D713*$E$1867/E713</f>
        <v>27.53941025</v>
      </c>
      <c r="L713" s="26">
        <f t="shared" si="54"/>
        <v>601.81954933866677</v>
      </c>
      <c r="M713" s="10">
        <f t="shared" si="52"/>
        <v>25.843436862018304</v>
      </c>
      <c r="N713" s="4">
        <f t="shared" si="53"/>
        <v>31.040920119317011</v>
      </c>
      <c r="O713" s="36">
        <f>1/M713-(G713/100-(((E713/E593)^(1/10))-1))</f>
        <v>-1.1914769695241918E-2</v>
      </c>
      <c r="R713" s="30"/>
      <c r="S713" s="30"/>
    </row>
    <row r="714" spans="1:19" ht="13" x14ac:dyDescent="0.3">
      <c r="A714" s="52" t="s">
        <v>730</v>
      </c>
      <c r="B714" s="6">
        <v>23.94</v>
      </c>
      <c r="C714" s="1">
        <v>0.97419999999999995</v>
      </c>
      <c r="D714" s="6">
        <v>1.343</v>
      </c>
      <c r="E714" s="6">
        <v>16.899999999999999</v>
      </c>
      <c r="F714" s="1">
        <f t="shared" si="55"/>
        <v>1930.3749999999461</v>
      </c>
      <c r="G714" s="17">
        <f>G710*8/12+G722*4/12</f>
        <v>3.3066666666666666</v>
      </c>
      <c r="H714" s="1">
        <f>B714*$E$1867/E714</f>
        <v>474.72772100591726</v>
      </c>
      <c r="I714" s="1">
        <f>C714*$E$1867/E714</f>
        <v>19.318285121301777</v>
      </c>
      <c r="J714" s="26">
        <f t="shared" si="56"/>
        <v>10409.419228025345</v>
      </c>
      <c r="K714" s="1">
        <f>D714*$E$1867/E714</f>
        <v>26.631550931952663</v>
      </c>
      <c r="L714" s="26">
        <f t="shared" si="54"/>
        <v>583.95363505589125</v>
      </c>
      <c r="M714" s="10">
        <f t="shared" si="52"/>
        <v>24.309760633908173</v>
      </c>
      <c r="N714" s="4">
        <f t="shared" si="53"/>
        <v>29.174802108988985</v>
      </c>
      <c r="O714" s="36">
        <f>1/M714-(G714/100-(((E714/E594)^(1/10))-1))</f>
        <v>-1.1533983314308077E-2</v>
      </c>
      <c r="R714" s="30"/>
      <c r="S714" s="30"/>
    </row>
    <row r="715" spans="1:19" ht="13" x14ac:dyDescent="0.3">
      <c r="A715" s="52" t="s">
        <v>731</v>
      </c>
      <c r="B715" s="6">
        <v>21.52</v>
      </c>
      <c r="C715" s="1">
        <v>0.97499999999999998</v>
      </c>
      <c r="D715" s="6">
        <v>1.29</v>
      </c>
      <c r="E715" s="6">
        <v>16.8</v>
      </c>
      <c r="F715" s="1">
        <f t="shared" si="55"/>
        <v>1930.4583333332794</v>
      </c>
      <c r="G715" s="17">
        <f>G710*7/12+G722*5/12</f>
        <v>3.3108333333333331</v>
      </c>
      <c r="H715" s="1">
        <f>B715*$E$1867/E715</f>
        <v>429.27948690476188</v>
      </c>
      <c r="I715" s="1">
        <f>C715*$E$1867/E715</f>
        <v>19.449233258928569</v>
      </c>
      <c r="J715" s="26">
        <f t="shared" si="56"/>
        <v>9448.4084566067031</v>
      </c>
      <c r="K715" s="1">
        <f>D715*$E$1867/E715</f>
        <v>25.732831696428573</v>
      </c>
      <c r="L715" s="26">
        <f t="shared" si="54"/>
        <v>566.37764447131269</v>
      </c>
      <c r="M715" s="10">
        <f t="shared" si="52"/>
        <v>21.86689933338948</v>
      </c>
      <c r="N715" s="4">
        <f t="shared" si="53"/>
        <v>26.235846681571903</v>
      </c>
      <c r="O715" s="36">
        <f>1/M715-(G715/100-(((E715/E595)^(1/10))-1))</f>
        <v>-8.9774380694718908E-3</v>
      </c>
      <c r="R715" s="30"/>
      <c r="S715" s="30"/>
    </row>
    <row r="716" spans="1:19" ht="13" x14ac:dyDescent="0.3">
      <c r="A716" s="52" t="s">
        <v>732</v>
      </c>
      <c r="B716" s="6">
        <v>21.06</v>
      </c>
      <c r="C716" s="1">
        <v>0.9758</v>
      </c>
      <c r="D716" s="6">
        <v>1.2370000000000001</v>
      </c>
      <c r="E716" s="6">
        <v>16.600000000000001</v>
      </c>
      <c r="F716" s="1">
        <f t="shared" si="55"/>
        <v>1930.5416666666126</v>
      </c>
      <c r="G716" s="17">
        <f>G710*6/12+G722*6/12</f>
        <v>3.3150000000000004</v>
      </c>
      <c r="H716" s="1">
        <f>B716*$E$1867/E716</f>
        <v>425.1649256024096</v>
      </c>
      <c r="I716" s="1">
        <f>C716*$E$1867/E716</f>
        <v>19.699711984939757</v>
      </c>
      <c r="J716" s="26">
        <f t="shared" si="56"/>
        <v>9393.9797077972962</v>
      </c>
      <c r="K716" s="1">
        <f>D716*$E$1867/E716</f>
        <v>24.972887605421686</v>
      </c>
      <c r="L716" s="26">
        <f t="shared" si="54"/>
        <v>551.77364190623246</v>
      </c>
      <c r="M716" s="10">
        <f t="shared" si="52"/>
        <v>21.548797592546645</v>
      </c>
      <c r="N716" s="4">
        <f t="shared" si="53"/>
        <v>25.853225798800061</v>
      </c>
      <c r="O716" s="36">
        <f>1/M716-(G716/100-(((E716/E596)^(1/10))-1))</f>
        <v>-9.0462645397373503E-3</v>
      </c>
      <c r="R716" s="30"/>
      <c r="S716" s="30"/>
    </row>
    <row r="717" spans="1:19" ht="13" x14ac:dyDescent="0.3">
      <c r="A717" s="52" t="s">
        <v>733</v>
      </c>
      <c r="B717" s="6">
        <v>20.79</v>
      </c>
      <c r="C717" s="1">
        <v>0.97670000000000001</v>
      </c>
      <c r="D717" s="6">
        <v>1.1830000000000001</v>
      </c>
      <c r="E717" s="6">
        <v>16.5</v>
      </c>
      <c r="F717" s="1">
        <f t="shared" si="55"/>
        <v>1930.6249999999459</v>
      </c>
      <c r="G717" s="17">
        <f>G710*5/12+G722*7/12</f>
        <v>3.3191666666666668</v>
      </c>
      <c r="H717" s="1">
        <f>B717*$E$1867/E717</f>
        <v>422.25781499999994</v>
      </c>
      <c r="I717" s="1">
        <f>C717*$E$1867/E717</f>
        <v>19.837383737878788</v>
      </c>
      <c r="J717" s="26">
        <f t="shared" si="56"/>
        <v>9366.2727978261064</v>
      </c>
      <c r="K717" s="1">
        <f>D717*$E$1867/E717</f>
        <v>24.027464893939396</v>
      </c>
      <c r="L717" s="26">
        <f t="shared" si="54"/>
        <v>532.9629975867382</v>
      </c>
      <c r="M717" s="10">
        <f t="shared" si="52"/>
        <v>21.300602241118149</v>
      </c>
      <c r="N717" s="4">
        <f t="shared" si="53"/>
        <v>25.558473871970421</v>
      </c>
      <c r="O717" s="36">
        <f>1/M717-(G717/100-(((E717/E597)^(1/10))-1))</f>
        <v>-6.7573794012129318E-3</v>
      </c>
      <c r="R717" s="30"/>
      <c r="S717" s="30"/>
    </row>
    <row r="718" spans="1:19" ht="13" x14ac:dyDescent="0.3">
      <c r="A718" s="52" t="s">
        <v>734</v>
      </c>
      <c r="B718" s="6">
        <v>20.78</v>
      </c>
      <c r="C718" s="1">
        <v>0.97750000000000004</v>
      </c>
      <c r="D718" s="6">
        <v>1.1299999999999999</v>
      </c>
      <c r="E718" s="6">
        <v>16.600000000000001</v>
      </c>
      <c r="F718" s="1">
        <f t="shared" si="55"/>
        <v>1930.7083333332791</v>
      </c>
      <c r="G718" s="17">
        <f>G710*4/12+G722*8/12</f>
        <v>3.3233333333333333</v>
      </c>
      <c r="H718" s="1">
        <f>B718*$E$1867/E718</f>
        <v>419.5122105421687</v>
      </c>
      <c r="I718" s="1">
        <f>C718*$E$1867/E718</f>
        <v>19.734032040662647</v>
      </c>
      <c r="J718" s="26">
        <f t="shared" si="56"/>
        <v>9341.8488100249942</v>
      </c>
      <c r="K718" s="1">
        <f>D718*$E$1867/E718</f>
        <v>22.812742921686741</v>
      </c>
      <c r="L718" s="26">
        <f t="shared" si="54"/>
        <v>508.00236551146492</v>
      </c>
      <c r="M718" s="10">
        <f t="shared" si="52"/>
        <v>21.072581788447312</v>
      </c>
      <c r="N718" s="4">
        <f t="shared" si="53"/>
        <v>25.290051551861222</v>
      </c>
      <c r="O718" s="36">
        <f>1/M718-(G718/100-(((E718/E598)^(1/10))-1))</f>
        <v>-4.2387408222914896E-3</v>
      </c>
      <c r="R718" s="30"/>
      <c r="S718" s="30"/>
    </row>
    <row r="719" spans="1:19" ht="13" x14ac:dyDescent="0.3">
      <c r="A719" s="52" t="s">
        <v>735</v>
      </c>
      <c r="B719" s="6">
        <v>17.920000000000002</v>
      </c>
      <c r="C719" s="1">
        <v>0.97829999999999995</v>
      </c>
      <c r="D719" s="6">
        <v>1.077</v>
      </c>
      <c r="E719" s="6">
        <v>16.5</v>
      </c>
      <c r="F719" s="1">
        <f t="shared" si="55"/>
        <v>1930.7916666666124</v>
      </c>
      <c r="G719" s="17">
        <f>G710*3/12+G722*9/12</f>
        <v>3.3275000000000001</v>
      </c>
      <c r="H719" s="1">
        <f>B719*$E$1867/E719</f>
        <v>363.96633212121213</v>
      </c>
      <c r="I719" s="1">
        <f>C719*$E$1867/E719</f>
        <v>19.869880731818181</v>
      </c>
      <c r="J719" s="26">
        <f t="shared" si="56"/>
        <v>8141.805679523125</v>
      </c>
      <c r="K719" s="1">
        <f>D719*$E$1867/E719</f>
        <v>21.874539045454544</v>
      </c>
      <c r="L719" s="26">
        <f t="shared" si="54"/>
        <v>489.32615607401812</v>
      </c>
      <c r="M719" s="10">
        <f t="shared" si="52"/>
        <v>18.214870154658627</v>
      </c>
      <c r="N719" s="4">
        <f t="shared" si="53"/>
        <v>21.881118207635723</v>
      </c>
      <c r="O719" s="36">
        <f>1/M719-(G719/100-(((E719/E599)^(1/10))-1))</f>
        <v>3.0636907081037917E-3</v>
      </c>
      <c r="R719" s="30"/>
      <c r="S719" s="30"/>
    </row>
    <row r="720" spans="1:19" ht="13" x14ac:dyDescent="0.3">
      <c r="A720" s="52" t="s">
        <v>736</v>
      </c>
      <c r="B720" s="6">
        <v>16.62</v>
      </c>
      <c r="C720" s="1">
        <v>0.97919999999999996</v>
      </c>
      <c r="D720" s="6">
        <v>1.0229999999999999</v>
      </c>
      <c r="E720" s="6">
        <v>16.399999999999999</v>
      </c>
      <c r="F720" s="1">
        <f t="shared" si="55"/>
        <v>1930.8749999999457</v>
      </c>
      <c r="G720" s="17">
        <f>G710*2/12+G722*10/12</f>
        <v>3.3316666666666666</v>
      </c>
      <c r="H720" s="1">
        <f>B720*$E$1867/E720</f>
        <v>339.62083262195131</v>
      </c>
      <c r="I720" s="1">
        <f>C720*$E$1867/E720</f>
        <v>20.009429560975608</v>
      </c>
      <c r="J720" s="26">
        <f t="shared" si="56"/>
        <v>7634.505317204299</v>
      </c>
      <c r="K720" s="1">
        <f>D720*$E$1867/E720</f>
        <v>20.904459192073169</v>
      </c>
      <c r="L720" s="26">
        <f t="shared" si="54"/>
        <v>469.92171717809839</v>
      </c>
      <c r="M720" s="10">
        <f t="shared" si="52"/>
        <v>16.939711377775168</v>
      </c>
      <c r="N720" s="4">
        <f t="shared" si="53"/>
        <v>20.377938385497806</v>
      </c>
      <c r="O720" s="36">
        <f>1/M720-(G720/100-(((E720/E600)^(1/10))-1))</f>
        <v>7.0525206827529857E-3</v>
      </c>
      <c r="R720" s="30"/>
      <c r="S720" s="30"/>
    </row>
    <row r="721" spans="1:19" ht="13" x14ac:dyDescent="0.3">
      <c r="A721" s="52" t="s">
        <v>737</v>
      </c>
      <c r="B721" s="6">
        <v>15.51</v>
      </c>
      <c r="C721" s="1">
        <v>0.98</v>
      </c>
      <c r="D721" s="6">
        <v>0.97</v>
      </c>
      <c r="E721" s="6">
        <v>16.100000000000001</v>
      </c>
      <c r="F721" s="1">
        <f t="shared" si="55"/>
        <v>1930.9583333332789</v>
      </c>
      <c r="G721" s="17">
        <f>G710*1/12+G722*11/12</f>
        <v>3.3358333333333325</v>
      </c>
      <c r="H721" s="1">
        <f>B721*$E$1867/E721</f>
        <v>322.84426257763971</v>
      </c>
      <c r="I721" s="1">
        <f>C721*$E$1867/E721</f>
        <v>20.39892826086956</v>
      </c>
      <c r="J721" s="26">
        <f t="shared" si="56"/>
        <v>7295.5896060280438</v>
      </c>
      <c r="K721" s="1">
        <f>D721*$E$1867/E721</f>
        <v>20.190775931677017</v>
      </c>
      <c r="L721" s="26">
        <f t="shared" si="54"/>
        <v>456.26833770774999</v>
      </c>
      <c r="M721" s="10">
        <f t="shared" si="52"/>
        <v>16.05500185653132</v>
      </c>
      <c r="N721" s="4">
        <f t="shared" si="53"/>
        <v>19.349603578733852</v>
      </c>
      <c r="O721" s="36">
        <f>1/M721-(G721/100-(((E721/E601)^(1/10))-1))</f>
        <v>1.0454922060588373E-2</v>
      </c>
      <c r="R721" s="30"/>
      <c r="S721" s="30"/>
    </row>
    <row r="722" spans="1:19" ht="13" x14ac:dyDescent="0.3">
      <c r="A722" s="52" t="s">
        <v>738</v>
      </c>
      <c r="B722" s="6">
        <v>15.98</v>
      </c>
      <c r="C722" s="1">
        <v>0.9667</v>
      </c>
      <c r="D722" s="6">
        <v>0.94</v>
      </c>
      <c r="E722" s="6">
        <v>15.9</v>
      </c>
      <c r="F722" s="1">
        <f t="shared" si="55"/>
        <v>1931.0416666666122</v>
      </c>
      <c r="G722" s="17">
        <v>3.34</v>
      </c>
      <c r="H722" s="1">
        <f>B722*$E$1867/E722</f>
        <v>336.81141477987421</v>
      </c>
      <c r="I722" s="1">
        <f>C722*$E$1867/E722</f>
        <v>20.375193658805031</v>
      </c>
      <c r="J722" s="26">
        <f t="shared" si="56"/>
        <v>7649.5870115979042</v>
      </c>
      <c r="K722" s="1">
        <f>D722*$E$1867/E722</f>
        <v>19.812436163522008</v>
      </c>
      <c r="L722" s="26">
        <f t="shared" si="54"/>
        <v>449.97570656458254</v>
      </c>
      <c r="M722" s="10">
        <f t="shared" si="52"/>
        <v>16.705478731547611</v>
      </c>
      <c r="N722" s="4">
        <f t="shared" si="53"/>
        <v>20.167540874417707</v>
      </c>
      <c r="O722" s="36">
        <f>1/M722-(G722/100-(((E722/E602)^(1/10))-1))</f>
        <v>8.8063099543580492E-3</v>
      </c>
      <c r="R722" s="30"/>
      <c r="S722" s="30"/>
    </row>
    <row r="723" spans="1:19" ht="13" x14ac:dyDescent="0.3">
      <c r="A723" s="52" t="s">
        <v>739</v>
      </c>
      <c r="B723" s="6">
        <v>17.2</v>
      </c>
      <c r="C723" s="1">
        <v>0.95330000000000004</v>
      </c>
      <c r="D723" s="6">
        <v>0.91</v>
      </c>
      <c r="E723" s="6">
        <v>15.7</v>
      </c>
      <c r="F723" s="1">
        <f t="shared" si="55"/>
        <v>1931.1249999999454</v>
      </c>
      <c r="G723" s="17">
        <f>G722*11/12+G734*1/12</f>
        <v>3.3683333333333327</v>
      </c>
      <c r="H723" s="1">
        <f>B723*$E$1867/E723</f>
        <v>367.14358598726113</v>
      </c>
      <c r="I723" s="1">
        <f>C723*$E$1867/E723</f>
        <v>20.348719797770702</v>
      </c>
      <c r="J723" s="26">
        <f t="shared" si="56"/>
        <v>8376.9976060914196</v>
      </c>
      <c r="K723" s="1">
        <f>D723*$E$1867/E723</f>
        <v>19.424457165605098</v>
      </c>
      <c r="L723" s="26">
        <f t="shared" si="54"/>
        <v>443.20161753158095</v>
      </c>
      <c r="M723" s="10">
        <f t="shared" si="52"/>
        <v>18.16149243697609</v>
      </c>
      <c r="N723" s="4">
        <f t="shared" si="53"/>
        <v>21.955007167462433</v>
      </c>
      <c r="O723" s="36">
        <f>1/M723-(G723/100-(((E723/E603)^(1/10))-1))</f>
        <v>5.6344747348846674E-3</v>
      </c>
      <c r="R723" s="30"/>
      <c r="S723" s="30"/>
    </row>
    <row r="724" spans="1:19" ht="13" x14ac:dyDescent="0.3">
      <c r="A724" s="52" t="s">
        <v>740</v>
      </c>
      <c r="B724" s="6">
        <v>17.53</v>
      </c>
      <c r="C724" s="1">
        <v>0.94</v>
      </c>
      <c r="D724" s="6">
        <v>0.88</v>
      </c>
      <c r="E724" s="6">
        <v>15.6</v>
      </c>
      <c r="F724" s="1">
        <f t="shared" si="55"/>
        <v>1931.2083333332787</v>
      </c>
      <c r="G724" s="17">
        <f>G722*10/12+G734*2/12</f>
        <v>3.3966666666666665</v>
      </c>
      <c r="H724" s="1">
        <f>B724*$E$1867/E724</f>
        <v>376.58625849358975</v>
      </c>
      <c r="I724" s="1">
        <f>C724*$E$1867/E724</f>
        <v>20.193444551282049</v>
      </c>
      <c r="J724" s="26">
        <f t="shared" si="56"/>
        <v>8630.8436532323776</v>
      </c>
      <c r="K724" s="1">
        <f>D724*$E$1867/E724</f>
        <v>18.904501282051282</v>
      </c>
      <c r="L724" s="26">
        <f t="shared" si="54"/>
        <v>433.26539731001094</v>
      </c>
      <c r="M724" s="10">
        <f t="shared" si="52"/>
        <v>18.579561032791286</v>
      </c>
      <c r="N724" s="4">
        <f t="shared" si="53"/>
        <v>22.489225916378565</v>
      </c>
      <c r="O724" s="36">
        <f>1/M724-(G724/100-(((E724/E604)^(1/10))-1))</f>
        <v>4.0196372856970281E-3</v>
      </c>
      <c r="R724" s="30"/>
      <c r="S724" s="30"/>
    </row>
    <row r="725" spans="1:19" ht="13" x14ac:dyDescent="0.3">
      <c r="A725" s="52" t="s">
        <v>741</v>
      </c>
      <c r="B725" s="6">
        <v>15.86</v>
      </c>
      <c r="C725" s="1">
        <v>0.92669999999999997</v>
      </c>
      <c r="D725" s="6">
        <v>0.85</v>
      </c>
      <c r="E725" s="6">
        <v>15.5</v>
      </c>
      <c r="F725" s="1">
        <f t="shared" si="55"/>
        <v>1931.2916666666119</v>
      </c>
      <c r="G725" s="17">
        <f>G722*9/12+G734*3/12</f>
        <v>3.4249999999999998</v>
      </c>
      <c r="H725" s="1">
        <f>B725*$E$1867/E725</f>
        <v>342.90880419354835</v>
      </c>
      <c r="I725" s="1">
        <f>C725*$E$1867/E725</f>
        <v>20.036165753225806</v>
      </c>
      <c r="J725" s="26">
        <f t="shared" si="56"/>
        <v>7897.2691127307189</v>
      </c>
      <c r="K725" s="1">
        <f>D725*$E$1867/E725</f>
        <v>18.377836290322577</v>
      </c>
      <c r="L725" s="26">
        <f t="shared" si="54"/>
        <v>423.24582256123017</v>
      </c>
      <c r="M725" s="10">
        <f t="shared" si="52"/>
        <v>16.872315331609663</v>
      </c>
      <c r="N725" s="4">
        <f t="shared" si="53"/>
        <v>20.459812584802641</v>
      </c>
      <c r="O725" s="36">
        <f>1/M725-(G725/100-(((E725/E605)^(1/10))-1))</f>
        <v>9.6311143517871095E-3</v>
      </c>
      <c r="R725" s="30"/>
      <c r="S725" s="30"/>
    </row>
    <row r="726" spans="1:19" ht="13" x14ac:dyDescent="0.3">
      <c r="A726" s="52" t="s">
        <v>742</v>
      </c>
      <c r="B726" s="6">
        <v>14.33</v>
      </c>
      <c r="C726" s="1">
        <v>0.9133</v>
      </c>
      <c r="D726" s="6">
        <v>0.82</v>
      </c>
      <c r="E726" s="6">
        <v>15.3</v>
      </c>
      <c r="F726" s="1">
        <f t="shared" si="55"/>
        <v>1931.3749999999452</v>
      </c>
      <c r="G726" s="17">
        <f>G722*8/12+G734*4/12</f>
        <v>3.4533333333333331</v>
      </c>
      <c r="H726" s="1">
        <f>B726*$E$1867/E726</f>
        <v>313.87874722222222</v>
      </c>
      <c r="I726" s="1">
        <f>C726*$E$1867/E726</f>
        <v>20.004568027777779</v>
      </c>
      <c r="J726" s="26">
        <f t="shared" si="56"/>
        <v>7267.0926687767651</v>
      </c>
      <c r="K726" s="1">
        <f>D726*$E$1867/E726</f>
        <v>17.960961111111111</v>
      </c>
      <c r="L726" s="26">
        <f t="shared" si="54"/>
        <v>415.84200896001028</v>
      </c>
      <c r="M726" s="10">
        <f t="shared" si="52"/>
        <v>15.401539999110113</v>
      </c>
      <c r="N726" s="4">
        <f t="shared" si="53"/>
        <v>18.72072691012222</v>
      </c>
      <c r="O726" s="36">
        <f>1/M726-(G726/100-(((E726/E606)^(1/10))-1))</f>
        <v>1.5929703538700615E-2</v>
      </c>
      <c r="R726" s="30"/>
      <c r="S726" s="30"/>
    </row>
    <row r="727" spans="1:19" ht="13" x14ac:dyDescent="0.3">
      <c r="A727" s="52" t="s">
        <v>743</v>
      </c>
      <c r="B727" s="6">
        <v>13.87</v>
      </c>
      <c r="C727" s="1">
        <v>0.9</v>
      </c>
      <c r="D727" s="6">
        <v>0.79</v>
      </c>
      <c r="E727" s="6">
        <v>15.1</v>
      </c>
      <c r="F727" s="1">
        <f t="shared" si="55"/>
        <v>1931.4583333332785</v>
      </c>
      <c r="G727" s="17">
        <f>G722*7/12+G734*5/12</f>
        <v>3.4816666666666665</v>
      </c>
      <c r="H727" s="1">
        <f>B727*$E$1867/E727</f>
        <v>307.82696804635759</v>
      </c>
      <c r="I727" s="1">
        <f>C727*$E$1867/E727</f>
        <v>19.974352649006622</v>
      </c>
      <c r="J727" s="26">
        <f t="shared" si="56"/>
        <v>7165.516658754188</v>
      </c>
      <c r="K727" s="1">
        <f>D727*$E$1867/E727</f>
        <v>17.533042880794703</v>
      </c>
      <c r="L727" s="26">
        <f t="shared" si="54"/>
        <v>408.12964386559548</v>
      </c>
      <c r="M727" s="10">
        <f t="shared" si="52"/>
        <v>15.06247607464325</v>
      </c>
      <c r="N727" s="4">
        <f t="shared" si="53"/>
        <v>18.35560458401369</v>
      </c>
      <c r="O727" s="36">
        <f>1/M727-(G727/100-(((E727/E607)^(1/10))-1))</f>
        <v>1.6369824995931745E-2</v>
      </c>
      <c r="R727" s="30"/>
      <c r="S727" s="30"/>
    </row>
    <row r="728" spans="1:19" ht="13" x14ac:dyDescent="0.3">
      <c r="A728" s="52" t="s">
        <v>744</v>
      </c>
      <c r="B728" s="6">
        <v>14.33</v>
      </c>
      <c r="C728" s="1">
        <v>0.88670000000000004</v>
      </c>
      <c r="D728" s="6">
        <v>0.76</v>
      </c>
      <c r="E728" s="6">
        <v>15.1</v>
      </c>
      <c r="F728" s="1">
        <f t="shared" si="55"/>
        <v>1931.5416666666117</v>
      </c>
      <c r="G728" s="17">
        <f>G722*6/12+G734*6/12</f>
        <v>3.51</v>
      </c>
      <c r="H728" s="1">
        <f>B728*$E$1867/E728</f>
        <v>318.03608162251658</v>
      </c>
      <c r="I728" s="1">
        <f>C728*$E$1867/E728</f>
        <v>19.679176104304638</v>
      </c>
      <c r="J728" s="26">
        <f t="shared" si="56"/>
        <v>7441.335666069981</v>
      </c>
      <c r="K728" s="1">
        <f>D728*$E$1867/E728</f>
        <v>16.867231125827814</v>
      </c>
      <c r="L728" s="26">
        <f t="shared" si="54"/>
        <v>394.65562499743089</v>
      </c>
      <c r="M728" s="10">
        <f t="shared" si="52"/>
        <v>15.516750095516326</v>
      </c>
      <c r="N728" s="4">
        <f t="shared" si="53"/>
        <v>18.955242288187453</v>
      </c>
      <c r="O728" s="36">
        <f>1/M728-(G728/100-(((E728/E608)^(1/10))-1))</f>
        <v>1.3585027838757278E-2</v>
      </c>
      <c r="R728" s="30"/>
      <c r="S728" s="30"/>
    </row>
    <row r="729" spans="1:19" ht="13" x14ac:dyDescent="0.3">
      <c r="A729" s="52" t="s">
        <v>745</v>
      </c>
      <c r="B729" s="6">
        <v>13.9</v>
      </c>
      <c r="C729" s="1">
        <v>0.87329999999999997</v>
      </c>
      <c r="D729" s="6">
        <v>0.73</v>
      </c>
      <c r="E729" s="6">
        <v>15.1</v>
      </c>
      <c r="F729" s="1">
        <f t="shared" si="55"/>
        <v>1931.624999999945</v>
      </c>
      <c r="G729" s="17">
        <f>G722*5/12+G734*7/12</f>
        <v>3.5383333333333336</v>
      </c>
      <c r="H729" s="1">
        <f>B729*$E$1867/E729</f>
        <v>308.4927798013245</v>
      </c>
      <c r="I729" s="1">
        <f>C729*$E$1867/E729</f>
        <v>19.381780187086093</v>
      </c>
      <c r="J729" s="26">
        <f t="shared" si="56"/>
        <v>7255.8345402282612</v>
      </c>
      <c r="K729" s="1">
        <f>D729*$E$1867/E729</f>
        <v>16.201419370860926</v>
      </c>
      <c r="L729" s="26">
        <f t="shared" si="54"/>
        <v>381.06181398321075</v>
      </c>
      <c r="M729" s="10">
        <f t="shared" si="52"/>
        <v>15.006276602886549</v>
      </c>
      <c r="N729" s="4">
        <f t="shared" si="53"/>
        <v>18.380525991208902</v>
      </c>
      <c r="O729" s="36">
        <f>1/M729-(G729/100-(((E729/E609)^(1/10))-1))</f>
        <v>1.5493991974094137E-2</v>
      </c>
      <c r="R729" s="30"/>
      <c r="S729" s="30"/>
    </row>
    <row r="730" spans="1:19" ht="13" x14ac:dyDescent="0.3">
      <c r="A730" s="52" t="s">
        <v>746</v>
      </c>
      <c r="B730" s="6">
        <v>11.83</v>
      </c>
      <c r="C730" s="1">
        <v>0.86</v>
      </c>
      <c r="D730" s="6">
        <v>0.7</v>
      </c>
      <c r="E730" s="6">
        <v>15</v>
      </c>
      <c r="F730" s="1">
        <f t="shared" si="55"/>
        <v>1931.7083333332782</v>
      </c>
      <c r="G730" s="17">
        <f>G722*4/12+G734*8/12</f>
        <v>3.5666666666666669</v>
      </c>
      <c r="H730" s="1">
        <f>B730*$E$1867/E730</f>
        <v>264.30211383333329</v>
      </c>
      <c r="I730" s="1">
        <f>C730*$E$1867/E730</f>
        <v>19.213847666666666</v>
      </c>
      <c r="J730" s="26">
        <f t="shared" si="56"/>
        <v>6254.1175717164433</v>
      </c>
      <c r="K730" s="1">
        <f>D730*$E$1867/E730</f>
        <v>15.639178333333332</v>
      </c>
      <c r="L730" s="26">
        <f t="shared" si="54"/>
        <v>370.06612850393157</v>
      </c>
      <c r="M730" s="10">
        <f t="shared" si="52"/>
        <v>12.817745261106888</v>
      </c>
      <c r="N730" s="4">
        <f t="shared" si="53"/>
        <v>15.756886512834585</v>
      </c>
      <c r="O730" s="36">
        <f>1/M730-(G730/100-(((E730/E610)^(1/10))-1))</f>
        <v>2.7053310824360369E-2</v>
      </c>
      <c r="R730" s="30"/>
      <c r="S730" s="30"/>
    </row>
    <row r="731" spans="1:19" ht="13" x14ac:dyDescent="0.3">
      <c r="A731" s="52" t="s">
        <v>747</v>
      </c>
      <c r="B731" s="6">
        <v>10.25</v>
      </c>
      <c r="C731" s="1">
        <v>0.84670000000000001</v>
      </c>
      <c r="D731" s="6">
        <v>0.67</v>
      </c>
      <c r="E731" s="6">
        <v>14.9</v>
      </c>
      <c r="F731" s="1">
        <f t="shared" si="55"/>
        <v>1931.7916666666115</v>
      </c>
      <c r="G731" s="17">
        <f>G722*3/12+G734*9/12</f>
        <v>3.5950000000000002</v>
      </c>
      <c r="H731" s="1">
        <f>B731*$E$1867/E731</f>
        <v>230.53918204697985</v>
      </c>
      <c r="I731" s="1">
        <f>C731*$E$1867/E731</f>
        <v>19.043661018456376</v>
      </c>
      <c r="J731" s="26">
        <f t="shared" si="56"/>
        <v>5492.7455413456219</v>
      </c>
      <c r="K731" s="1">
        <f>D731*$E$1867/E731</f>
        <v>15.06939043624161</v>
      </c>
      <c r="L731" s="26">
        <f t="shared" si="54"/>
        <v>359.03800123917722</v>
      </c>
      <c r="M731" s="10">
        <f t="shared" si="52"/>
        <v>11.145926407660934</v>
      </c>
      <c r="N731" s="4">
        <f t="shared" si="53"/>
        <v>13.764337388796353</v>
      </c>
      <c r="O731" s="36">
        <f>1/M731-(G731/100-(((E731/E611)^(1/10))-1))</f>
        <v>3.7813566467066691E-2</v>
      </c>
      <c r="R731" s="30"/>
      <c r="S731" s="30"/>
    </row>
    <row r="732" spans="1:19" ht="13" x14ac:dyDescent="0.3">
      <c r="A732" s="52" t="s">
        <v>748</v>
      </c>
      <c r="B732" s="6">
        <v>10.39</v>
      </c>
      <c r="C732" s="1">
        <v>0.83330000000000004</v>
      </c>
      <c r="D732" s="6">
        <v>0.64</v>
      </c>
      <c r="E732" s="6">
        <v>14.7</v>
      </c>
      <c r="F732" s="1">
        <f t="shared" si="55"/>
        <v>1931.8749999999447</v>
      </c>
      <c r="G732" s="17">
        <f>G722*2/12+G734*10/12</f>
        <v>3.6233333333333335</v>
      </c>
      <c r="H732" s="1">
        <f>B732*$E$1867/E732</f>
        <v>236.8674386054422</v>
      </c>
      <c r="I732" s="1">
        <f>C732*$E$1867/E732</f>
        <v>18.997270124149662</v>
      </c>
      <c r="J732" s="26">
        <f t="shared" si="56"/>
        <v>5681.2388819330654</v>
      </c>
      <c r="K732" s="1">
        <f>D732*$E$1867/E732</f>
        <v>14.590487074829934</v>
      </c>
      <c r="L732" s="26">
        <f t="shared" si="54"/>
        <v>349.95119195737846</v>
      </c>
      <c r="M732" s="10">
        <f t="shared" si="52"/>
        <v>11.41560029564468</v>
      </c>
      <c r="N732" s="4">
        <f t="shared" si="53"/>
        <v>14.160676478302928</v>
      </c>
      <c r="O732" s="36">
        <f>1/M732-(G732/100-(((E732/E612)^(1/10))-1))</f>
        <v>3.4645190862895019E-2</v>
      </c>
      <c r="R732" s="30"/>
      <c r="S732" s="30"/>
    </row>
    <row r="733" spans="1:19" ht="13" x14ac:dyDescent="0.3">
      <c r="A733" s="52" t="s">
        <v>749</v>
      </c>
      <c r="B733" s="6">
        <v>8.44</v>
      </c>
      <c r="C733" s="1">
        <v>0.82</v>
      </c>
      <c r="D733" s="6">
        <v>0.61</v>
      </c>
      <c r="E733" s="6">
        <v>14.6</v>
      </c>
      <c r="F733" s="1">
        <f t="shared" si="55"/>
        <v>1931.958333333278</v>
      </c>
      <c r="G733" s="17">
        <f>G722*1/12+G734*11/12</f>
        <v>3.6516666666666668</v>
      </c>
      <c r="H733" s="1">
        <f>B733*$E$1867/E733</f>
        <v>193.72993904109589</v>
      </c>
      <c r="I733" s="1">
        <f>C733*$E$1867/E733</f>
        <v>18.822103082191781</v>
      </c>
      <c r="J733" s="26">
        <f t="shared" si="56"/>
        <v>4684.2113073725614</v>
      </c>
      <c r="K733" s="1">
        <f>D733*$E$1867/E733</f>
        <v>14.001808390410959</v>
      </c>
      <c r="L733" s="26">
        <f t="shared" si="54"/>
        <v>338.55081723901213</v>
      </c>
      <c r="M733" s="10">
        <f t="shared" si="52"/>
        <v>9.3060328679683177</v>
      </c>
      <c r="N733" s="4">
        <f t="shared" si="53"/>
        <v>11.613199088567853</v>
      </c>
      <c r="O733" s="36">
        <f>1/M733-(G733/100-(((E733/E613)^(1/10))-1))</f>
        <v>5.4115164894184137E-2</v>
      </c>
      <c r="R733" s="30"/>
      <c r="S733" s="30"/>
    </row>
    <row r="734" spans="1:19" ht="13" x14ac:dyDescent="0.3">
      <c r="A734" s="52" t="s">
        <v>750</v>
      </c>
      <c r="B734" s="6">
        <v>8.3000000000000007</v>
      </c>
      <c r="C734" s="1">
        <v>0.79330000000000001</v>
      </c>
      <c r="D734" s="6">
        <v>0.59330000000000005</v>
      </c>
      <c r="E734" s="6">
        <v>14.3</v>
      </c>
      <c r="F734" s="1">
        <f t="shared" si="55"/>
        <v>1932.0416666666113</v>
      </c>
      <c r="G734" s="17">
        <v>3.68</v>
      </c>
      <c r="H734" s="1">
        <f>B734*$E$1867/E734</f>
        <v>194.51325699300699</v>
      </c>
      <c r="I734" s="1">
        <f>C734*$E$1867/E734</f>
        <v>18.591249008741258</v>
      </c>
      <c r="J734" s="26">
        <f t="shared" si="56"/>
        <v>4740.6111515599678</v>
      </c>
      <c r="K734" s="1">
        <f>D734*$E$1867/E734</f>
        <v>13.904182575174826</v>
      </c>
      <c r="L734" s="26">
        <f t="shared" si="54"/>
        <v>338.86802364102755</v>
      </c>
      <c r="M734" s="10">
        <f t="shared" si="52"/>
        <v>9.3124064551778449</v>
      </c>
      <c r="N734" s="4">
        <f t="shared" si="53"/>
        <v>11.690735613244433</v>
      </c>
      <c r="O734" s="36">
        <f>1/M734-(G734/100-(((E734/E614)^(1/10))-1))</f>
        <v>5.4016982118525639E-2</v>
      </c>
      <c r="R734" s="30"/>
      <c r="S734" s="30"/>
    </row>
    <row r="735" spans="1:19" ht="13" x14ac:dyDescent="0.3">
      <c r="A735" s="52" t="s">
        <v>751</v>
      </c>
      <c r="B735" s="6">
        <v>8.23</v>
      </c>
      <c r="C735" s="1">
        <v>0.76670000000000005</v>
      </c>
      <c r="D735" s="6">
        <v>0.57669999999999999</v>
      </c>
      <c r="E735" s="6">
        <v>14.1</v>
      </c>
      <c r="F735" s="1">
        <f t="shared" si="55"/>
        <v>1932.1249999999445</v>
      </c>
      <c r="G735" s="17">
        <f>G734*11/12+G746*1/12</f>
        <v>3.6491666666666669</v>
      </c>
      <c r="H735" s="1">
        <f>B735*$E$1867/E735</f>
        <v>195.60856790780142</v>
      </c>
      <c r="I735" s="1">
        <f>C735*$E$1867/E735</f>
        <v>18.222732565602836</v>
      </c>
      <c r="J735" s="26">
        <f t="shared" si="56"/>
        <v>4804.3155528075968</v>
      </c>
      <c r="K735" s="1">
        <f>D735*$E$1867/E735</f>
        <v>13.706860402482269</v>
      </c>
      <c r="L735" s="26">
        <f t="shared" si="54"/>
        <v>336.65234256429414</v>
      </c>
      <c r="M735" s="10">
        <f t="shared" si="52"/>
        <v>9.3369322510084043</v>
      </c>
      <c r="N735" s="4">
        <f t="shared" si="53"/>
        <v>11.788158853263365</v>
      </c>
      <c r="O735" s="36">
        <f>1/M735-(G735/100-(((E735/E615)^(1/10))-1))</f>
        <v>5.2659080112653189E-2</v>
      </c>
      <c r="R735" s="30"/>
      <c r="S735" s="30"/>
    </row>
    <row r="736" spans="1:19" ht="13" x14ac:dyDescent="0.3">
      <c r="A736" s="52" t="s">
        <v>752</v>
      </c>
      <c r="B736" s="6">
        <v>8.26</v>
      </c>
      <c r="C736" s="1">
        <v>0.74</v>
      </c>
      <c r="D736" s="6">
        <v>0.56000000000000005</v>
      </c>
      <c r="E736" s="6">
        <v>14</v>
      </c>
      <c r="F736" s="1">
        <f t="shared" si="55"/>
        <v>1932.2083333332778</v>
      </c>
      <c r="G736" s="17">
        <f>G734*10/12+G746*2/12</f>
        <v>3.6183333333333336</v>
      </c>
      <c r="H736" s="1">
        <f>B736*$E$1867/E736</f>
        <v>197.72389749999999</v>
      </c>
      <c r="I736" s="1">
        <f>C736*$E$1867/E736</f>
        <v>17.713763214285713</v>
      </c>
      <c r="J736" s="26">
        <f t="shared" si="56"/>
        <v>4892.5253215279963</v>
      </c>
      <c r="K736" s="1">
        <f>D736*$E$1867/E736</f>
        <v>13.405010000000001</v>
      </c>
      <c r="L736" s="26">
        <f t="shared" si="54"/>
        <v>331.69663196799979</v>
      </c>
      <c r="M736" s="10">
        <f t="shared" si="52"/>
        <v>9.4130650280122126</v>
      </c>
      <c r="N736" s="4">
        <f t="shared" si="53"/>
        <v>11.947423933156465</v>
      </c>
      <c r="O736" s="36">
        <f>1/M736-(G736/100-(((E736/E616)^(1/10))-1))</f>
        <v>5.2571439292668672E-2</v>
      </c>
      <c r="R736" s="30"/>
      <c r="S736" s="30"/>
    </row>
    <row r="737" spans="1:19" ht="13" x14ac:dyDescent="0.3">
      <c r="A737" s="52" t="s">
        <v>753</v>
      </c>
      <c r="B737" s="6">
        <v>6.28</v>
      </c>
      <c r="C737" s="1">
        <v>0.71330000000000005</v>
      </c>
      <c r="D737" s="6">
        <v>0.54330000000000001</v>
      </c>
      <c r="E737" s="6">
        <v>13.9</v>
      </c>
      <c r="F737" s="1">
        <f t="shared" si="55"/>
        <v>1932.291666666611</v>
      </c>
      <c r="G737" s="17">
        <f>G734*9/12+G746*3/12</f>
        <v>3.5875000000000004</v>
      </c>
      <c r="H737" s="1">
        <f>B737*$E$1867/E737</f>
        <v>151.40910575539567</v>
      </c>
      <c r="I737" s="1">
        <f>C737*$E$1867/E737</f>
        <v>17.19747056294964</v>
      </c>
      <c r="J737" s="26">
        <f t="shared" si="56"/>
        <v>3781.9630384729066</v>
      </c>
      <c r="K737" s="1">
        <f>D737*$E$1867/E737</f>
        <v>13.098816426258992</v>
      </c>
      <c r="L737" s="26">
        <f t="shared" si="54"/>
        <v>327.18798070100797</v>
      </c>
      <c r="M737" s="10">
        <f t="shared" si="52"/>
        <v>7.1922331961154891</v>
      </c>
      <c r="N737" s="4">
        <f t="shared" si="53"/>
        <v>9.1947482135845995</v>
      </c>
      <c r="O737" s="36">
        <f>1/M737-(G737/100-(((E737/E617)^(1/10))-1))</f>
        <v>8.4979257652761223E-2</v>
      </c>
      <c r="R737" s="30"/>
      <c r="S737" s="30"/>
    </row>
    <row r="738" spans="1:19" ht="13" x14ac:dyDescent="0.3">
      <c r="A738" s="52" t="s">
        <v>754</v>
      </c>
      <c r="B738" s="6">
        <v>5.51</v>
      </c>
      <c r="C738" s="1">
        <v>0.68669999999999998</v>
      </c>
      <c r="D738" s="6">
        <v>0.52669999999999995</v>
      </c>
      <c r="E738" s="6">
        <v>13.7</v>
      </c>
      <c r="F738" s="1">
        <f t="shared" si="55"/>
        <v>1932.3749999999443</v>
      </c>
      <c r="G738" s="17">
        <f>G734*8/12+G746*4/12</f>
        <v>3.5566666666666666</v>
      </c>
      <c r="H738" s="1">
        <f>B738*$E$1867/E738</f>
        <v>134.78395091240876</v>
      </c>
      <c r="I738" s="1">
        <f>C738*$E$1867/E738</f>
        <v>16.797847385036498</v>
      </c>
      <c r="J738" s="26">
        <f t="shared" si="56"/>
        <v>3401.657963624371</v>
      </c>
      <c r="K738" s="1">
        <f>D738*$E$1867/E738</f>
        <v>12.88397585218978</v>
      </c>
      <c r="L738" s="26">
        <f t="shared" si="54"/>
        <v>325.16392911814086</v>
      </c>
      <c r="M738" s="10">
        <f t="shared" si="52"/>
        <v>6.3908572898814455</v>
      </c>
      <c r="N738" s="4">
        <f t="shared" si="53"/>
        <v>8.236318664933405</v>
      </c>
      <c r="O738" s="36">
        <f>1/M738-(G738/100-(((E738/E618)^(1/10))-1))</f>
        <v>0.10130033260620128</v>
      </c>
      <c r="R738" s="30"/>
      <c r="S738" s="30"/>
    </row>
    <row r="739" spans="1:19" ht="13" x14ac:dyDescent="0.3">
      <c r="A739" s="52" t="s">
        <v>755</v>
      </c>
      <c r="B739" s="6">
        <v>4.7699999999999996</v>
      </c>
      <c r="C739" s="1">
        <v>0.66</v>
      </c>
      <c r="D739" s="6">
        <v>0.51</v>
      </c>
      <c r="E739" s="6">
        <v>13.6</v>
      </c>
      <c r="F739" s="1">
        <f t="shared" si="55"/>
        <v>1932.4583333332776</v>
      </c>
      <c r="G739" s="17">
        <f>G734*7/12+G746*5/12</f>
        <v>3.5258333333333338</v>
      </c>
      <c r="H739" s="1">
        <f>B739*$E$1867/E739</f>
        <v>117.54025312499999</v>
      </c>
      <c r="I739" s="1">
        <f>C739*$E$1867/E739</f>
        <v>16.26343125</v>
      </c>
      <c r="J739" s="26">
        <f t="shared" si="56"/>
        <v>3000.668511002455</v>
      </c>
      <c r="K739" s="1">
        <f>D739*$E$1867/E739</f>
        <v>12.567196875</v>
      </c>
      <c r="L739" s="26">
        <f t="shared" si="54"/>
        <v>320.82619300026255</v>
      </c>
      <c r="M739" s="10">
        <f t="shared" si="52"/>
        <v>5.5650593715289673</v>
      </c>
      <c r="N739" s="4">
        <f t="shared" si="53"/>
        <v>7.2376339262945919</v>
      </c>
      <c r="O739" s="36">
        <f>1/M739-(G739/100-(((E739/E619)^(1/10))-1))</f>
        <v>0.12410976098602761</v>
      </c>
      <c r="R739" s="30"/>
      <c r="S739" s="30"/>
    </row>
    <row r="740" spans="1:19" ht="13" x14ac:dyDescent="0.3">
      <c r="A740" s="52" t="s">
        <v>756</v>
      </c>
      <c r="B740" s="6">
        <v>5.01</v>
      </c>
      <c r="C740" s="1">
        <v>0.63329999999999997</v>
      </c>
      <c r="D740" s="6">
        <v>0.49330000000000002</v>
      </c>
      <c r="E740" s="6">
        <v>13.6</v>
      </c>
      <c r="F740" s="1">
        <f t="shared" si="55"/>
        <v>1932.5416666666108</v>
      </c>
      <c r="G740" s="17">
        <f>G734*6/12+G746*6/12</f>
        <v>3.4950000000000001</v>
      </c>
      <c r="H740" s="1">
        <f>B740*$E$1867/E740</f>
        <v>123.454228125</v>
      </c>
      <c r="I740" s="1">
        <f>C740*$E$1867/E740</f>
        <v>15.605501531249999</v>
      </c>
      <c r="J740" s="26">
        <f t="shared" si="56"/>
        <v>3184.8447632684392</v>
      </c>
      <c r="K740" s="1">
        <f>D740*$E$1867/E740</f>
        <v>12.15568278125</v>
      </c>
      <c r="L740" s="26">
        <f t="shared" si="54"/>
        <v>313.58960513379662</v>
      </c>
      <c r="M740" s="10">
        <f t="shared" si="52"/>
        <v>5.8387636718512024</v>
      </c>
      <c r="N740" s="4">
        <f t="shared" si="53"/>
        <v>7.6548840141455976</v>
      </c>
      <c r="O740" s="36">
        <f>1/M740-(G740/100-(((E740/E620)^(1/10))-1))</f>
        <v>0.11540991841757037</v>
      </c>
      <c r="R740" s="30"/>
      <c r="S740" s="30"/>
    </row>
    <row r="741" spans="1:19" ht="13" x14ac:dyDescent="0.3">
      <c r="A741" s="52" t="s">
        <v>757</v>
      </c>
      <c r="B741" s="6">
        <v>7.53</v>
      </c>
      <c r="C741" s="1">
        <v>0.60670000000000002</v>
      </c>
      <c r="D741" s="6">
        <v>0.47670000000000001</v>
      </c>
      <c r="E741" s="6">
        <v>13.5</v>
      </c>
      <c r="F741" s="1">
        <f t="shared" si="55"/>
        <v>1932.6249999999441</v>
      </c>
      <c r="G741" s="17">
        <f>G734*5/12+G746*7/12</f>
        <v>3.4641666666666668</v>
      </c>
      <c r="H741" s="1">
        <f>B741*$E$1867/E741</f>
        <v>186.92541722222225</v>
      </c>
      <c r="I741" s="1">
        <f>C741*$E$1867/E741</f>
        <v>15.060776975925926</v>
      </c>
      <c r="J741" s="26">
        <f t="shared" si="56"/>
        <v>4854.6382870365833</v>
      </c>
      <c r="K741" s="1">
        <f>D741*$E$1867/E741</f>
        <v>11.83364493888889</v>
      </c>
      <c r="L741" s="26">
        <f t="shared" si="54"/>
        <v>307.33148358968646</v>
      </c>
      <c r="M741" s="10">
        <f t="shared" si="52"/>
        <v>8.8346532051812154</v>
      </c>
      <c r="N741" s="4">
        <f t="shared" si="53"/>
        <v>11.631377927995505</v>
      </c>
      <c r="O741" s="36">
        <f>1/M741-(G741/100-(((E741/E621)^(1/10))-1))</f>
        <v>5.8089853396922922E-2</v>
      </c>
      <c r="R741" s="30"/>
      <c r="S741" s="30"/>
    </row>
    <row r="742" spans="1:19" ht="13" x14ac:dyDescent="0.3">
      <c r="A742" s="52" t="s">
        <v>758</v>
      </c>
      <c r="B742" s="6">
        <v>8.26</v>
      </c>
      <c r="C742" s="1">
        <v>0.57999999999999996</v>
      </c>
      <c r="D742" s="6">
        <v>0.46</v>
      </c>
      <c r="E742" s="6">
        <v>13.4</v>
      </c>
      <c r="F742" s="1">
        <f t="shared" si="55"/>
        <v>1932.7083333332773</v>
      </c>
      <c r="G742" s="17">
        <f>G734*4/12+G746*8/12</f>
        <v>3.4333333333333336</v>
      </c>
      <c r="H742" s="1">
        <f>B742*$E$1867/E742</f>
        <v>206.57720634328356</v>
      </c>
      <c r="I742" s="1">
        <f>C742*$E$1867/E742</f>
        <v>14.505421268656715</v>
      </c>
      <c r="J742" s="26">
        <f t="shared" si="56"/>
        <v>5396.4080679247254</v>
      </c>
      <c r="K742" s="1">
        <f>D742*$E$1867/E742</f>
        <v>11.50429962686567</v>
      </c>
      <c r="L742" s="26">
        <f t="shared" si="54"/>
        <v>300.52635729362879</v>
      </c>
      <c r="M742" s="10">
        <f t="shared" si="52"/>
        <v>9.7611685640637109</v>
      </c>
      <c r="N742" s="4">
        <f t="shared" si="53"/>
        <v>12.893505025072658</v>
      </c>
      <c r="O742" s="36">
        <f>1/M742-(G742/100-(((E742/E622)^(1/10))-1))</f>
        <v>4.6926287026324946E-2</v>
      </c>
      <c r="R742" s="30"/>
      <c r="S742" s="30"/>
    </row>
    <row r="743" spans="1:19" ht="13" x14ac:dyDescent="0.3">
      <c r="A743" s="52" t="s">
        <v>759</v>
      </c>
      <c r="B743" s="6">
        <v>7.12</v>
      </c>
      <c r="C743" s="1">
        <v>0.55330000000000001</v>
      </c>
      <c r="D743" s="6">
        <v>0.44330000000000003</v>
      </c>
      <c r="E743" s="6">
        <v>13.3</v>
      </c>
      <c r="F743" s="1">
        <f t="shared" si="55"/>
        <v>1932.7916666666106</v>
      </c>
      <c r="G743" s="17">
        <f>G734*3/12+G746*9/12</f>
        <v>3.4024999999999999</v>
      </c>
      <c r="H743" s="1">
        <f>B743*$E$1867/E743</f>
        <v>179.4053969924812</v>
      </c>
      <c r="I743" s="1">
        <f>C743*$E$1867/E743</f>
        <v>13.941714347744361</v>
      </c>
      <c r="J743" s="26">
        <f t="shared" si="56"/>
        <v>4716.9498867933426</v>
      </c>
      <c r="K743" s="1">
        <f>D743*$E$1867/E743</f>
        <v>11.170001753759399</v>
      </c>
      <c r="L743" s="26">
        <f t="shared" si="54"/>
        <v>293.68312988981586</v>
      </c>
      <c r="M743" s="10">
        <f t="shared" si="52"/>
        <v>8.478606607689084</v>
      </c>
      <c r="N743" s="4">
        <f t="shared" si="53"/>
        <v>11.242814157261986</v>
      </c>
      <c r="O743" s="36">
        <f>1/M743-(G743/100-(((E743/E623)^(1/10))-1))</f>
        <v>6.1411595330276639E-2</v>
      </c>
      <c r="R743" s="30"/>
      <c r="S743" s="30"/>
    </row>
    <row r="744" spans="1:19" ht="13" x14ac:dyDescent="0.3">
      <c r="A744" s="52" t="s">
        <v>760</v>
      </c>
      <c r="B744" s="6">
        <v>7.05</v>
      </c>
      <c r="C744" s="1">
        <v>0.52669999999999995</v>
      </c>
      <c r="D744" s="6">
        <v>0.42670000000000002</v>
      </c>
      <c r="E744" s="6">
        <v>13.2</v>
      </c>
      <c r="F744" s="1">
        <f t="shared" si="55"/>
        <v>1932.8749999999438</v>
      </c>
      <c r="G744" s="17">
        <f>G734*2/12+G746*10/12</f>
        <v>3.3716666666666666</v>
      </c>
      <c r="H744" s="1">
        <f>B744*$E$1867/E744</f>
        <v>178.98734943181819</v>
      </c>
      <c r="I744" s="1">
        <f>C744*$E$1867/E744</f>
        <v>13.372005240530301</v>
      </c>
      <c r="J744" s="26">
        <f t="shared" si="56"/>
        <v>4735.256733808953</v>
      </c>
      <c r="K744" s="1">
        <f>D744*$E$1867/E744</f>
        <v>10.833177589015154</v>
      </c>
      <c r="L744" s="26">
        <f t="shared" si="54"/>
        <v>286.60057422925962</v>
      </c>
      <c r="M744" s="10">
        <f t="shared" si="52"/>
        <v>8.4633095671228986</v>
      </c>
      <c r="N744" s="4">
        <f t="shared" si="53"/>
        <v>11.262911076993209</v>
      </c>
      <c r="O744" s="36">
        <f>1/M744-(G744/100-(((E744/E624)^(1/10))-1))</f>
        <v>6.0612686165571465E-2</v>
      </c>
      <c r="R744" s="30"/>
      <c r="S744" s="30"/>
    </row>
    <row r="745" spans="1:19" ht="13" x14ac:dyDescent="0.3">
      <c r="A745" s="52" t="s">
        <v>761</v>
      </c>
      <c r="B745" s="6">
        <v>6.82</v>
      </c>
      <c r="C745" s="1">
        <v>0.5</v>
      </c>
      <c r="D745" s="6">
        <v>0.41</v>
      </c>
      <c r="E745" s="6">
        <v>13.1</v>
      </c>
      <c r="F745" s="1">
        <f t="shared" si="55"/>
        <v>1932.9583333332771</v>
      </c>
      <c r="G745" s="17">
        <f>G734*1/12+G746*11/12</f>
        <v>3.3408333333333338</v>
      </c>
      <c r="H745" s="1">
        <f>B745*$E$1867/E745</f>
        <v>174.46978664122136</v>
      </c>
      <c r="I745" s="1">
        <f>C745*$E$1867/E745</f>
        <v>12.791040076335879</v>
      </c>
      <c r="J745" s="26">
        <f t="shared" si="56"/>
        <v>4643.9407006443835</v>
      </c>
      <c r="K745" s="1">
        <f>D745*$E$1867/E745</f>
        <v>10.488652862595421</v>
      </c>
      <c r="L745" s="26">
        <f t="shared" si="54"/>
        <v>279.18118581586475</v>
      </c>
      <c r="M745" s="10">
        <f t="shared" si="52"/>
        <v>8.2570739991006779</v>
      </c>
      <c r="N745" s="4">
        <f t="shared" si="53"/>
        <v>11.026422344303809</v>
      </c>
      <c r="O745" s="36">
        <f>1/M745-(G745/100-(((E745/E625)^(1/10))-1))</f>
        <v>6.2551431453469142E-2</v>
      </c>
      <c r="R745" s="30"/>
      <c r="S745" s="30"/>
    </row>
    <row r="746" spans="1:19" ht="13" x14ac:dyDescent="0.3">
      <c r="A746" s="52" t="s">
        <v>762</v>
      </c>
      <c r="B746" s="6">
        <v>7.09</v>
      </c>
      <c r="C746" s="1">
        <v>0.495</v>
      </c>
      <c r="D746" s="6">
        <v>0.41249999999999998</v>
      </c>
      <c r="E746" s="6">
        <v>12.9</v>
      </c>
      <c r="F746" s="1">
        <f t="shared" si="55"/>
        <v>1933.0416666666104</v>
      </c>
      <c r="G746" s="17">
        <v>3.31</v>
      </c>
      <c r="H746" s="1">
        <f>B746*$E$1867/E746</f>
        <v>184.18899399224804</v>
      </c>
      <c r="I746" s="1">
        <f>C746*$E$1867/E746</f>
        <v>12.85945726744186</v>
      </c>
      <c r="J746" s="26">
        <f t="shared" si="56"/>
        <v>4931.1650388876815</v>
      </c>
      <c r="K746" s="1">
        <f>D746*$E$1867/E746</f>
        <v>10.716214389534883</v>
      </c>
      <c r="L746" s="26">
        <f t="shared" si="54"/>
        <v>286.89782490002381</v>
      </c>
      <c r="M746" s="10">
        <f t="shared" si="52"/>
        <v>8.7280461628135289</v>
      </c>
      <c r="N746" s="4">
        <f t="shared" si="53"/>
        <v>11.691967993175686</v>
      </c>
      <c r="O746" s="36">
        <f>1/M746-(G746/100-(((E746/E626)^(1/10))-1))</f>
        <v>5.5403850574037315E-2</v>
      </c>
      <c r="R746" s="30"/>
      <c r="S746" s="30"/>
    </row>
    <row r="747" spans="1:19" ht="13" x14ac:dyDescent="0.3">
      <c r="A747" s="52" t="s">
        <v>763</v>
      </c>
      <c r="B747" s="6">
        <v>6.25</v>
      </c>
      <c r="C747" s="1">
        <v>0.49</v>
      </c>
      <c r="D747" s="6">
        <v>0.41499999999999998</v>
      </c>
      <c r="E747" s="6">
        <v>12.7</v>
      </c>
      <c r="F747" s="1">
        <f t="shared" si="55"/>
        <v>1933.1249999999436</v>
      </c>
      <c r="G747" s="17">
        <f>G746*11/12+G758*1/12</f>
        <v>3.2941666666666674</v>
      </c>
      <c r="H747" s="1">
        <f>B747*$E$1867/E747</f>
        <v>164.92384350393704</v>
      </c>
      <c r="I747" s="1">
        <f>C747*$E$1867/E747</f>
        <v>12.930029330708662</v>
      </c>
      <c r="J747" s="26">
        <f t="shared" si="56"/>
        <v>4444.2396682091176</v>
      </c>
      <c r="K747" s="1">
        <f>D747*$E$1867/E747</f>
        <v>10.950943208661418</v>
      </c>
      <c r="L747" s="26">
        <f t="shared" si="54"/>
        <v>295.09751396908536</v>
      </c>
      <c r="M747" s="10">
        <f t="shared" si="52"/>
        <v>7.8260517513165988</v>
      </c>
      <c r="N747" s="4">
        <f t="shared" si="53"/>
        <v>10.523079525637064</v>
      </c>
      <c r="O747" s="36">
        <f>1/M747-(G747/100-(((E747/E627)^(1/10))-1))</f>
        <v>6.7246747628507464E-2</v>
      </c>
      <c r="R747" s="30"/>
      <c r="S747" s="30"/>
    </row>
    <row r="748" spans="1:19" ht="13" x14ac:dyDescent="0.3">
      <c r="A748" s="52" t="s">
        <v>764</v>
      </c>
      <c r="B748" s="6">
        <v>6.23</v>
      </c>
      <c r="C748" s="1">
        <v>0.48499999999999999</v>
      </c>
      <c r="D748" s="6">
        <v>0.41749999999999998</v>
      </c>
      <c r="E748" s="6">
        <v>12.6</v>
      </c>
      <c r="F748" s="1">
        <f t="shared" si="55"/>
        <v>1933.2083333332769</v>
      </c>
      <c r="G748" s="17">
        <f>G746*10/12+G758*2/12</f>
        <v>3.2783333333333333</v>
      </c>
      <c r="H748" s="1">
        <f>B748*$E$1867/E748</f>
        <v>165.70081805555554</v>
      </c>
      <c r="I748" s="1">
        <f>C748*$E$1867/E748</f>
        <v>12.89966240079365</v>
      </c>
      <c r="J748" s="26">
        <f t="shared" si="56"/>
        <v>4494.1444822188532</v>
      </c>
      <c r="K748" s="1">
        <f>D748*$E$1867/E748</f>
        <v>11.104348561507937</v>
      </c>
      <c r="L748" s="26">
        <f t="shared" si="54"/>
        <v>301.1726037442009</v>
      </c>
      <c r="M748" s="10">
        <f t="shared" si="52"/>
        <v>7.8746813229431671</v>
      </c>
      <c r="N748" s="4">
        <f t="shared" si="53"/>
        <v>10.62679050390456</v>
      </c>
      <c r="O748" s="36">
        <f>1/M748-(G748/100-(((E748/E628)^(1/10))-1))</f>
        <v>6.5847590379326276E-2</v>
      </c>
      <c r="R748" s="30"/>
      <c r="S748" s="30"/>
    </row>
    <row r="749" spans="1:19" ht="13" x14ac:dyDescent="0.3">
      <c r="A749" s="52" t="s">
        <v>765</v>
      </c>
      <c r="B749" s="6">
        <v>6.89</v>
      </c>
      <c r="C749" s="1">
        <v>0.48</v>
      </c>
      <c r="D749" s="6">
        <v>0.42</v>
      </c>
      <c r="E749" s="6">
        <v>12.6</v>
      </c>
      <c r="F749" s="1">
        <f t="shared" si="55"/>
        <v>1933.2916666666101</v>
      </c>
      <c r="G749" s="17">
        <f>G746*9/12+G758*3/12</f>
        <v>3.2624999999999997</v>
      </c>
      <c r="H749" s="1">
        <f>B749*$E$1867/E749</f>
        <v>183.25499781746029</v>
      </c>
      <c r="I749" s="1">
        <f>C749*$E$1867/E749</f>
        <v>12.76667619047619</v>
      </c>
      <c r="J749" s="26">
        <f t="shared" si="56"/>
        <v>4999.1045364007468</v>
      </c>
      <c r="K749" s="1">
        <f>D749*$E$1867/E749</f>
        <v>11.170841666666666</v>
      </c>
      <c r="L749" s="26">
        <f t="shared" si="54"/>
        <v>304.7349644830644</v>
      </c>
      <c r="M749" s="10">
        <f t="shared" si="52"/>
        <v>8.7231016460681126</v>
      </c>
      <c r="N749" s="4">
        <f t="shared" si="53"/>
        <v>11.805335595835261</v>
      </c>
      <c r="O749" s="36">
        <f>1/M749-(G749/100-(((E749/E629)^(1/10))-1))</f>
        <v>5.3078308378454654E-2</v>
      </c>
      <c r="R749" s="30"/>
      <c r="S749" s="30"/>
    </row>
    <row r="750" spans="1:19" ht="13" x14ac:dyDescent="0.3">
      <c r="A750" s="52" t="s">
        <v>766</v>
      </c>
      <c r="B750" s="6">
        <v>8.8699999999999992</v>
      </c>
      <c r="C750" s="1">
        <v>0.47499999999999998</v>
      </c>
      <c r="D750" s="6">
        <v>0.42249999999999999</v>
      </c>
      <c r="E750" s="6">
        <v>12.6</v>
      </c>
      <c r="F750" s="1">
        <f t="shared" si="55"/>
        <v>1933.3749999999434</v>
      </c>
      <c r="G750" s="17">
        <f>G746*8/12+G758*4/12</f>
        <v>3.2466666666666666</v>
      </c>
      <c r="H750" s="1">
        <f>B750*$E$1867/E750</f>
        <v>235.91753710317457</v>
      </c>
      <c r="I750" s="1">
        <f>C750*$E$1867/E750</f>
        <v>12.633689980158731</v>
      </c>
      <c r="J750" s="26">
        <f t="shared" si="56"/>
        <v>6464.4322872434186</v>
      </c>
      <c r="K750" s="1">
        <f>D750*$E$1867/E750</f>
        <v>11.237334771825395</v>
      </c>
      <c r="L750" s="26">
        <f t="shared" si="54"/>
        <v>307.91687050285731</v>
      </c>
      <c r="M750" s="10">
        <f t="shared" si="52"/>
        <v>11.249651251932447</v>
      </c>
      <c r="N750" s="4">
        <f t="shared" si="53"/>
        <v>15.246808142532835</v>
      </c>
      <c r="O750" s="36">
        <f>1/M750-(G750/100-(((E750/E630)^(1/10))-1))</f>
        <v>2.7490163162586796E-2</v>
      </c>
      <c r="R750" s="30"/>
      <c r="S750" s="30"/>
    </row>
    <row r="751" spans="1:19" ht="13" x14ac:dyDescent="0.3">
      <c r="A751" s="52" t="s">
        <v>767</v>
      </c>
      <c r="B751" s="6">
        <v>10.39</v>
      </c>
      <c r="C751" s="1">
        <v>0.47</v>
      </c>
      <c r="D751" s="6">
        <v>0.42499999999999999</v>
      </c>
      <c r="E751" s="6">
        <v>12.7</v>
      </c>
      <c r="F751" s="1">
        <f t="shared" si="55"/>
        <v>1933.4583333332766</v>
      </c>
      <c r="G751" s="17">
        <f>G746*7/12+G758*5/12</f>
        <v>3.2308333333333334</v>
      </c>
      <c r="H751" s="1">
        <f>B751*$E$1867/E751</f>
        <v>274.16939744094492</v>
      </c>
      <c r="I751" s="1">
        <f>C751*$E$1867/E751</f>
        <v>12.402273031496062</v>
      </c>
      <c r="J751" s="26">
        <f t="shared" si="56"/>
        <v>7540.9003700515741</v>
      </c>
      <c r="K751" s="1">
        <f>D751*$E$1867/E751</f>
        <v>11.214821358267717</v>
      </c>
      <c r="L751" s="26">
        <f t="shared" si="54"/>
        <v>308.45838857285065</v>
      </c>
      <c r="M751" s="10">
        <f t="shared" si="52"/>
        <v>13.098875517269523</v>
      </c>
      <c r="N751" s="4">
        <f t="shared" si="53"/>
        <v>17.765664123579921</v>
      </c>
      <c r="O751" s="36">
        <f>1/M751-(G751/100-(((E751/E631)^(1/10))-1))</f>
        <v>1.5294045467209812E-2</v>
      </c>
      <c r="R751" s="30"/>
      <c r="S751" s="30"/>
    </row>
    <row r="752" spans="1:19" ht="13" x14ac:dyDescent="0.3">
      <c r="A752" s="52" t="s">
        <v>768</v>
      </c>
      <c r="B752" s="6">
        <v>11.23</v>
      </c>
      <c r="C752" s="1">
        <v>0.46500000000000002</v>
      </c>
      <c r="D752" s="6">
        <v>0.42749999999999999</v>
      </c>
      <c r="E752" s="6">
        <v>13.1</v>
      </c>
      <c r="F752" s="1">
        <f t="shared" si="55"/>
        <v>1933.5416666666099</v>
      </c>
      <c r="G752" s="17">
        <f>G746*6/12+G758*6/12</f>
        <v>3.2149999999999999</v>
      </c>
      <c r="H752" s="1">
        <f>B752*$E$1867/E752</f>
        <v>287.28676011450386</v>
      </c>
      <c r="I752" s="1">
        <f>C752*$E$1867/E752</f>
        <v>11.895667270992368</v>
      </c>
      <c r="J752" s="26">
        <f t="shared" si="56"/>
        <v>7928.9526575886766</v>
      </c>
      <c r="K752" s="1">
        <f>D752*$E$1867/E752</f>
        <v>10.936339265267176</v>
      </c>
      <c r="L752" s="26">
        <f t="shared" si="54"/>
        <v>301.83679974346916</v>
      </c>
      <c r="M752" s="10">
        <f t="shared" si="52"/>
        <v>13.754304493874535</v>
      </c>
      <c r="N752" s="4">
        <f t="shared" si="53"/>
        <v>18.661295964763017</v>
      </c>
      <c r="O752" s="36">
        <f>1/M752-(G752/100-(((E752/E632)^(1/10))-1))</f>
        <v>1.3692183456504511E-2</v>
      </c>
      <c r="R752" s="30"/>
      <c r="S752" s="30"/>
    </row>
    <row r="753" spans="1:19" ht="13" x14ac:dyDescent="0.3">
      <c r="A753" s="52" t="s">
        <v>769</v>
      </c>
      <c r="B753" s="6">
        <v>10.67</v>
      </c>
      <c r="C753" s="1">
        <v>0.46</v>
      </c>
      <c r="D753" s="6">
        <v>0.43</v>
      </c>
      <c r="E753" s="6">
        <v>13.2</v>
      </c>
      <c r="F753" s="1">
        <f t="shared" si="55"/>
        <v>1933.6249999999432</v>
      </c>
      <c r="G753" s="17">
        <f>G746*5/12+G758*7/12</f>
        <v>3.1991666666666667</v>
      </c>
      <c r="H753" s="1">
        <f>B753*$E$1867/E753</f>
        <v>270.89291041666667</v>
      </c>
      <c r="I753" s="1">
        <f>C753*$E$1867/E753</f>
        <v>11.678607196969697</v>
      </c>
      <c r="J753" s="26">
        <f t="shared" si="56"/>
        <v>7503.3518939123524</v>
      </c>
      <c r="K753" s="1">
        <f>D753*$E$1867/E753</f>
        <v>10.916958901515152</v>
      </c>
      <c r="L753" s="26">
        <f t="shared" si="54"/>
        <v>302.38437810518383</v>
      </c>
      <c r="M753" s="10">
        <f t="shared" si="52"/>
        <v>12.999527050367739</v>
      </c>
      <c r="N753" s="4">
        <f t="shared" si="53"/>
        <v>17.64636113948238</v>
      </c>
      <c r="O753" s="36">
        <f>1/M753-(G753/100-(((E753/E633)^(1/10))-1))</f>
        <v>1.9380219800860882E-2</v>
      </c>
      <c r="R753" s="30"/>
      <c r="S753" s="30"/>
    </row>
    <row r="754" spans="1:19" ht="13" x14ac:dyDescent="0.3">
      <c r="A754" s="52" t="s">
        <v>770</v>
      </c>
      <c r="B754" s="6">
        <v>10.58</v>
      </c>
      <c r="C754" s="1">
        <v>0.45500000000000002</v>
      </c>
      <c r="D754" s="6">
        <v>0.4325</v>
      </c>
      <c r="E754" s="6">
        <v>13.2</v>
      </c>
      <c r="F754" s="1">
        <f t="shared" si="55"/>
        <v>1933.7083333332764</v>
      </c>
      <c r="G754" s="17">
        <f>G746*4/12+G758*8/12</f>
        <v>3.1833333333333336</v>
      </c>
      <c r="H754" s="1">
        <f>B754*$E$1867/E754</f>
        <v>268.60796553030303</v>
      </c>
      <c r="I754" s="1">
        <f>C754*$E$1867/E754</f>
        <v>11.551665814393941</v>
      </c>
      <c r="J754" s="26">
        <f t="shared" si="56"/>
        <v>7466.7258791224795</v>
      </c>
      <c r="K754" s="1">
        <f>D754*$E$1867/E754</f>
        <v>10.980429592803031</v>
      </c>
      <c r="L754" s="26">
        <f t="shared" si="54"/>
        <v>305.23241424579135</v>
      </c>
      <c r="M754" s="10">
        <f t="shared" si="52"/>
        <v>12.922920614885996</v>
      </c>
      <c r="N754" s="4">
        <f t="shared" si="53"/>
        <v>17.550453640523482</v>
      </c>
      <c r="O754" s="36">
        <f>1/M754-(G754/100-(((E754/E634)^(1/10))-1))</f>
        <v>1.9426539845217042E-2</v>
      </c>
      <c r="R754" s="30"/>
      <c r="S754" s="30"/>
    </row>
    <row r="755" spans="1:19" ht="13" x14ac:dyDescent="0.3">
      <c r="A755" s="52" t="s">
        <v>771</v>
      </c>
      <c r="B755" s="6">
        <v>9.5500000000000007</v>
      </c>
      <c r="C755" s="1">
        <v>0.45</v>
      </c>
      <c r="D755" s="6">
        <v>0.435</v>
      </c>
      <c r="E755" s="6">
        <v>13.2</v>
      </c>
      <c r="F755" s="1">
        <f t="shared" si="55"/>
        <v>1933.7916666666097</v>
      </c>
      <c r="G755" s="17">
        <f>G746*3/12+G758*9/12</f>
        <v>3.1675000000000004</v>
      </c>
      <c r="H755" s="1">
        <f>B755*$E$1867/E755</f>
        <v>242.45804071969698</v>
      </c>
      <c r="I755" s="1">
        <f>C755*$E$1867/E755</f>
        <v>11.424724431818182</v>
      </c>
      <c r="J755" s="26">
        <f t="shared" si="56"/>
        <v>6766.2792406509243</v>
      </c>
      <c r="K755" s="1">
        <f>D755*$E$1867/E755</f>
        <v>11.04390028409091</v>
      </c>
      <c r="L755" s="26">
        <f t="shared" si="54"/>
        <v>308.20224813436147</v>
      </c>
      <c r="M755" s="10">
        <f t="shared" si="52"/>
        <v>11.696253568143696</v>
      </c>
      <c r="N755" s="4">
        <f t="shared" si="53"/>
        <v>15.896625559601672</v>
      </c>
      <c r="O755" s="36">
        <f>1/M755-(G755/100-(((E755/E635)^(1/10))-1))</f>
        <v>2.7136042354103725E-2</v>
      </c>
      <c r="R755" s="30"/>
      <c r="S755" s="30"/>
    </row>
    <row r="756" spans="1:19" ht="13" x14ac:dyDescent="0.3">
      <c r="A756" s="52" t="s">
        <v>772</v>
      </c>
      <c r="B756" s="6">
        <v>9.7799999999999994</v>
      </c>
      <c r="C756" s="1">
        <v>0.44500000000000001</v>
      </c>
      <c r="D756" s="6">
        <v>0.4375</v>
      </c>
      <c r="E756" s="6">
        <v>13.2</v>
      </c>
      <c r="F756" s="1">
        <f t="shared" si="55"/>
        <v>1933.8749999999429</v>
      </c>
      <c r="G756" s="17">
        <f>G746*2/12+G758*10/12</f>
        <v>3.1516666666666668</v>
      </c>
      <c r="H756" s="1">
        <f>B756*$E$1867/E756</f>
        <v>248.29734431818181</v>
      </c>
      <c r="I756" s="1">
        <f>C756*$E$1867/E756</f>
        <v>11.297783049242426</v>
      </c>
      <c r="J756" s="26">
        <f t="shared" si="56"/>
        <v>6955.5106975993203</v>
      </c>
      <c r="K756" s="1">
        <f>D756*$E$1867/E756</f>
        <v>11.107370975378789</v>
      </c>
      <c r="L756" s="26">
        <f t="shared" si="54"/>
        <v>311.14886811857906</v>
      </c>
      <c r="M756" s="10">
        <f t="shared" si="52"/>
        <v>12.011766193389938</v>
      </c>
      <c r="N756" s="4">
        <f t="shared" si="53"/>
        <v>16.33498388149351</v>
      </c>
      <c r="O756" s="36">
        <f>1/M756-(G756/100-(((E756/E636)^(1/10))-1))</f>
        <v>2.5048616954833264E-2</v>
      </c>
      <c r="R756" s="30"/>
      <c r="S756" s="30"/>
    </row>
    <row r="757" spans="1:19" ht="13" x14ac:dyDescent="0.3">
      <c r="A757" s="52" t="s">
        <v>773</v>
      </c>
      <c r="B757" s="6">
        <v>9.9700000000000006</v>
      </c>
      <c r="C757" s="1">
        <v>0.44</v>
      </c>
      <c r="D757" s="6">
        <v>0.44</v>
      </c>
      <c r="E757" s="6">
        <v>13.2</v>
      </c>
      <c r="F757" s="1">
        <f t="shared" si="55"/>
        <v>1933.9583333332762</v>
      </c>
      <c r="G757" s="17">
        <f>G746*1/12+G758*11/12</f>
        <v>3.1358333333333333</v>
      </c>
      <c r="H757" s="1">
        <f>B757*$E$1867/E757</f>
        <v>253.12111685606064</v>
      </c>
      <c r="I757" s="1">
        <f>C757*$E$1867/E757</f>
        <v>11.170841666666666</v>
      </c>
      <c r="J757" s="26">
        <f t="shared" si="56"/>
        <v>7116.7154445102797</v>
      </c>
      <c r="K757" s="1">
        <f>D757*$E$1867/E757</f>
        <v>11.170841666666666</v>
      </c>
      <c r="L757" s="26">
        <f t="shared" si="54"/>
        <v>314.07771269654188</v>
      </c>
      <c r="M757" s="10">
        <f t="shared" si="52"/>
        <v>12.281801622601115</v>
      </c>
      <c r="N757" s="4">
        <f t="shared" si="53"/>
        <v>16.709206885291181</v>
      </c>
      <c r="O757" s="36">
        <f>1/M757-(G757/100-(((E757/E637)^(1/10))-1))</f>
        <v>2.3376525873983547E-2</v>
      </c>
      <c r="R757" s="30"/>
      <c r="S757" s="30"/>
    </row>
    <row r="758" spans="1:19" ht="13" x14ac:dyDescent="0.3">
      <c r="A758" s="52" t="s">
        <v>774</v>
      </c>
      <c r="B758" s="6">
        <v>10.54</v>
      </c>
      <c r="C758" s="1">
        <v>0.44080000000000003</v>
      </c>
      <c r="D758" s="6">
        <v>0.44419999999999998</v>
      </c>
      <c r="E758" s="6">
        <v>13.2</v>
      </c>
      <c r="F758" s="1">
        <f t="shared" si="55"/>
        <v>1934.0416666666094</v>
      </c>
      <c r="G758" s="17">
        <v>3.12</v>
      </c>
      <c r="H758" s="1">
        <f>B758*$E$1867/E758</f>
        <v>267.59243446969697</v>
      </c>
      <c r="I758" s="1">
        <f>C758*$E$1867/E758</f>
        <v>11.19115228787879</v>
      </c>
      <c r="J758" s="26">
        <f t="shared" si="56"/>
        <v>7549.8095753059188</v>
      </c>
      <c r="K758" s="1">
        <f>D758*$E$1867/E758</f>
        <v>11.277472428030302</v>
      </c>
      <c r="L758" s="26">
        <f t="shared" si="54"/>
        <v>318.18077925530258</v>
      </c>
      <c r="M758" s="10">
        <f t="shared" si="52"/>
        <v>13.025119828332382</v>
      </c>
      <c r="N758" s="4">
        <f t="shared" si="53"/>
        <v>17.723577324689639</v>
      </c>
      <c r="O758" s="36">
        <f>1/M758-(G758/100-(((E758/E638)^(1/10))-1))</f>
        <v>1.8888305469469707E-2</v>
      </c>
      <c r="P758" s="48">
        <v>0.72</v>
      </c>
      <c r="R758" s="30"/>
      <c r="S758" s="30"/>
    </row>
    <row r="759" spans="1:19" ht="13" x14ac:dyDescent="0.3">
      <c r="A759" s="52" t="s">
        <v>775</v>
      </c>
      <c r="B759" s="6">
        <v>11.32</v>
      </c>
      <c r="C759" s="1">
        <v>0.44169999999999998</v>
      </c>
      <c r="D759" s="6">
        <v>0.44829999999999998</v>
      </c>
      <c r="E759" s="6">
        <v>13.3</v>
      </c>
      <c r="F759" s="1">
        <f t="shared" si="55"/>
        <v>1934.1249999999427</v>
      </c>
      <c r="G759" s="17">
        <f>G758*11/12+G770*1/12</f>
        <v>3.0924999999999998</v>
      </c>
      <c r="H759" s="1">
        <f>B759*$E$1867/E759</f>
        <v>285.23442330827066</v>
      </c>
      <c r="I759" s="1">
        <f>C759*$E$1867/E759</f>
        <v>11.129685934210526</v>
      </c>
      <c r="J759" s="26">
        <f t="shared" si="56"/>
        <v>8073.7253852767499</v>
      </c>
      <c r="K759" s="1">
        <f>D759*$E$1867/E759</f>
        <v>11.295988689849624</v>
      </c>
      <c r="L759" s="26">
        <f t="shared" si="54"/>
        <v>319.73949560243528</v>
      </c>
      <c r="M759" s="10">
        <f t="shared" si="52"/>
        <v>13.926922904274297</v>
      </c>
      <c r="N759" s="4">
        <f t="shared" si="53"/>
        <v>18.949402441246836</v>
      </c>
      <c r="O759" s="36">
        <f>1/M759-(G759/100-(((E759/E639)^(1/10))-1))</f>
        <v>1.5491638140697539E-2</v>
      </c>
      <c r="P759" s="48">
        <v>0.62</v>
      </c>
      <c r="R759" s="30"/>
      <c r="S759" s="30"/>
    </row>
    <row r="760" spans="1:19" ht="13" x14ac:dyDescent="0.3">
      <c r="A760" s="52" t="s">
        <v>776</v>
      </c>
      <c r="B760" s="6">
        <v>10.74</v>
      </c>
      <c r="C760" s="1">
        <v>0.4425</v>
      </c>
      <c r="D760" s="6">
        <v>0.45250000000000001</v>
      </c>
      <c r="E760" s="6">
        <v>13.3</v>
      </c>
      <c r="F760" s="1">
        <f t="shared" si="55"/>
        <v>1934.208333333276</v>
      </c>
      <c r="G760" s="17">
        <f>G758*10/12+G770*2/12</f>
        <v>3.0649999999999999</v>
      </c>
      <c r="H760" s="1">
        <f>B760*$E$1867/E760</f>
        <v>270.61993872180449</v>
      </c>
      <c r="I760" s="1">
        <f>C760*$E$1867/E760</f>
        <v>11.149843843984961</v>
      </c>
      <c r="J760" s="26">
        <f t="shared" si="56"/>
        <v>7686.3541750401391</v>
      </c>
      <c r="K760" s="1">
        <f>D760*$E$1867/E760</f>
        <v>11.401817716165413</v>
      </c>
      <c r="L760" s="26">
        <f t="shared" si="54"/>
        <v>323.84313446980104</v>
      </c>
      <c r="M760" s="10">
        <f t="shared" si="52"/>
        <v>13.254537629740085</v>
      </c>
      <c r="N760" s="4">
        <f t="shared" si="53"/>
        <v>18.036493561971536</v>
      </c>
      <c r="O760" s="36">
        <f>1/M760-(G760/100-(((E760/E640)^(1/10))-1))</f>
        <v>1.9977583686114603E-2</v>
      </c>
      <c r="P760" s="48">
        <v>0.24</v>
      </c>
      <c r="R760" s="30"/>
      <c r="S760" s="30"/>
    </row>
    <row r="761" spans="1:19" ht="13" x14ac:dyDescent="0.3">
      <c r="A761" s="52" t="s">
        <v>777</v>
      </c>
      <c r="B761" s="6">
        <v>10.92</v>
      </c>
      <c r="C761" s="1">
        <v>0.44330000000000003</v>
      </c>
      <c r="D761" s="6">
        <v>0.45669999999999999</v>
      </c>
      <c r="E761" s="6">
        <v>13.3</v>
      </c>
      <c r="F761" s="1">
        <f t="shared" si="55"/>
        <v>1934.2916666666092</v>
      </c>
      <c r="G761" s="17">
        <f>G758*9/12+G770*3/12</f>
        <v>3.0375000000000005</v>
      </c>
      <c r="H761" s="1">
        <f>B761*$E$1867/E761</f>
        <v>275.1554684210526</v>
      </c>
      <c r="I761" s="1">
        <f>C761*$E$1867/E761</f>
        <v>11.170001753759399</v>
      </c>
      <c r="J761" s="26">
        <f t="shared" si="56"/>
        <v>7841.6139967648587</v>
      </c>
      <c r="K761" s="1">
        <f>D761*$E$1867/E761</f>
        <v>11.507646742481203</v>
      </c>
      <c r="L761" s="26">
        <f t="shared" si="54"/>
        <v>327.95468061561456</v>
      </c>
      <c r="M761" s="10">
        <f t="shared" si="52"/>
        <v>13.518389284490093</v>
      </c>
      <c r="N761" s="4">
        <f t="shared" si="53"/>
        <v>18.396276947912703</v>
      </c>
      <c r="O761" s="36">
        <f>1/M761-(G761/100-(((E761/E641)^(1/10))-1))</f>
        <v>1.9352156359813778E-2</v>
      </c>
      <c r="P761" s="48">
        <v>0.15</v>
      </c>
      <c r="R761" s="30"/>
      <c r="S761" s="30"/>
    </row>
    <row r="762" spans="1:19" ht="13" x14ac:dyDescent="0.3">
      <c r="A762" s="52" t="s">
        <v>778</v>
      </c>
      <c r="B762" s="6">
        <v>9.81</v>
      </c>
      <c r="C762" s="1">
        <v>0.44419999999999998</v>
      </c>
      <c r="D762" s="6">
        <v>0.46079999999999999</v>
      </c>
      <c r="E762" s="6">
        <v>13.3</v>
      </c>
      <c r="F762" s="1">
        <f t="shared" si="55"/>
        <v>1934.3749999999425</v>
      </c>
      <c r="G762" s="17">
        <f>G758*8/12+G770*4/12</f>
        <v>3.0100000000000002</v>
      </c>
      <c r="H762" s="1">
        <f>B762*$E$1867/E762</f>
        <v>247.18636860902254</v>
      </c>
      <c r="I762" s="1">
        <f>C762*$E$1867/E762</f>
        <v>11.192679402255639</v>
      </c>
      <c r="J762" s="26">
        <f t="shared" si="56"/>
        <v>7071.1083992408594</v>
      </c>
      <c r="K762" s="1">
        <f>D762*$E$1867/E762</f>
        <v>11.610956030075187</v>
      </c>
      <c r="L762" s="26">
        <f t="shared" si="54"/>
        <v>332.14747710195599</v>
      </c>
      <c r="M762" s="10">
        <f t="shared" ref="M762:M825" si="57">H762/AVERAGE(K642:K761)</f>
        <v>12.181583235024021</v>
      </c>
      <c r="N762" s="4">
        <f t="shared" ref="N762:N825" si="58">J762/AVERAGE(L642:L761)</f>
        <v>16.58394257610227</v>
      </c>
      <c r="O762" s="36">
        <f>1/M762-(G762/100-(((E762/E642)^(1/10))-1))</f>
        <v>2.7744981955740031E-2</v>
      </c>
      <c r="P762" s="48">
        <v>0.16</v>
      </c>
      <c r="R762" s="30"/>
      <c r="S762" s="30"/>
    </row>
    <row r="763" spans="1:19" ht="13" x14ac:dyDescent="0.3">
      <c r="A763" s="52" t="s">
        <v>779</v>
      </c>
      <c r="B763" s="6">
        <v>9.94</v>
      </c>
      <c r="C763" s="1">
        <v>0.44500000000000001</v>
      </c>
      <c r="D763" s="6">
        <v>0.46500000000000002</v>
      </c>
      <c r="E763" s="6">
        <v>13.4</v>
      </c>
      <c r="F763" s="1">
        <f t="shared" si="55"/>
        <v>1934.4583333332757</v>
      </c>
      <c r="G763" s="17">
        <f>G758*7/12+G770*5/12</f>
        <v>2.9824999999999999</v>
      </c>
      <c r="H763" s="1">
        <f>B763*$E$1867/E763</f>
        <v>248.59290932835819</v>
      </c>
      <c r="I763" s="1">
        <f>C763*$E$1867/E763</f>
        <v>11.129159421641791</v>
      </c>
      <c r="J763" s="26">
        <f t="shared" si="56"/>
        <v>7137.8748625743528</v>
      </c>
      <c r="K763" s="1">
        <f>D763*$E$1867/E763</f>
        <v>11.6293463619403</v>
      </c>
      <c r="L763" s="26">
        <f t="shared" si="54"/>
        <v>333.91466912445418</v>
      </c>
      <c r="M763" s="10">
        <f t="shared" si="57"/>
        <v>12.287726483952428</v>
      </c>
      <c r="N763" s="4">
        <f t="shared" si="58"/>
        <v>16.734478982141678</v>
      </c>
      <c r="O763" s="36">
        <f>1/M763-(G763/100-(((E763/E643)^(1/10))-1))</f>
        <v>2.804204524269345E-2</v>
      </c>
      <c r="P763" s="48">
        <v>0.15</v>
      </c>
      <c r="R763" s="30"/>
      <c r="S763" s="30"/>
    </row>
    <row r="764" spans="1:19" ht="13" x14ac:dyDescent="0.3">
      <c r="A764" s="52" t="s">
        <v>780</v>
      </c>
      <c r="B764" s="6">
        <v>9.4700000000000006</v>
      </c>
      <c r="C764" s="1">
        <v>0.44579999999999997</v>
      </c>
      <c r="D764" s="6">
        <v>0.46920000000000001</v>
      </c>
      <c r="E764" s="6">
        <v>13.4</v>
      </c>
      <c r="F764" s="1">
        <f t="shared" si="55"/>
        <v>1934.541666666609</v>
      </c>
      <c r="G764" s="17">
        <f>G758*6/12+G770*6/12</f>
        <v>2.9550000000000001</v>
      </c>
      <c r="H764" s="1">
        <f>B764*$E$1867/E764</f>
        <v>236.83851623134328</v>
      </c>
      <c r="I764" s="1">
        <f>C764*$E$1867/E764</f>
        <v>11.149166899253729</v>
      </c>
      <c r="J764" s="26">
        <f t="shared" si="56"/>
        <v>6827.0469818635574</v>
      </c>
      <c r="K764" s="1">
        <f>D764*$E$1867/E764</f>
        <v>11.734385619402984</v>
      </c>
      <c r="L764" s="26">
        <f t="shared" si="54"/>
        <v>338.25242279729468</v>
      </c>
      <c r="M764" s="10">
        <f t="shared" si="57"/>
        <v>11.741524229318244</v>
      </c>
      <c r="N764" s="4">
        <f t="shared" si="58"/>
        <v>15.999498232451343</v>
      </c>
      <c r="O764" s="36">
        <f>1/M764-(G764/100-(((E764/E644)^(1/10))-1))</f>
        <v>3.1530291351625737E-2</v>
      </c>
      <c r="P764" s="48">
        <v>0.15</v>
      </c>
      <c r="R764" s="30"/>
      <c r="S764" s="30"/>
    </row>
    <row r="765" spans="1:19" ht="13" x14ac:dyDescent="0.3">
      <c r="A765" s="52" t="s">
        <v>781</v>
      </c>
      <c r="B765" s="6">
        <v>9.1</v>
      </c>
      <c r="C765" s="1">
        <v>0.44669999999999999</v>
      </c>
      <c r="D765" s="6">
        <v>0.4733</v>
      </c>
      <c r="E765" s="6">
        <v>13.4</v>
      </c>
      <c r="F765" s="1">
        <f t="shared" si="55"/>
        <v>1934.6249999999422</v>
      </c>
      <c r="G765" s="17">
        <f>G758*5/12+G770*7/12</f>
        <v>2.9275000000000002</v>
      </c>
      <c r="H765" s="1">
        <f>B765*$E$1867/E765</f>
        <v>227.58505783582086</v>
      </c>
      <c r="I765" s="1">
        <f>C765*$E$1867/E765</f>
        <v>11.171675311567164</v>
      </c>
      <c r="J765" s="26">
        <f t="shared" si="56"/>
        <v>6587.1451276513453</v>
      </c>
      <c r="K765" s="1">
        <f>D765*$E$1867/E765</f>
        <v>11.836923942164178</v>
      </c>
      <c r="L765" s="26">
        <f t="shared" si="54"/>
        <v>342.60393284806395</v>
      </c>
      <c r="M765" s="10">
        <f t="shared" si="57"/>
        <v>11.31502598182905</v>
      </c>
      <c r="N765" s="4">
        <f t="shared" si="58"/>
        <v>15.429440235825348</v>
      </c>
      <c r="O765" s="36">
        <f>1/M765-(G765/100-(((E765/E645)^(1/10))-1))</f>
        <v>3.5588081455892685E-2</v>
      </c>
      <c r="P765" s="48">
        <v>0.19</v>
      </c>
      <c r="R765" s="30"/>
      <c r="S765" s="30"/>
    </row>
    <row r="766" spans="1:19" ht="13" x14ac:dyDescent="0.3">
      <c r="A766" s="52" t="s">
        <v>782</v>
      </c>
      <c r="B766" s="6">
        <v>8.8800000000000008</v>
      </c>
      <c r="C766" s="1">
        <v>0.44750000000000001</v>
      </c>
      <c r="D766" s="6">
        <v>0.47749999999999998</v>
      </c>
      <c r="E766" s="6">
        <v>13.6</v>
      </c>
      <c r="F766" s="1">
        <f t="shared" si="55"/>
        <v>1934.7083333332755</v>
      </c>
      <c r="G766" s="17">
        <f>G758*4/12+G770*8/12</f>
        <v>2.9000000000000004</v>
      </c>
      <c r="H766" s="1">
        <f>B766*$E$1867/E766</f>
        <v>218.81707500000002</v>
      </c>
      <c r="I766" s="1">
        <f>C766*$E$1867/E766</f>
        <v>11.027099218750001</v>
      </c>
      <c r="J766" s="26">
        <f t="shared" si="56"/>
        <v>6359.9646440097977</v>
      </c>
      <c r="K766" s="1">
        <f>D766*$E$1867/E766</f>
        <v>11.76634609375</v>
      </c>
      <c r="L766" s="26">
        <f t="shared" si="54"/>
        <v>341.99134206246379</v>
      </c>
      <c r="M766" s="10">
        <f t="shared" si="57"/>
        <v>10.909954083288847</v>
      </c>
      <c r="N766" s="4">
        <f t="shared" si="58"/>
        <v>14.889060036884642</v>
      </c>
      <c r="O766" s="36">
        <f>1/M766-(G766/100-(((E766/E646)^(1/10))-1))</f>
        <v>4.0018781641811448E-2</v>
      </c>
      <c r="P766" s="48">
        <v>0.21</v>
      </c>
      <c r="R766" s="30"/>
      <c r="S766" s="30"/>
    </row>
    <row r="767" spans="1:19" ht="13" x14ac:dyDescent="0.3">
      <c r="A767" s="52" t="s">
        <v>783</v>
      </c>
      <c r="B767" s="6">
        <v>8.9499999999999993</v>
      </c>
      <c r="C767" s="1">
        <v>0.44829999999999998</v>
      </c>
      <c r="D767" s="6">
        <v>0.48170000000000002</v>
      </c>
      <c r="E767" s="6">
        <v>13.5</v>
      </c>
      <c r="F767" s="1">
        <f t="shared" si="55"/>
        <v>1934.7916666666088</v>
      </c>
      <c r="G767" s="17">
        <f>G758*3/12+G770*9/12</f>
        <v>2.8724999999999996</v>
      </c>
      <c r="H767" s="1">
        <f>B767*$E$1867/E767</f>
        <v>222.17562870370367</v>
      </c>
      <c r="I767" s="1">
        <f>C767*$E$1867/E767</f>
        <v>11.12864070925926</v>
      </c>
      <c r="J767" s="26">
        <f t="shared" si="56"/>
        <v>6484.5364106225943</v>
      </c>
      <c r="K767" s="1">
        <f>D767*$E$1867/E767</f>
        <v>11.957765401851852</v>
      </c>
      <c r="L767" s="26">
        <f t="shared" si="54"/>
        <v>349.00571944099488</v>
      </c>
      <c r="M767" s="10">
        <f t="shared" si="57"/>
        <v>11.108352605351726</v>
      </c>
      <c r="N767" s="4">
        <f t="shared" si="58"/>
        <v>15.171974636031155</v>
      </c>
      <c r="O767" s="36">
        <f>1/M767-(G767/100-(((E767/E647)^(1/10))-1))</f>
        <v>3.7366377272122289E-2</v>
      </c>
      <c r="P767" s="48">
        <v>0.27</v>
      </c>
      <c r="R767" s="30"/>
      <c r="S767" s="30"/>
    </row>
    <row r="768" spans="1:19" ht="13" x14ac:dyDescent="0.3">
      <c r="A768" s="52" t="s">
        <v>784</v>
      </c>
      <c r="B768" s="6">
        <v>9.1999999999999993</v>
      </c>
      <c r="C768" s="1">
        <v>0.44919999999999999</v>
      </c>
      <c r="D768" s="6">
        <v>0.48580000000000001</v>
      </c>
      <c r="E768" s="6">
        <v>13.5</v>
      </c>
      <c r="F768" s="1">
        <f t="shared" si="55"/>
        <v>1934.874999999942</v>
      </c>
      <c r="G768" s="17">
        <f>G758*2/12+G770*10/12</f>
        <v>2.8449999999999998</v>
      </c>
      <c r="H768" s="1">
        <f>B768*$E$1867/E768</f>
        <v>228.38165185185184</v>
      </c>
      <c r="I768" s="1">
        <f>C768*$E$1867/E768</f>
        <v>11.150982392592592</v>
      </c>
      <c r="J768" s="26">
        <f t="shared" si="56"/>
        <v>6692.7902559440054</v>
      </c>
      <c r="K768" s="1">
        <f>D768*$E$1867/E768</f>
        <v>12.059544181481483</v>
      </c>
      <c r="L768" s="26">
        <f t="shared" si="54"/>
        <v>353.40842460191288</v>
      </c>
      <c r="M768" s="10">
        <f t="shared" si="57"/>
        <v>11.4488086902057</v>
      </c>
      <c r="N768" s="4">
        <f t="shared" si="58"/>
        <v>15.647600135571409</v>
      </c>
      <c r="O768" s="36">
        <f>1/M768-(G768/100-(((E768/E648)^(1/10))-1))</f>
        <v>3.4964360171844878E-2</v>
      </c>
      <c r="P768" s="48">
        <v>0.25</v>
      </c>
      <c r="R768" s="30"/>
      <c r="S768" s="30"/>
    </row>
    <row r="769" spans="1:19" ht="13" x14ac:dyDescent="0.3">
      <c r="A769" s="52" t="s">
        <v>785</v>
      </c>
      <c r="B769" s="6">
        <v>9.26</v>
      </c>
      <c r="C769" s="1">
        <v>0.45</v>
      </c>
      <c r="D769" s="6">
        <v>0.49</v>
      </c>
      <c r="E769" s="6">
        <v>13.4</v>
      </c>
      <c r="F769" s="1">
        <f t="shared" si="55"/>
        <v>1934.9583333332753</v>
      </c>
      <c r="G769" s="17">
        <f>G758*1/12+G770*11/12</f>
        <v>2.8174999999999999</v>
      </c>
      <c r="H769" s="1">
        <f>B769*$E$1867/E769</f>
        <v>231.58655335820893</v>
      </c>
      <c r="I769" s="1">
        <f>C769*$E$1867/E769</f>
        <v>11.254206156716418</v>
      </c>
      <c r="J769" s="26">
        <f t="shared" si="56"/>
        <v>6814.1948001511328</v>
      </c>
      <c r="K769" s="1">
        <f>D769*$E$1867/E769</f>
        <v>12.254580037313431</v>
      </c>
      <c r="L769" s="26">
        <f t="shared" si="54"/>
        <v>360.57834255659338</v>
      </c>
      <c r="M769" s="10">
        <f t="shared" si="57"/>
        <v>11.639337566475886</v>
      </c>
      <c r="N769" s="4">
        <f t="shared" si="58"/>
        <v>15.918287827037346</v>
      </c>
      <c r="O769" s="36">
        <f>1/M769-(G769/100-(((E769/E649)^(1/10))-1))</f>
        <v>3.2518880399899787E-2</v>
      </c>
      <c r="P769" s="48">
        <v>0.23</v>
      </c>
      <c r="R769" s="30"/>
      <c r="S769" s="30"/>
    </row>
    <row r="770" spans="1:19" ht="13" x14ac:dyDescent="0.3">
      <c r="A770" s="52" t="s">
        <v>786</v>
      </c>
      <c r="B770" s="6">
        <v>9.26</v>
      </c>
      <c r="C770" s="1">
        <v>0.45</v>
      </c>
      <c r="D770" s="6">
        <v>0.56999999999999995</v>
      </c>
      <c r="E770" s="6">
        <v>13.6</v>
      </c>
      <c r="F770" s="1">
        <f t="shared" si="55"/>
        <v>1935.0416666666085</v>
      </c>
      <c r="G770" s="17">
        <v>2.79</v>
      </c>
      <c r="H770" s="1">
        <f>B770*$E$1867/E770</f>
        <v>228.18086875</v>
      </c>
      <c r="I770" s="1">
        <f>C770*$E$1867/E770</f>
        <v>11.088703125</v>
      </c>
      <c r="J770" s="26">
        <f t="shared" si="56"/>
        <v>6741.1755214476343</v>
      </c>
      <c r="K770" s="1">
        <f>D770*$E$1867/E770</f>
        <v>14.045690624999999</v>
      </c>
      <c r="L770" s="26">
        <f t="shared" si="54"/>
        <v>414.95356881481115</v>
      </c>
      <c r="M770" s="10">
        <f t="shared" si="57"/>
        <v>11.495907968201596</v>
      </c>
      <c r="N770" s="4">
        <f t="shared" si="58"/>
        <v>15.731975583272817</v>
      </c>
      <c r="O770" s="36">
        <f>1/M770-(G770/100-(((E770/E650)^(1/10))-1))</f>
        <v>3.5311025162538569E-2</v>
      </c>
      <c r="P770" s="48">
        <v>0.2</v>
      </c>
      <c r="R770" s="30"/>
      <c r="S770" s="30"/>
    </row>
    <row r="771" spans="1:19" ht="13" x14ac:dyDescent="0.3">
      <c r="A771" s="52" t="s">
        <v>787</v>
      </c>
      <c r="B771" s="6">
        <v>8.98</v>
      </c>
      <c r="C771" s="1">
        <v>0.45</v>
      </c>
      <c r="D771" s="6">
        <v>0.65</v>
      </c>
      <c r="E771" s="6">
        <v>13.7</v>
      </c>
      <c r="F771" s="1">
        <f t="shared" si="55"/>
        <v>1935.1249999999418</v>
      </c>
      <c r="G771" s="17">
        <f>G770*11/12+G782*1/12</f>
        <v>2.7783333333333333</v>
      </c>
      <c r="H771" s="1">
        <f>B771*$E$1867/E771</f>
        <v>219.66603978102194</v>
      </c>
      <c r="I771" s="1">
        <f>C771*$E$1867/E771</f>
        <v>11.007763686131387</v>
      </c>
      <c r="J771" s="26">
        <f t="shared" si="56"/>
        <v>6516.7211899488821</v>
      </c>
      <c r="K771" s="1">
        <f>D771*$E$1867/E771</f>
        <v>15.900103102189782</v>
      </c>
      <c r="L771" s="26">
        <f t="shared" ref="L771:L834" si="59">K771*(J771/H771)</f>
        <v>471.70030884930651</v>
      </c>
      <c r="M771" s="10">
        <f t="shared" si="57"/>
        <v>11.087812159055563</v>
      </c>
      <c r="N771" s="4">
        <f t="shared" si="58"/>
        <v>15.179973139310754</v>
      </c>
      <c r="O771" s="36">
        <f>1/M771-(G771/100-(((E771/E651)^(1/10))-1))</f>
        <v>3.9911290060126552E-2</v>
      </c>
      <c r="P771" s="48">
        <v>0.19</v>
      </c>
      <c r="R771" s="30"/>
      <c r="S771" s="30"/>
    </row>
    <row r="772" spans="1:19" ht="13" x14ac:dyDescent="0.3">
      <c r="A772" s="52" t="s">
        <v>788</v>
      </c>
      <c r="B772" s="6">
        <v>8.41</v>
      </c>
      <c r="C772" s="1">
        <v>0.45</v>
      </c>
      <c r="D772" s="6">
        <v>0.73</v>
      </c>
      <c r="E772" s="6">
        <v>13.7</v>
      </c>
      <c r="F772" s="1">
        <f t="shared" ref="F772:F835" si="60">F771+1/12</f>
        <v>1935.208333333275</v>
      </c>
      <c r="G772" s="17">
        <f>G770*10/12+G782*2/12</f>
        <v>2.7666666666666666</v>
      </c>
      <c r="H772" s="1">
        <f>B772*$E$1867/E772</f>
        <v>205.72287244525549</v>
      </c>
      <c r="I772" s="1">
        <f>C772*$E$1867/E772</f>
        <v>11.007763686131387</v>
      </c>
      <c r="J772" s="26">
        <f t="shared" ref="J772:J835" si="61">J771*((H772+(I772/12))/H771)</f>
        <v>6130.289783083872</v>
      </c>
      <c r="K772" s="1">
        <f>D772*$E$1867/E772</f>
        <v>17.857038868613138</v>
      </c>
      <c r="L772" s="26">
        <f t="shared" si="59"/>
        <v>532.11790031524686</v>
      </c>
      <c r="M772" s="10">
        <f t="shared" si="57"/>
        <v>10.398272404790029</v>
      </c>
      <c r="N772" s="4">
        <f t="shared" si="58"/>
        <v>14.241120748641007</v>
      </c>
      <c r="O772" s="36">
        <f>1/M772-(G772/100-(((E772/E652)^(1/10))-1))</f>
        <v>4.5442152824976274E-2</v>
      </c>
      <c r="P772" s="48">
        <v>0.15</v>
      </c>
      <c r="R772" s="30"/>
      <c r="S772" s="30"/>
    </row>
    <row r="773" spans="1:19" ht="13" x14ac:dyDescent="0.3">
      <c r="A773" s="52" t="s">
        <v>789</v>
      </c>
      <c r="B773" s="6">
        <v>9.0399999999999991</v>
      </c>
      <c r="C773" s="1">
        <v>0.44666699999999998</v>
      </c>
      <c r="D773" s="6">
        <v>0.75666699999999998</v>
      </c>
      <c r="E773" s="6">
        <v>13.8</v>
      </c>
      <c r="F773" s="1">
        <f t="shared" si="60"/>
        <v>1935.2916666666083</v>
      </c>
      <c r="G773" s="17">
        <f>G770*9/12+G782*3/12</f>
        <v>2.7549999999999999</v>
      </c>
      <c r="H773" s="1">
        <f>B773*$E$1867/E773</f>
        <v>219.53132318840574</v>
      </c>
      <c r="I773" s="1">
        <f>C773*$E$1867/E773</f>
        <v>10.847057249402173</v>
      </c>
      <c r="J773" s="26">
        <f t="shared" si="61"/>
        <v>6568.700465336341</v>
      </c>
      <c r="K773" s="1">
        <f>D773*$E$1867/E773</f>
        <v>18.375233155199272</v>
      </c>
      <c r="L773" s="26">
        <f t="shared" si="59"/>
        <v>549.81403484564748</v>
      </c>
      <c r="M773" s="10">
        <f t="shared" si="57"/>
        <v>11.104210207149521</v>
      </c>
      <c r="N773" s="4">
        <f t="shared" si="58"/>
        <v>15.203114450417106</v>
      </c>
      <c r="O773" s="36">
        <f>1/M773-(G773/100-(((E773/E653)^(1/10))-1))</f>
        <v>4.0722612186610892E-2</v>
      </c>
      <c r="P773" s="48">
        <v>0.15</v>
      </c>
      <c r="R773" s="30"/>
      <c r="S773" s="30"/>
    </row>
    <row r="774" spans="1:19" ht="13" x14ac:dyDescent="0.3">
      <c r="A774" s="52" t="s">
        <v>790</v>
      </c>
      <c r="B774" s="6">
        <v>9.75</v>
      </c>
      <c r="C774" s="1">
        <v>0.44333299999999998</v>
      </c>
      <c r="D774" s="6">
        <v>0.78333299999999995</v>
      </c>
      <c r="E774" s="6">
        <v>13.8</v>
      </c>
      <c r="F774" s="1">
        <f t="shared" si="60"/>
        <v>1935.3749999999416</v>
      </c>
      <c r="G774" s="17">
        <f>G770*8/12+G782*4/12</f>
        <v>2.7433333333333332</v>
      </c>
      <c r="H774" s="1">
        <f>B774*$E$1867/E774</f>
        <v>236.7732744565217</v>
      </c>
      <c r="I774" s="1">
        <f>C774*$E$1867/E774</f>
        <v>10.766092931757244</v>
      </c>
      <c r="J774" s="26">
        <f t="shared" si="61"/>
        <v>7111.4498168118635</v>
      </c>
      <c r="K774" s="1">
        <f>D774*$E$1867/E774</f>
        <v>19.022801989728258</v>
      </c>
      <c r="L774" s="26">
        <f t="shared" si="59"/>
        <v>571.3470071130962</v>
      </c>
      <c r="M774" s="10">
        <f t="shared" si="57"/>
        <v>11.985576683480096</v>
      </c>
      <c r="N774" s="4">
        <f t="shared" si="58"/>
        <v>16.397052898465699</v>
      </c>
      <c r="O774" s="36">
        <f>1/M774-(G774/100-(((E774/E654)^(1/10))-1))</f>
        <v>3.3650043199486147E-2</v>
      </c>
      <c r="P774" s="48">
        <v>0.15</v>
      </c>
      <c r="R774" s="30"/>
      <c r="S774" s="30"/>
    </row>
    <row r="775" spans="1:19" ht="13" x14ac:dyDescent="0.3">
      <c r="A775" s="52" t="s">
        <v>791</v>
      </c>
      <c r="B775" s="6">
        <v>10.119999999999999</v>
      </c>
      <c r="C775" s="1">
        <v>0.44</v>
      </c>
      <c r="D775" s="6">
        <v>0.81</v>
      </c>
      <c r="E775" s="6">
        <v>13.7</v>
      </c>
      <c r="F775" s="1">
        <f t="shared" si="60"/>
        <v>1935.4583333332748</v>
      </c>
      <c r="G775" s="17">
        <f>G770*7/12+G782*5/12</f>
        <v>2.7316666666666669</v>
      </c>
      <c r="H775" s="1">
        <f>B775*$E$1867/E775</f>
        <v>247.55237445255474</v>
      </c>
      <c r="I775" s="1">
        <f>C775*$E$1867/E775</f>
        <v>10.763146715328467</v>
      </c>
      <c r="J775" s="26">
        <f t="shared" si="61"/>
        <v>7462.1375947893293</v>
      </c>
      <c r="K775" s="1">
        <f>D775*$E$1867/E775</f>
        <v>19.813974635036498</v>
      </c>
      <c r="L775" s="26">
        <f t="shared" si="59"/>
        <v>597.26595373313808</v>
      </c>
      <c r="M775" s="10">
        <f t="shared" si="57"/>
        <v>12.539519324443891</v>
      </c>
      <c r="N775" s="4">
        <f t="shared" si="58"/>
        <v>17.136505102037557</v>
      </c>
      <c r="O775" s="36">
        <f>1/M775-(G775/100-(((E775/E655)^(1/10))-1))</f>
        <v>2.824791923225721E-2</v>
      </c>
      <c r="P775" s="48">
        <v>0.15</v>
      </c>
      <c r="R775" s="30"/>
      <c r="S775" s="30"/>
    </row>
    <row r="776" spans="1:19" ht="13" x14ac:dyDescent="0.3">
      <c r="A776" s="52" t="s">
        <v>792</v>
      </c>
      <c r="B776" s="6">
        <v>10.65</v>
      </c>
      <c r="C776" s="1">
        <v>0.44</v>
      </c>
      <c r="D776" s="6">
        <v>0.79333299999999995</v>
      </c>
      <c r="E776" s="6">
        <v>13.7</v>
      </c>
      <c r="F776" s="1">
        <f t="shared" si="60"/>
        <v>1935.5416666666081</v>
      </c>
      <c r="G776" s="17">
        <f>G770*6/12+G782*6/12</f>
        <v>2.72</v>
      </c>
      <c r="H776" s="1">
        <f>B776*$E$1867/E776</f>
        <v>260.5170739051095</v>
      </c>
      <c r="I776" s="1">
        <f>C776*$E$1867/E776</f>
        <v>10.763146715328467</v>
      </c>
      <c r="J776" s="26">
        <f t="shared" si="61"/>
        <v>7879.9779739442001</v>
      </c>
      <c r="K776" s="1">
        <f>D776*$E$1867/E776</f>
        <v>19.40627152979927</v>
      </c>
      <c r="L776" s="26">
        <f t="shared" si="59"/>
        <v>586.99028788761257</v>
      </c>
      <c r="M776" s="10">
        <f t="shared" si="57"/>
        <v>13.20213793651101</v>
      </c>
      <c r="N776" s="4">
        <f t="shared" si="58"/>
        <v>18.016989509797178</v>
      </c>
      <c r="O776" s="36">
        <f>1/M776-(G776/100-(((E776/E656)^(1/10))-1))</f>
        <v>2.3253755404173015E-2</v>
      </c>
      <c r="P776" s="48">
        <v>0.15</v>
      </c>
      <c r="R776" s="30"/>
      <c r="S776" s="30"/>
    </row>
    <row r="777" spans="1:19" ht="13" x14ac:dyDescent="0.3">
      <c r="A777" s="52" t="s">
        <v>793</v>
      </c>
      <c r="B777" s="6">
        <v>11.37</v>
      </c>
      <c r="C777" s="1">
        <v>0.44</v>
      </c>
      <c r="D777" s="6">
        <v>0.776667</v>
      </c>
      <c r="E777" s="6">
        <v>13.7</v>
      </c>
      <c r="F777" s="1">
        <f t="shared" si="60"/>
        <v>1935.6249999999413</v>
      </c>
      <c r="G777" s="17">
        <f>G770*5/12+G782*7/12</f>
        <v>2.708333333333333</v>
      </c>
      <c r="H777" s="1">
        <f>B777*$E$1867/E777</f>
        <v>278.12949580291968</v>
      </c>
      <c r="I777" s="1">
        <f>C777*$E$1867/E777</f>
        <v>10.763146715328467</v>
      </c>
      <c r="J777" s="26">
        <f t="shared" si="61"/>
        <v>8439.8386938457134</v>
      </c>
      <c r="K777" s="1">
        <f>D777*$E$1867/E777</f>
        <v>18.998592886259125</v>
      </c>
      <c r="L777" s="26">
        <f t="shared" si="59"/>
        <v>576.51224264143093</v>
      </c>
      <c r="M777" s="10">
        <f t="shared" si="57"/>
        <v>14.105056846668948</v>
      </c>
      <c r="N777" s="4">
        <f t="shared" si="58"/>
        <v>19.219226540421477</v>
      </c>
      <c r="O777" s="36">
        <f>1/M777-(G777/100-(((E777/E657)^(1/10))-1))</f>
        <v>1.8521673753049472E-2</v>
      </c>
      <c r="P777" s="48">
        <v>0.16</v>
      </c>
      <c r="R777" s="30"/>
      <c r="S777" s="30"/>
    </row>
    <row r="778" spans="1:19" ht="13" x14ac:dyDescent="0.3">
      <c r="A778" s="52" t="s">
        <v>794</v>
      </c>
      <c r="B778" s="6">
        <v>11.61</v>
      </c>
      <c r="C778" s="1">
        <v>0.44</v>
      </c>
      <c r="D778" s="6">
        <v>0.76</v>
      </c>
      <c r="E778" s="6">
        <v>13.7</v>
      </c>
      <c r="F778" s="1">
        <f t="shared" si="60"/>
        <v>1935.7083333332746</v>
      </c>
      <c r="G778" s="17">
        <f>G770*4/12+G782*8/12</f>
        <v>2.6966666666666668</v>
      </c>
      <c r="H778" s="1">
        <f>B778*$E$1867/E778</f>
        <v>284.00030310218978</v>
      </c>
      <c r="I778" s="1">
        <f>C778*$E$1867/E778</f>
        <v>10.763146715328467</v>
      </c>
      <c r="J778" s="26">
        <f t="shared" si="61"/>
        <v>8645.2056277622178</v>
      </c>
      <c r="K778" s="1">
        <f>D778*$E$1867/E778</f>
        <v>18.5908897810219</v>
      </c>
      <c r="L778" s="26">
        <f t="shared" si="59"/>
        <v>565.92215995687229</v>
      </c>
      <c r="M778" s="10">
        <f t="shared" si="57"/>
        <v>14.418891702707425</v>
      </c>
      <c r="N778" s="4">
        <f t="shared" si="58"/>
        <v>19.61552148991376</v>
      </c>
      <c r="O778" s="36">
        <f>1/M778-(G778/100-(((E778/E658)^(1/10))-1))</f>
        <v>1.7095239052496852E-2</v>
      </c>
      <c r="P778" s="48">
        <v>0.2</v>
      </c>
      <c r="R778" s="30"/>
      <c r="S778" s="30"/>
    </row>
    <row r="779" spans="1:19" ht="13" x14ac:dyDescent="0.3">
      <c r="A779" s="52" t="s">
        <v>795</v>
      </c>
      <c r="B779" s="6">
        <v>11.92</v>
      </c>
      <c r="C779" s="1">
        <v>0.45</v>
      </c>
      <c r="D779" s="6">
        <v>0.76</v>
      </c>
      <c r="E779" s="6">
        <v>13.7</v>
      </c>
      <c r="F779" s="1">
        <f t="shared" si="60"/>
        <v>1935.7916666666079</v>
      </c>
      <c r="G779" s="17">
        <f>G770*3/12+G782*9/12</f>
        <v>2.6850000000000001</v>
      </c>
      <c r="H779" s="1">
        <f>B779*$E$1867/E779</f>
        <v>291.58342919708031</v>
      </c>
      <c r="I779" s="1">
        <f>C779*$E$1867/E779</f>
        <v>11.007763686131387</v>
      </c>
      <c r="J779" s="26">
        <f t="shared" si="61"/>
        <v>8903.9660890582873</v>
      </c>
      <c r="K779" s="1">
        <f>D779*$E$1867/E779</f>
        <v>18.5908897810219</v>
      </c>
      <c r="L779" s="26">
        <f t="shared" si="59"/>
        <v>567.70253587955528</v>
      </c>
      <c r="M779" s="10">
        <f t="shared" si="57"/>
        <v>14.826232627114083</v>
      </c>
      <c r="N779" s="4">
        <f t="shared" si="58"/>
        <v>20.137764924493016</v>
      </c>
      <c r="O779" s="36">
        <f>1/M779-(G779/100-(((E779/E659)^(1/10))-1))</f>
        <v>1.5306465382436379E-2</v>
      </c>
      <c r="P779" s="48">
        <v>0.2</v>
      </c>
      <c r="R779" s="30"/>
      <c r="S779" s="30"/>
    </row>
    <row r="780" spans="1:19" ht="13" x14ac:dyDescent="0.3">
      <c r="A780" s="52" t="s">
        <v>796</v>
      </c>
      <c r="B780" s="6">
        <v>13.04</v>
      </c>
      <c r="C780" s="1">
        <v>0.46</v>
      </c>
      <c r="D780" s="6">
        <v>0.76</v>
      </c>
      <c r="E780" s="6">
        <v>13.8</v>
      </c>
      <c r="F780" s="1">
        <f t="shared" si="60"/>
        <v>1935.8749999999411</v>
      </c>
      <c r="G780" s="17">
        <f>G770*2/12+G782*10/12</f>
        <v>2.6733333333333333</v>
      </c>
      <c r="H780" s="1">
        <f>B780*$E$1867/E780</f>
        <v>316.66907681159415</v>
      </c>
      <c r="I780" s="1">
        <f>C780*$E$1867/E780</f>
        <v>11.170841666666666</v>
      </c>
      <c r="J780" s="26">
        <f t="shared" si="61"/>
        <v>9698.4230623795611</v>
      </c>
      <c r="K780" s="1">
        <f>D780*$E$1867/E780</f>
        <v>18.456173188405796</v>
      </c>
      <c r="L780" s="26">
        <f t="shared" si="59"/>
        <v>565.24551590555723</v>
      </c>
      <c r="M780" s="10">
        <f t="shared" si="57"/>
        <v>16.129605163251131</v>
      </c>
      <c r="N780" s="4">
        <f t="shared" si="58"/>
        <v>21.868060170749093</v>
      </c>
      <c r="O780" s="36">
        <f>1/M780-(G780/100-(((E780/E660)^(1/10))-1))</f>
        <v>9.044033083028355E-3</v>
      </c>
      <c r="P780" s="48">
        <v>0.16</v>
      </c>
      <c r="R780" s="30"/>
      <c r="S780" s="30"/>
    </row>
    <row r="781" spans="1:19" ht="13" x14ac:dyDescent="0.3">
      <c r="A781" s="52" t="s">
        <v>797</v>
      </c>
      <c r="B781" s="6">
        <v>13.04</v>
      </c>
      <c r="C781" s="1">
        <v>0.47</v>
      </c>
      <c r="D781" s="6">
        <v>0.76</v>
      </c>
      <c r="E781" s="6">
        <v>13.8</v>
      </c>
      <c r="F781" s="1">
        <f t="shared" si="60"/>
        <v>1935.9583333332744</v>
      </c>
      <c r="G781" s="17">
        <f>G770*1/12+G782*11/12</f>
        <v>2.6616666666666666</v>
      </c>
      <c r="H781" s="1">
        <f>B781*$E$1867/E781</f>
        <v>316.66907681159415</v>
      </c>
      <c r="I781" s="1">
        <f>C781*$E$1867/E781</f>
        <v>11.413686050724635</v>
      </c>
      <c r="J781" s="26">
        <f t="shared" si="61"/>
        <v>9727.5530396246941</v>
      </c>
      <c r="K781" s="1">
        <f>D781*$E$1867/E781</f>
        <v>18.456173188405796</v>
      </c>
      <c r="L781" s="26">
        <f t="shared" si="59"/>
        <v>566.94327531554973</v>
      </c>
      <c r="M781" s="10">
        <f t="shared" si="57"/>
        <v>16.159192714615319</v>
      </c>
      <c r="N781" s="4">
        <f t="shared" si="58"/>
        <v>21.869913075541877</v>
      </c>
      <c r="O781" s="36">
        <f>1/M781-(G781/100-(((E781/E661)^(1/10))-1))</f>
        <v>9.5898296415088541E-3</v>
      </c>
      <c r="P781" s="48">
        <v>0.15</v>
      </c>
      <c r="R781" s="30"/>
      <c r="S781" s="30"/>
    </row>
    <row r="782" spans="1:19" ht="13" x14ac:dyDescent="0.3">
      <c r="A782" s="52" t="s">
        <v>798</v>
      </c>
      <c r="B782" s="6">
        <v>13.76</v>
      </c>
      <c r="C782" s="1">
        <v>0.48</v>
      </c>
      <c r="D782" s="6">
        <v>0.77</v>
      </c>
      <c r="E782" s="6">
        <v>13.8</v>
      </c>
      <c r="F782" s="1">
        <f t="shared" si="60"/>
        <v>1936.0416666666076</v>
      </c>
      <c r="G782" s="17">
        <v>2.65</v>
      </c>
      <c r="H782" s="1">
        <f>B782*$E$1867/E782</f>
        <v>334.1538724637681</v>
      </c>
      <c r="I782" s="1">
        <f>C782*$E$1867/E782</f>
        <v>11.656530434782608</v>
      </c>
      <c r="J782" s="26">
        <f t="shared" si="61"/>
        <v>10294.496314940245</v>
      </c>
      <c r="K782" s="1">
        <f>D782*$E$1867/E782</f>
        <v>18.699017572463767</v>
      </c>
      <c r="L782" s="26">
        <f t="shared" si="59"/>
        <v>576.07283157732479</v>
      </c>
      <c r="M782" s="10">
        <f t="shared" si="57"/>
        <v>17.087359845997238</v>
      </c>
      <c r="N782" s="4">
        <f t="shared" si="58"/>
        <v>23.082290704692628</v>
      </c>
      <c r="O782" s="36">
        <f>1/M782-(G782/100-(((E782/E662)^(1/10))-1))</f>
        <v>6.3450083552025402E-3</v>
      </c>
      <c r="P782" s="48">
        <v>0.2</v>
      </c>
      <c r="R782" s="30"/>
      <c r="S782" s="30"/>
    </row>
    <row r="783" spans="1:19" ht="13" x14ac:dyDescent="0.3">
      <c r="A783" s="52" t="s">
        <v>799</v>
      </c>
      <c r="B783" s="6">
        <v>14.55</v>
      </c>
      <c r="C783" s="1">
        <v>0.49</v>
      </c>
      <c r="D783" s="6">
        <v>0.78</v>
      </c>
      <c r="E783" s="6">
        <v>13.8</v>
      </c>
      <c r="F783" s="1">
        <f t="shared" si="60"/>
        <v>1936.1249999999409</v>
      </c>
      <c r="G783" s="17">
        <f>G782*11/12+G794*1/12</f>
        <v>2.6524999999999999</v>
      </c>
      <c r="H783" s="1">
        <f>B783*$E$1867/E783</f>
        <v>353.33857880434783</v>
      </c>
      <c r="I783" s="1">
        <f>C783*$E$1867/E783</f>
        <v>11.899374818840577</v>
      </c>
      <c r="J783" s="26">
        <f t="shared" si="61"/>
        <v>10916.081394033963</v>
      </c>
      <c r="K783" s="1">
        <f>D783*$E$1867/E783</f>
        <v>18.941861956521738</v>
      </c>
      <c r="L783" s="26">
        <f t="shared" si="59"/>
        <v>585.19199225749071</v>
      </c>
      <c r="M783" s="10">
        <f t="shared" si="57"/>
        <v>18.104536459517778</v>
      </c>
      <c r="N783" s="4">
        <f t="shared" si="58"/>
        <v>24.406816425328532</v>
      </c>
      <c r="O783" s="36">
        <f>1/M783-(G783/100-(((E783/E663)^(1/10))-1))</f>
        <v>3.0319918323534825E-3</v>
      </c>
      <c r="P783" s="48">
        <v>0.2</v>
      </c>
      <c r="R783" s="30"/>
      <c r="S783" s="30"/>
    </row>
    <row r="784" spans="1:19" ht="13" x14ac:dyDescent="0.3">
      <c r="A784" s="52" t="s">
        <v>800</v>
      </c>
      <c r="B784" s="6">
        <v>14.86</v>
      </c>
      <c r="C784" s="1">
        <v>0.5</v>
      </c>
      <c r="D784" s="6">
        <v>0.79</v>
      </c>
      <c r="E784" s="6">
        <v>13.7</v>
      </c>
      <c r="F784" s="1">
        <f t="shared" si="60"/>
        <v>1936.2083333332741</v>
      </c>
      <c r="G784" s="17">
        <f>G782*10/12+G794*2/12</f>
        <v>2.6550000000000002</v>
      </c>
      <c r="H784" s="1">
        <f>B784*$E$1867/E784</f>
        <v>363.50081861313868</v>
      </c>
      <c r="I784" s="1">
        <f>C784*$E$1867/E784</f>
        <v>12.230848540145987</v>
      </c>
      <c r="J784" s="26">
        <f t="shared" si="61"/>
        <v>11261.523195190641</v>
      </c>
      <c r="K784" s="1">
        <f>D784*$E$1867/E784</f>
        <v>19.324740693430655</v>
      </c>
      <c r="L784" s="26">
        <f t="shared" si="59"/>
        <v>598.69470553166923</v>
      </c>
      <c r="M784" s="10">
        <f t="shared" si="57"/>
        <v>18.660478203926012</v>
      </c>
      <c r="N784" s="4">
        <f t="shared" si="58"/>
        <v>25.104585822781548</v>
      </c>
      <c r="O784" s="36">
        <f>1/M784-(G784/100-(((E784/E664)^(1/10))-1))</f>
        <v>1.1986641291622177E-3</v>
      </c>
      <c r="P784" s="48">
        <v>0.2</v>
      </c>
      <c r="R784" s="30"/>
      <c r="S784" s="30"/>
    </row>
    <row r="785" spans="1:19" ht="13" x14ac:dyDescent="0.3">
      <c r="A785" s="52" t="s">
        <v>801</v>
      </c>
      <c r="B785" s="6">
        <v>14.88</v>
      </c>
      <c r="C785" s="1">
        <v>0.51666699999999999</v>
      </c>
      <c r="D785" s="6">
        <v>0.82</v>
      </c>
      <c r="E785" s="6">
        <v>13.7</v>
      </c>
      <c r="F785" s="1">
        <f t="shared" si="60"/>
        <v>1936.2916666666074</v>
      </c>
      <c r="G785" s="17">
        <f>G782*9/12+G794*3/12</f>
        <v>2.6574999999999998</v>
      </c>
      <c r="H785" s="1">
        <f>B785*$E$1867/E785</f>
        <v>363.99005255474458</v>
      </c>
      <c r="I785" s="1">
        <f>C785*$E$1867/E785</f>
        <v>12.638551645383211</v>
      </c>
      <c r="J785" s="26">
        <f t="shared" si="61"/>
        <v>11309.309326704411</v>
      </c>
      <c r="K785" s="1">
        <f>D785*$E$1867/E785</f>
        <v>20.058591605839418</v>
      </c>
      <c r="L785" s="26">
        <f t="shared" si="59"/>
        <v>623.22806773505488</v>
      </c>
      <c r="M785" s="10">
        <f t="shared" si="57"/>
        <v>18.71899966515149</v>
      </c>
      <c r="N785" s="4">
        <f t="shared" si="58"/>
        <v>25.132351826424667</v>
      </c>
      <c r="O785" s="36">
        <f>1/M785-(G785/100-(((E785/E665)^(1/10))-1))</f>
        <v>4.6053132009861442E-4</v>
      </c>
      <c r="P785" s="48">
        <v>0.2</v>
      </c>
      <c r="R785" s="30"/>
      <c r="S785" s="30"/>
    </row>
    <row r="786" spans="1:19" ht="13" x14ac:dyDescent="0.3">
      <c r="A786" s="52" t="s">
        <v>802</v>
      </c>
      <c r="B786" s="6">
        <v>14.09</v>
      </c>
      <c r="C786" s="1">
        <v>0.53333299999999995</v>
      </c>
      <c r="D786" s="6">
        <v>0.85</v>
      </c>
      <c r="E786" s="6">
        <v>13.7</v>
      </c>
      <c r="F786" s="1">
        <f t="shared" si="60"/>
        <v>1936.3749999999407</v>
      </c>
      <c r="G786" s="17">
        <f>G782*8/12+G794*4/12</f>
        <v>2.66</v>
      </c>
      <c r="H786" s="1">
        <f>B786*$E$1867/E786</f>
        <v>344.66531186131391</v>
      </c>
      <c r="I786" s="1">
        <f>C786*$E$1867/E786</f>
        <v>13.046230288923356</v>
      </c>
      <c r="J786" s="26">
        <f t="shared" si="61"/>
        <v>10742.661563789881</v>
      </c>
      <c r="K786" s="1">
        <f>D786*$E$1867/E786</f>
        <v>20.792442518248173</v>
      </c>
      <c r="L786" s="26">
        <f t="shared" si="59"/>
        <v>648.06687929179532</v>
      </c>
      <c r="M786" s="10">
        <f t="shared" si="57"/>
        <v>17.750192519328635</v>
      </c>
      <c r="N786" s="4">
        <f t="shared" si="58"/>
        <v>23.78763740930135</v>
      </c>
      <c r="O786" s="36">
        <f>1/M786-(G786/100-(((E786/E666)^(1/10))-1))</f>
        <v>3.8968865356358157E-3</v>
      </c>
      <c r="P786" s="48">
        <v>0.2</v>
      </c>
      <c r="R786" s="30"/>
      <c r="S786" s="30"/>
    </row>
    <row r="787" spans="1:19" ht="13" x14ac:dyDescent="0.3">
      <c r="A787" s="52" t="s">
        <v>803</v>
      </c>
      <c r="B787" s="6">
        <v>14.69</v>
      </c>
      <c r="C787" s="1">
        <v>0.55000000000000004</v>
      </c>
      <c r="D787" s="6">
        <v>0.88</v>
      </c>
      <c r="E787" s="6">
        <v>13.8</v>
      </c>
      <c r="F787" s="1">
        <f t="shared" si="60"/>
        <v>1936.4583333332739</v>
      </c>
      <c r="G787" s="17">
        <f>G782*7/12+G794*5/12</f>
        <v>2.6625000000000001</v>
      </c>
      <c r="H787" s="1">
        <f>B787*$E$1867/E787</f>
        <v>356.73840018115942</v>
      </c>
      <c r="I787" s="1">
        <f>C787*$E$1867/E787</f>
        <v>13.356441123188405</v>
      </c>
      <c r="J787" s="26">
        <f t="shared" si="61"/>
        <v>11153.651803302102</v>
      </c>
      <c r="K787" s="1">
        <f>D787*$E$1867/E787</f>
        <v>21.370305797101448</v>
      </c>
      <c r="L787" s="26">
        <f t="shared" si="59"/>
        <v>668.15613253273318</v>
      </c>
      <c r="M787" s="10">
        <f t="shared" si="57"/>
        <v>18.393001065831342</v>
      </c>
      <c r="N787" s="4">
        <f t="shared" si="58"/>
        <v>24.600188642602649</v>
      </c>
      <c r="O787" s="36">
        <f>1/M787-(G787/100-(((E787/E667)^(1/10))-1))</f>
        <v>3.1610941699746695E-3</v>
      </c>
      <c r="P787" s="48">
        <v>0.2</v>
      </c>
      <c r="R787" s="30"/>
      <c r="S787" s="30"/>
    </row>
    <row r="788" spans="1:19" ht="13" x14ac:dyDescent="0.3">
      <c r="A788" s="52" t="s">
        <v>804</v>
      </c>
      <c r="B788" s="6">
        <v>15.56</v>
      </c>
      <c r="C788" s="1">
        <v>0.56999999999999995</v>
      </c>
      <c r="D788" s="6">
        <v>0.9</v>
      </c>
      <c r="E788" s="6">
        <v>13.9</v>
      </c>
      <c r="F788" s="1">
        <f t="shared" si="60"/>
        <v>1936.5416666666072</v>
      </c>
      <c r="G788" s="17">
        <f>G782*6/12+G794*6/12</f>
        <v>2.665</v>
      </c>
      <c r="H788" s="1">
        <f>B788*$E$1867/E788</f>
        <v>375.14740215827339</v>
      </c>
      <c r="I788" s="1">
        <f>C788*$E$1867/E788</f>
        <v>13.742546223021582</v>
      </c>
      <c r="J788" s="26">
        <f t="shared" si="61"/>
        <v>11765.026681766181</v>
      </c>
      <c r="K788" s="1">
        <f>D788*$E$1867/E788</f>
        <v>21.698757194244603</v>
      </c>
      <c r="L788" s="26">
        <f t="shared" si="59"/>
        <v>680.4964019016428</v>
      </c>
      <c r="M788" s="10">
        <f t="shared" si="57"/>
        <v>19.36046451231913</v>
      </c>
      <c r="N788" s="4">
        <f t="shared" si="58"/>
        <v>25.838977130610257</v>
      </c>
      <c r="O788" s="36">
        <f>1/M788-(G788/100-(((E788/E668)^(1/10))-1))</f>
        <v>2.2336429359787607E-3</v>
      </c>
      <c r="P788" s="48">
        <v>0.15</v>
      </c>
      <c r="R788" s="30"/>
      <c r="S788" s="30"/>
    </row>
    <row r="789" spans="1:19" ht="13" x14ac:dyDescent="0.3">
      <c r="A789" s="52" t="s">
        <v>805</v>
      </c>
      <c r="B789" s="6">
        <v>15.87</v>
      </c>
      <c r="C789" s="1">
        <v>0.59</v>
      </c>
      <c r="D789" s="6">
        <v>0.92</v>
      </c>
      <c r="E789" s="6">
        <v>14</v>
      </c>
      <c r="F789" s="1">
        <f t="shared" si="60"/>
        <v>1936.6249999999404</v>
      </c>
      <c r="G789" s="17">
        <f>G782*5/12+G794*7/12</f>
        <v>2.6675000000000004</v>
      </c>
      <c r="H789" s="1">
        <f>B789*$E$1867/E789</f>
        <v>379.88840839285712</v>
      </c>
      <c r="I789" s="1">
        <f>C789*$E$1867/E789</f>
        <v>14.123135535714285</v>
      </c>
      <c r="J789" s="26">
        <f t="shared" si="61"/>
        <v>11950.619473599632</v>
      </c>
      <c r="K789" s="1">
        <f>D789*$E$1867/E789</f>
        <v>22.022516428571429</v>
      </c>
      <c r="L789" s="26">
        <f t="shared" si="59"/>
        <v>692.78953470142801</v>
      </c>
      <c r="M789" s="10">
        <f t="shared" si="57"/>
        <v>19.623060162983752</v>
      </c>
      <c r="N789" s="4">
        <f t="shared" si="58"/>
        <v>26.133390803641145</v>
      </c>
      <c r="O789" s="36">
        <f>1/M789-(G789/100-(((E789/E669)^(1/10))-1))</f>
        <v>2.7788018202817913E-3</v>
      </c>
      <c r="P789" s="48">
        <v>0.2</v>
      </c>
      <c r="R789" s="30"/>
      <c r="S789" s="30"/>
    </row>
    <row r="790" spans="1:19" ht="13" x14ac:dyDescent="0.3">
      <c r="A790" s="52" t="s">
        <v>806</v>
      </c>
      <c r="B790" s="6">
        <v>16.05</v>
      </c>
      <c r="C790" s="1">
        <v>0.61</v>
      </c>
      <c r="D790" s="6">
        <v>0.94</v>
      </c>
      <c r="E790" s="6">
        <v>14</v>
      </c>
      <c r="F790" s="1">
        <f t="shared" si="60"/>
        <v>1936.7083333332737</v>
      </c>
      <c r="G790" s="17">
        <f>G782*4/12+G794*8/12</f>
        <v>2.67</v>
      </c>
      <c r="H790" s="1">
        <f>B790*$E$1867/E790</f>
        <v>384.19716160714285</v>
      </c>
      <c r="I790" s="1">
        <f>C790*$E$1867/E790</f>
        <v>14.601885892857142</v>
      </c>
      <c r="J790" s="26">
        <f t="shared" si="61"/>
        <v>12124.444384027436</v>
      </c>
      <c r="K790" s="1">
        <f>D790*$E$1867/E790</f>
        <v>22.501266785714282</v>
      </c>
      <c r="L790" s="26">
        <f t="shared" si="59"/>
        <v>710.09206984335128</v>
      </c>
      <c r="M790" s="10">
        <f t="shared" si="57"/>
        <v>19.862024243287625</v>
      </c>
      <c r="N790" s="4">
        <f t="shared" si="58"/>
        <v>26.395710211981683</v>
      </c>
      <c r="O790" s="36">
        <f>1/M790-(G790/100-(((E790/E670)^(1/10))-1))</f>
        <v>1.580104129227114E-3</v>
      </c>
      <c r="P790" s="48">
        <v>0.16</v>
      </c>
      <c r="R790" s="30"/>
      <c r="S790" s="30"/>
    </row>
    <row r="791" spans="1:19" ht="13" x14ac:dyDescent="0.3">
      <c r="A791" s="52" t="s">
        <v>807</v>
      </c>
      <c r="B791" s="6">
        <v>16.89</v>
      </c>
      <c r="C791" s="1">
        <v>0.64666699999999999</v>
      </c>
      <c r="D791" s="6">
        <v>0.96666700000000005</v>
      </c>
      <c r="E791" s="6">
        <v>14</v>
      </c>
      <c r="F791" s="1">
        <f t="shared" si="60"/>
        <v>1936.7916666666069</v>
      </c>
      <c r="G791" s="17">
        <f>G782*3/12+G794*9/12</f>
        <v>2.6725000000000003</v>
      </c>
      <c r="H791" s="1">
        <f>B791*$E$1867/E791</f>
        <v>404.30467660714288</v>
      </c>
      <c r="I791" s="1">
        <f>C791*$E$1867/E791</f>
        <v>15.479602860124999</v>
      </c>
      <c r="J791" s="26">
        <f t="shared" si="61"/>
        <v>12799.703353225166</v>
      </c>
      <c r="K791" s="1">
        <f>D791*$E$1867/E791</f>
        <v>23.139608574410715</v>
      </c>
      <c r="L791" s="26">
        <f t="shared" si="59"/>
        <v>732.56665727365964</v>
      </c>
      <c r="M791" s="10">
        <f t="shared" si="57"/>
        <v>20.91309185253311</v>
      </c>
      <c r="N791" s="4">
        <f t="shared" si="58"/>
        <v>27.733337274008402</v>
      </c>
      <c r="O791" s="36">
        <f>1/M791-(G791/100-(((E791/E671)^(1/10))-1))</f>
        <v>-1.5323636777370628E-3</v>
      </c>
      <c r="P791" s="48">
        <v>0.13</v>
      </c>
      <c r="R791" s="30"/>
      <c r="S791" s="30"/>
    </row>
    <row r="792" spans="1:19" ht="13" x14ac:dyDescent="0.3">
      <c r="A792" s="52" t="s">
        <v>808</v>
      </c>
      <c r="B792" s="6">
        <v>17.36</v>
      </c>
      <c r="C792" s="1">
        <v>0.68333299999999997</v>
      </c>
      <c r="D792" s="6">
        <v>0.99333300000000002</v>
      </c>
      <c r="E792" s="6">
        <v>14</v>
      </c>
      <c r="F792" s="1">
        <f t="shared" si="60"/>
        <v>1936.8749999999402</v>
      </c>
      <c r="G792" s="17">
        <f>G782*2/12+G794*10/12</f>
        <v>2.6749999999999998</v>
      </c>
      <c r="H792" s="1">
        <f>B792*$E$1867/E792</f>
        <v>415.55531000000002</v>
      </c>
      <c r="I792" s="1">
        <f>C792*$E$1867/E792</f>
        <v>16.357295889874997</v>
      </c>
      <c r="J792" s="26">
        <f t="shared" si="61"/>
        <v>13199.03622575161</v>
      </c>
      <c r="K792" s="1">
        <f>D792*$E$1867/E792</f>
        <v>23.777926425589289</v>
      </c>
      <c r="L792" s="26">
        <f t="shared" si="59"/>
        <v>755.24413889599793</v>
      </c>
      <c r="M792" s="10">
        <f t="shared" si="57"/>
        <v>21.499765341024148</v>
      </c>
      <c r="N792" s="4">
        <f t="shared" si="58"/>
        <v>28.451474941810432</v>
      </c>
      <c r="O792" s="36">
        <f>1/M792-(G792/100-(((E792/E672)^(1/10))-1))</f>
        <v>-3.4157639075072868E-3</v>
      </c>
      <c r="P792" s="48">
        <v>0.11</v>
      </c>
      <c r="R792" s="30"/>
      <c r="S792" s="30"/>
    </row>
    <row r="793" spans="1:19" ht="13" x14ac:dyDescent="0.3">
      <c r="A793" s="52" t="s">
        <v>809</v>
      </c>
      <c r="B793" s="6">
        <v>17.059999999999999</v>
      </c>
      <c r="C793" s="1">
        <v>0.72</v>
      </c>
      <c r="D793" s="6">
        <v>1.02</v>
      </c>
      <c r="E793" s="6">
        <v>14</v>
      </c>
      <c r="F793" s="1">
        <f t="shared" si="60"/>
        <v>1936.9583333332735</v>
      </c>
      <c r="G793" s="17">
        <f>G782*1/12+G794*11/12</f>
        <v>2.6774999999999998</v>
      </c>
      <c r="H793" s="1">
        <f>B793*$E$1867/E793</f>
        <v>408.37405464285712</v>
      </c>
      <c r="I793" s="1">
        <f>C793*$E$1867/E793</f>
        <v>17.235012857142856</v>
      </c>
      <c r="J793" s="26">
        <f t="shared" si="61"/>
        <v>13016.561070556885</v>
      </c>
      <c r="K793" s="1">
        <f>D793*$E$1867/E793</f>
        <v>24.416268214285715</v>
      </c>
      <c r="L793" s="26">
        <f t="shared" si="59"/>
        <v>778.24691043188886</v>
      </c>
      <c r="M793" s="10">
        <f t="shared" si="57"/>
        <v>21.125663548155426</v>
      </c>
      <c r="N793" s="4">
        <f t="shared" si="58"/>
        <v>27.902761077390387</v>
      </c>
      <c r="O793" s="36">
        <f>1/M793-(G793/100-(((E793/E673)^(1/10))-1))</f>
        <v>-2.6171082025578454E-3</v>
      </c>
      <c r="P793" s="48">
        <v>0.12</v>
      </c>
      <c r="R793" s="30"/>
      <c r="S793" s="30"/>
    </row>
    <row r="794" spans="1:19" ht="13" x14ac:dyDescent="0.3">
      <c r="A794" s="52" t="s">
        <v>810</v>
      </c>
      <c r="B794" s="6">
        <v>17.59</v>
      </c>
      <c r="C794" s="1">
        <v>0.73</v>
      </c>
      <c r="D794" s="6">
        <v>1.05</v>
      </c>
      <c r="E794" s="6">
        <v>14.1</v>
      </c>
      <c r="F794" s="1">
        <f t="shared" si="60"/>
        <v>1937.0416666666067</v>
      </c>
      <c r="G794" s="17">
        <v>2.68</v>
      </c>
      <c r="H794" s="1">
        <f>B794*$E$1867/E794</f>
        <v>418.07469131205676</v>
      </c>
      <c r="I794" s="1">
        <f>C794*$E$1867/E794</f>
        <v>17.350456205673758</v>
      </c>
      <c r="J794" s="26">
        <f t="shared" si="61"/>
        <v>13371.846135099993</v>
      </c>
      <c r="K794" s="1">
        <f>D794*$E$1867/E794</f>
        <v>24.956135638297873</v>
      </c>
      <c r="L794" s="26">
        <f t="shared" si="59"/>
        <v>798.20571016799283</v>
      </c>
      <c r="M794" s="10">
        <f t="shared" si="57"/>
        <v>21.618741582953504</v>
      </c>
      <c r="N794" s="4">
        <f t="shared" si="58"/>
        <v>28.495637926638693</v>
      </c>
      <c r="O794" s="36">
        <f>1/M794-(G794/100-(((E794/E674)^(1/10))-1))</f>
        <v>-1.9147817965586497E-3</v>
      </c>
      <c r="P794" s="48">
        <v>0.17</v>
      </c>
      <c r="R794" s="30"/>
      <c r="S794" s="30"/>
    </row>
    <row r="795" spans="1:19" ht="13" x14ac:dyDescent="0.3">
      <c r="A795" s="52" t="s">
        <v>811</v>
      </c>
      <c r="B795" s="6">
        <v>18.11</v>
      </c>
      <c r="C795" s="1">
        <v>0.74</v>
      </c>
      <c r="D795" s="6">
        <v>1.08</v>
      </c>
      <c r="E795" s="6">
        <v>14.1</v>
      </c>
      <c r="F795" s="1">
        <f t="shared" si="60"/>
        <v>1937.12499999994</v>
      </c>
      <c r="G795" s="17">
        <f>G794*11/12+G806*1/12</f>
        <v>2.67</v>
      </c>
      <c r="H795" s="1">
        <f>B795*$E$1867/E795</f>
        <v>430.43392039007091</v>
      </c>
      <c r="I795" s="1">
        <f>C795*$E$1867/E795</f>
        <v>17.588133687943262</v>
      </c>
      <c r="J795" s="26">
        <f t="shared" si="61"/>
        <v>13814.026758669244</v>
      </c>
      <c r="K795" s="1">
        <f>D795*$E$1867/E795</f>
        <v>25.669168085106385</v>
      </c>
      <c r="L795" s="26">
        <f t="shared" si="59"/>
        <v>823.80722801561478</v>
      </c>
      <c r="M795" s="10">
        <f t="shared" si="57"/>
        <v>22.244221552805154</v>
      </c>
      <c r="N795" s="4">
        <f t="shared" si="58"/>
        <v>29.256928436697738</v>
      </c>
      <c r="O795" s="36">
        <f>1/M795-(G795/100-(((E795/E675)^(1/10))-1))</f>
        <v>-2.5544665829974819E-3</v>
      </c>
      <c r="P795" s="48">
        <v>0.15</v>
      </c>
      <c r="R795" s="30"/>
      <c r="S795" s="30"/>
    </row>
    <row r="796" spans="1:19" ht="13" x14ac:dyDescent="0.3">
      <c r="A796" s="52" t="s">
        <v>812</v>
      </c>
      <c r="B796" s="6">
        <v>18.09</v>
      </c>
      <c r="C796" s="1">
        <v>0.75</v>
      </c>
      <c r="D796" s="6">
        <v>1.1100000000000001</v>
      </c>
      <c r="E796" s="6">
        <v>14.2</v>
      </c>
      <c r="F796" s="1">
        <f t="shared" si="60"/>
        <v>1937.2083333332732</v>
      </c>
      <c r="G796" s="17">
        <f>G794*10/12+G806*2/12</f>
        <v>2.66</v>
      </c>
      <c r="H796" s="1">
        <f>B796*$E$1867/E796</f>
        <v>426.93068820422536</v>
      </c>
      <c r="I796" s="1">
        <f>C796*$E$1867/E796</f>
        <v>17.700277288732394</v>
      </c>
      <c r="J796" s="26">
        <f t="shared" si="61"/>
        <v>13748.934921909469</v>
      </c>
      <c r="K796" s="1">
        <f>D796*$E$1867/E796</f>
        <v>26.196410387323947</v>
      </c>
      <c r="L796" s="26">
        <f t="shared" si="59"/>
        <v>843.63282273739708</v>
      </c>
      <c r="M796" s="10">
        <f t="shared" si="57"/>
        <v>22.042197016050569</v>
      </c>
      <c r="N796" s="4">
        <f t="shared" si="58"/>
        <v>28.92836198628083</v>
      </c>
      <c r="O796" s="36">
        <f>1/M796-(G796/100-(((E796/E676)^(1/10))-1))</f>
        <v>-7.8524098742352444E-4</v>
      </c>
      <c r="P796" s="48">
        <v>0.38</v>
      </c>
      <c r="R796" s="30"/>
      <c r="S796" s="30"/>
    </row>
    <row r="797" spans="1:19" ht="13" x14ac:dyDescent="0.3">
      <c r="A797" s="52" t="s">
        <v>813</v>
      </c>
      <c r="B797" s="6">
        <v>17.010000000000002</v>
      </c>
      <c r="C797" s="1">
        <v>0.78</v>
      </c>
      <c r="D797" s="6">
        <v>1.1299999999999999</v>
      </c>
      <c r="E797" s="6">
        <v>14.3</v>
      </c>
      <c r="F797" s="1">
        <f t="shared" si="60"/>
        <v>1937.2916666666065</v>
      </c>
      <c r="G797" s="17">
        <f>G794*9/12+G806*3/12</f>
        <v>2.6500000000000004</v>
      </c>
      <c r="H797" s="1">
        <f>B797*$E$1867/E797</f>
        <v>398.63500017482517</v>
      </c>
      <c r="I797" s="1">
        <f>C797*$E$1867/E797</f>
        <v>18.279559090909089</v>
      </c>
      <c r="J797" s="26">
        <f t="shared" si="61"/>
        <v>12886.75312574957</v>
      </c>
      <c r="K797" s="1">
        <f>D797*$E$1867/E797</f>
        <v>26.481925349650343</v>
      </c>
      <c r="L797" s="26">
        <f t="shared" si="59"/>
        <v>856.08648042898358</v>
      </c>
      <c r="M797" s="10">
        <f t="shared" si="57"/>
        <v>20.556579457432854</v>
      </c>
      <c r="N797" s="4">
        <f t="shared" si="58"/>
        <v>26.928946868209692</v>
      </c>
      <c r="O797" s="36">
        <f>1/M797-(G797/100-(((E797/E677)^(1/10))-1))</f>
        <v>3.2817335242659243E-3</v>
      </c>
      <c r="P797" s="48">
        <v>0.56000000000000005</v>
      </c>
      <c r="R797" s="30"/>
      <c r="S797" s="30"/>
    </row>
    <row r="798" spans="1:19" ht="13" x14ac:dyDescent="0.3">
      <c r="A798" s="52" t="s">
        <v>814</v>
      </c>
      <c r="B798" s="6">
        <v>16.25</v>
      </c>
      <c r="C798" s="1">
        <v>0.81</v>
      </c>
      <c r="D798" s="6">
        <v>1.1499999999999999</v>
      </c>
      <c r="E798" s="6">
        <v>14.4</v>
      </c>
      <c r="F798" s="1">
        <f t="shared" si="60"/>
        <v>1937.3749999999397</v>
      </c>
      <c r="G798" s="17">
        <f>G794*8/12+G806*4/12</f>
        <v>2.64</v>
      </c>
      <c r="H798" s="1">
        <f>B798*$E$1867/E798</f>
        <v>378.17953559027779</v>
      </c>
      <c r="I798" s="1">
        <f>C798*$E$1867/E798</f>
        <v>18.850795312500001</v>
      </c>
      <c r="J798" s="26">
        <f t="shared" si="61"/>
        <v>12276.268028817551</v>
      </c>
      <c r="K798" s="1">
        <f>D798*$E$1867/E798</f>
        <v>26.763474826388887</v>
      </c>
      <c r="L798" s="26">
        <f t="shared" si="59"/>
        <v>868.78204511631884</v>
      </c>
      <c r="M798" s="10">
        <f t="shared" si="57"/>
        <v>19.474174686572102</v>
      </c>
      <c r="N798" s="4">
        <f t="shared" si="58"/>
        <v>25.472602466914214</v>
      </c>
      <c r="O798" s="36">
        <f>1/M798-(G798/100-(((E798/E678)^(1/10))-1))</f>
        <v>6.2037965103382206E-3</v>
      </c>
      <c r="P798" s="48">
        <v>0.41</v>
      </c>
      <c r="R798" s="30"/>
      <c r="S798" s="30"/>
    </row>
    <row r="799" spans="1:19" ht="13" x14ac:dyDescent="0.3">
      <c r="A799" s="52" t="s">
        <v>815</v>
      </c>
      <c r="B799" s="6">
        <v>15.64</v>
      </c>
      <c r="C799" s="1">
        <v>0.84</v>
      </c>
      <c r="D799" s="6">
        <v>1.17</v>
      </c>
      <c r="E799" s="6">
        <v>14.4</v>
      </c>
      <c r="F799" s="1">
        <f t="shared" si="60"/>
        <v>1937.458333333273</v>
      </c>
      <c r="G799" s="17">
        <f>G794*7/12+G806*5/12</f>
        <v>2.63</v>
      </c>
      <c r="H799" s="1">
        <f>B799*$E$1867/E799</f>
        <v>363.98325763888886</v>
      </c>
      <c r="I799" s="1">
        <f>C799*$E$1867/E799</f>
        <v>19.548972916666663</v>
      </c>
      <c r="J799" s="26">
        <f t="shared" si="61"/>
        <v>11868.318198936844</v>
      </c>
      <c r="K799" s="1">
        <f>D799*$E$1867/E799</f>
        <v>27.228926562499996</v>
      </c>
      <c r="L799" s="26">
        <f t="shared" si="59"/>
        <v>887.84733329642631</v>
      </c>
      <c r="M799" s="10">
        <f t="shared" si="57"/>
        <v>18.711659960364955</v>
      </c>
      <c r="N799" s="4">
        <f t="shared" si="58"/>
        <v>24.446563497204874</v>
      </c>
      <c r="O799" s="36">
        <f>1/M799-(G799/100-(((E799/E679)^(1/10))-1))</f>
        <v>7.2755469322765554E-3</v>
      </c>
      <c r="P799" s="48">
        <v>0.36</v>
      </c>
      <c r="R799" s="30"/>
      <c r="S799" s="30"/>
    </row>
    <row r="800" spans="1:19" ht="13" x14ac:dyDescent="0.3">
      <c r="A800" s="52" t="s">
        <v>816</v>
      </c>
      <c r="B800" s="6">
        <v>16.57</v>
      </c>
      <c r="C800" s="1">
        <v>0.81666700000000003</v>
      </c>
      <c r="D800" s="6">
        <v>1.1866699999999999</v>
      </c>
      <c r="E800" s="6">
        <v>14.5</v>
      </c>
      <c r="F800" s="1">
        <f t="shared" si="60"/>
        <v>1937.5416666666063</v>
      </c>
      <c r="G800" s="17">
        <f>G794*6/12+G806*6/12</f>
        <v>2.62</v>
      </c>
      <c r="H800" s="1">
        <f>B800*$E$1867/E800</f>
        <v>382.96726844827583</v>
      </c>
      <c r="I800" s="1">
        <f>C800*$E$1867/E800</f>
        <v>18.874878106327586</v>
      </c>
      <c r="J800" s="26">
        <f t="shared" si="61"/>
        <v>12538.612864424587</v>
      </c>
      <c r="K800" s="1">
        <f>D800*$E$1867/E800</f>
        <v>27.426419339137929</v>
      </c>
      <c r="L800" s="26">
        <f t="shared" si="59"/>
        <v>897.95991115429842</v>
      </c>
      <c r="M800" s="10">
        <f t="shared" si="57"/>
        <v>19.646723279607624</v>
      </c>
      <c r="N800" s="4">
        <f t="shared" si="58"/>
        <v>25.628756089453589</v>
      </c>
      <c r="O800" s="36">
        <f>1/M800-(G800/100-(((E800/E680)^(1/10))-1))</f>
        <v>7.19823778265994E-3</v>
      </c>
      <c r="P800" s="48">
        <v>0.28000000000000003</v>
      </c>
      <c r="R800" s="30"/>
      <c r="S800" s="30"/>
    </row>
    <row r="801" spans="1:19" ht="13" x14ac:dyDescent="0.3">
      <c r="A801" s="52" t="s">
        <v>817</v>
      </c>
      <c r="B801" s="6">
        <v>16.739999999999998</v>
      </c>
      <c r="C801" s="1">
        <v>0.79333299999999995</v>
      </c>
      <c r="D801" s="6">
        <v>1.20333</v>
      </c>
      <c r="E801" s="6">
        <v>14.5</v>
      </c>
      <c r="F801" s="1">
        <f t="shared" si="60"/>
        <v>1937.6249999999395</v>
      </c>
      <c r="G801" s="17">
        <f>G794*5/12+G806*7/12</f>
        <v>2.6100000000000003</v>
      </c>
      <c r="H801" s="1">
        <f>B801*$E$1867/E801</f>
        <v>386.8963231034482</v>
      </c>
      <c r="I801" s="1">
        <f>C801*$E$1867/E801</f>
        <v>18.335580686775863</v>
      </c>
      <c r="J801" s="26">
        <f t="shared" si="61"/>
        <v>12717.279458686296</v>
      </c>
      <c r="K801" s="1">
        <f>D801*$E$1867/E801</f>
        <v>27.811466695344826</v>
      </c>
      <c r="L801" s="26">
        <f t="shared" si="59"/>
        <v>914.16271750424039</v>
      </c>
      <c r="M801" s="10">
        <f t="shared" si="57"/>
        <v>19.806982577380957</v>
      </c>
      <c r="N801" s="4">
        <f t="shared" si="58"/>
        <v>25.793551964451112</v>
      </c>
      <c r="O801" s="36">
        <f>1/M801-(G801/100-(((E801/E681)^(1/10))-1))</f>
        <v>7.4561422622180934E-3</v>
      </c>
      <c r="P801" s="48">
        <v>0.28999999999999998</v>
      </c>
      <c r="R801" s="30"/>
      <c r="S801" s="30"/>
    </row>
    <row r="802" spans="1:19" ht="13" x14ac:dyDescent="0.3">
      <c r="A802" s="52" t="s">
        <v>818</v>
      </c>
      <c r="B802" s="6">
        <v>14.37</v>
      </c>
      <c r="C802" s="1">
        <v>0.77</v>
      </c>
      <c r="D802" s="6">
        <v>1.22</v>
      </c>
      <c r="E802" s="6">
        <v>14.6</v>
      </c>
      <c r="F802" s="1">
        <f t="shared" si="60"/>
        <v>1937.7083333332728</v>
      </c>
      <c r="G802" s="17">
        <f>G794*4/12+G806*8/12</f>
        <v>2.6</v>
      </c>
      <c r="H802" s="1">
        <f>B802*$E$1867/E802</f>
        <v>329.84587962328766</v>
      </c>
      <c r="I802" s="1">
        <f>C802*$E$1867/E802</f>
        <v>17.674413869863017</v>
      </c>
      <c r="J802" s="26">
        <f t="shared" si="61"/>
        <v>10890.444932047716</v>
      </c>
      <c r="K802" s="1">
        <f>D802*$E$1867/E802</f>
        <v>28.003616780821918</v>
      </c>
      <c r="L802" s="26">
        <f t="shared" si="59"/>
        <v>924.58892255380749</v>
      </c>
      <c r="M802" s="10">
        <f t="shared" si="57"/>
        <v>16.847882862705809</v>
      </c>
      <c r="N802" s="4">
        <f t="shared" si="58"/>
        <v>21.913400533669709</v>
      </c>
      <c r="O802" s="36">
        <f>1/M802-(G802/100-(((E802/E682)^(1/10))-1))</f>
        <v>1.6529295513579914E-2</v>
      </c>
      <c r="P802" s="48">
        <v>0.31</v>
      </c>
      <c r="R802" s="30"/>
      <c r="S802" s="30"/>
    </row>
    <row r="803" spans="1:19" ht="13" x14ac:dyDescent="0.3">
      <c r="A803" s="52" t="s">
        <v>819</v>
      </c>
      <c r="B803" s="6">
        <v>12.28</v>
      </c>
      <c r="C803" s="1">
        <v>0.78</v>
      </c>
      <c r="D803" s="6">
        <v>1.19</v>
      </c>
      <c r="E803" s="6">
        <v>14.6</v>
      </c>
      <c r="F803" s="1">
        <f t="shared" si="60"/>
        <v>1937.791666666606</v>
      </c>
      <c r="G803" s="17">
        <f>G794*3/12+G806*9/12</f>
        <v>2.59</v>
      </c>
      <c r="H803" s="1">
        <f>B803*$E$1867/E803</f>
        <v>281.87247054794517</v>
      </c>
      <c r="I803" s="1">
        <f>C803*$E$1867/E803</f>
        <v>17.903951712328766</v>
      </c>
      <c r="J803" s="26">
        <f t="shared" si="61"/>
        <v>9355.778892562912</v>
      </c>
      <c r="K803" s="1">
        <f>D803*$E$1867/E803</f>
        <v>27.315003253424656</v>
      </c>
      <c r="L803" s="26">
        <f t="shared" si="59"/>
        <v>906.62678193402826</v>
      </c>
      <c r="M803" s="10">
        <f t="shared" si="57"/>
        <v>14.361659574753357</v>
      </c>
      <c r="N803" s="4">
        <f t="shared" si="58"/>
        <v>18.67277487158368</v>
      </c>
      <c r="O803" s="36">
        <f>1/M803-(G803/100-(((E803/E683)^(1/10))-1))</f>
        <v>2.6337983197570601E-2</v>
      </c>
      <c r="P803" s="48">
        <v>0.2</v>
      </c>
      <c r="R803" s="30"/>
      <c r="S803" s="30"/>
    </row>
    <row r="804" spans="1:19" ht="13" x14ac:dyDescent="0.3">
      <c r="A804" s="52" t="s">
        <v>820</v>
      </c>
      <c r="B804" s="6">
        <v>11.2</v>
      </c>
      <c r="C804" s="1">
        <v>0.79</v>
      </c>
      <c r="D804" s="6">
        <v>1.1599999999999999</v>
      </c>
      <c r="E804" s="6">
        <v>14.5</v>
      </c>
      <c r="F804" s="1">
        <f t="shared" si="60"/>
        <v>1937.8749999999393</v>
      </c>
      <c r="G804" s="17">
        <f>G794*2/12+G806*10/12</f>
        <v>2.58</v>
      </c>
      <c r="H804" s="1">
        <f>B804*$E$1867/E804</f>
        <v>258.85536551724135</v>
      </c>
      <c r="I804" s="1">
        <f>C804*$E$1867/E804</f>
        <v>18.258548103448273</v>
      </c>
      <c r="J804" s="26">
        <f t="shared" si="61"/>
        <v>8642.3083641700687</v>
      </c>
      <c r="K804" s="1">
        <f>D804*$E$1867/E804</f>
        <v>26.810019999999998</v>
      </c>
      <c r="L804" s="26">
        <f t="shared" si="59"/>
        <v>895.09622343189994</v>
      </c>
      <c r="M804" s="10">
        <f t="shared" si="57"/>
        <v>13.158119166486067</v>
      </c>
      <c r="N804" s="4">
        <f t="shared" si="58"/>
        <v>17.1137180434607</v>
      </c>
      <c r="O804" s="36">
        <f>1/M804-(G804/100-(((E804/E684)^(1/10))-1))</f>
        <v>3.2697868622299411E-2</v>
      </c>
      <c r="P804" s="48">
        <v>0.09</v>
      </c>
      <c r="R804" s="30"/>
      <c r="S804" s="30"/>
    </row>
    <row r="805" spans="1:19" ht="13" x14ac:dyDescent="0.3">
      <c r="A805" s="52" t="s">
        <v>821</v>
      </c>
      <c r="B805" s="6">
        <v>11.02</v>
      </c>
      <c r="C805" s="1">
        <v>0.8</v>
      </c>
      <c r="D805" s="6">
        <v>1.1299999999999999</v>
      </c>
      <c r="E805" s="6">
        <v>14.4</v>
      </c>
      <c r="F805" s="1">
        <f t="shared" si="60"/>
        <v>1937.9583333332725</v>
      </c>
      <c r="G805" s="17">
        <f>G794*1/12+G806*11/12</f>
        <v>2.57</v>
      </c>
      <c r="H805" s="1">
        <f>B805*$E$1867/E805</f>
        <v>256.46390659722221</v>
      </c>
      <c r="I805" s="1">
        <f>C805*$E$1867/E805</f>
        <v>18.618069444444448</v>
      </c>
      <c r="J805" s="26">
        <f t="shared" si="61"/>
        <v>8614.2651595326952</v>
      </c>
      <c r="K805" s="1">
        <f>D805*$E$1867/E805</f>
        <v>26.298023090277773</v>
      </c>
      <c r="L805" s="26">
        <f t="shared" si="59"/>
        <v>883.31394104101139</v>
      </c>
      <c r="M805" s="10">
        <f t="shared" si="57"/>
        <v>13.008483033706142</v>
      </c>
      <c r="N805" s="4">
        <f t="shared" si="58"/>
        <v>16.928806001197081</v>
      </c>
      <c r="O805" s="36">
        <f>1/M805-(G805/100-(((E805/E685)^(1/10))-1))</f>
        <v>3.299238138244398E-2</v>
      </c>
      <c r="P805" s="48">
        <v>0.11</v>
      </c>
      <c r="R805" s="30"/>
      <c r="S805" s="30"/>
    </row>
    <row r="806" spans="1:19" ht="13" x14ac:dyDescent="0.3">
      <c r="A806" s="52" t="s">
        <v>822</v>
      </c>
      <c r="B806" s="6">
        <v>11.31</v>
      </c>
      <c r="C806" s="1">
        <v>0.79333299999999995</v>
      </c>
      <c r="D806" s="6">
        <v>1.07667</v>
      </c>
      <c r="E806" s="6">
        <v>14.2</v>
      </c>
      <c r="F806" s="1">
        <f t="shared" si="60"/>
        <v>1938.0416666666058</v>
      </c>
      <c r="G806" s="17">
        <v>2.56</v>
      </c>
      <c r="H806" s="1">
        <f>B806*$E$1867/E806</f>
        <v>266.9201815140845</v>
      </c>
      <c r="I806" s="1">
        <f>C806*$E$1867/E806</f>
        <v>18.722952109735918</v>
      </c>
      <c r="J806" s="26">
        <f t="shared" si="61"/>
        <v>9017.8833486382118</v>
      </c>
      <c r="K806" s="1">
        <f>D806*$E$1867/E806</f>
        <v>25.409810064612678</v>
      </c>
      <c r="L806" s="26">
        <f t="shared" si="59"/>
        <v>858.4690066293814</v>
      </c>
      <c r="M806" s="10">
        <f t="shared" si="57"/>
        <v>13.51146191856242</v>
      </c>
      <c r="N806" s="4">
        <f t="shared" si="58"/>
        <v>17.591202047422151</v>
      </c>
      <c r="O806" s="36">
        <f>1/M806-(G806/100-(((E806/E686)^(1/10))-1))</f>
        <v>2.885846681265361E-2</v>
      </c>
      <c r="P806" s="48">
        <v>0.1</v>
      </c>
      <c r="R806" s="30"/>
      <c r="S806" s="30"/>
    </row>
    <row r="807" spans="1:19" ht="13" x14ac:dyDescent="0.3">
      <c r="A807" s="52" t="s">
        <v>823</v>
      </c>
      <c r="B807" s="6">
        <v>11.04</v>
      </c>
      <c r="C807" s="1">
        <v>0.78666700000000001</v>
      </c>
      <c r="D807" s="6">
        <v>1.0233300000000001</v>
      </c>
      <c r="E807" s="6">
        <v>14.1</v>
      </c>
      <c r="F807" s="1">
        <f t="shared" si="60"/>
        <v>1938.1249999999391</v>
      </c>
      <c r="G807" s="17">
        <f>G806*11/12+G818*1/12</f>
        <v>2.5433333333333334</v>
      </c>
      <c r="H807" s="1">
        <f>B807*$E$1867/E807</f>
        <v>262.39594042553188</v>
      </c>
      <c r="I807" s="1">
        <f>C807*$E$1867/E807</f>
        <v>18.697303194450356</v>
      </c>
      <c r="J807" s="26">
        <f t="shared" si="61"/>
        <v>8917.6727290034705</v>
      </c>
      <c r="K807" s="1">
        <f>D807*$E$1867/E807</f>
        <v>24.32224979308511</v>
      </c>
      <c r="L807" s="26">
        <f t="shared" si="59"/>
        <v>826.60525668216712</v>
      </c>
      <c r="M807" s="10">
        <f t="shared" si="57"/>
        <v>13.26307623646087</v>
      </c>
      <c r="N807" s="4">
        <f t="shared" si="58"/>
        <v>17.27813115769796</v>
      </c>
      <c r="O807" s="36">
        <f>1/M807-(G807/100-(((E807/E687)^(1/10))-1))</f>
        <v>3.0858458141780884E-2</v>
      </c>
      <c r="P807" s="48">
        <v>0.08</v>
      </c>
      <c r="R807" s="30"/>
      <c r="S807" s="30"/>
    </row>
    <row r="808" spans="1:19" ht="13" x14ac:dyDescent="0.3">
      <c r="A808" s="52" t="s">
        <v>824</v>
      </c>
      <c r="B808" s="6">
        <v>10.31</v>
      </c>
      <c r="C808" s="1">
        <v>0.78</v>
      </c>
      <c r="D808" s="6">
        <v>0.97</v>
      </c>
      <c r="E808" s="6">
        <v>14.1</v>
      </c>
      <c r="F808" s="1">
        <f t="shared" si="60"/>
        <v>1938.2083333332723</v>
      </c>
      <c r="G808" s="17">
        <f>G806*10/12+G818*2/12</f>
        <v>2.5266666666666664</v>
      </c>
      <c r="H808" s="1">
        <f>B808*$E$1867/E808</f>
        <v>245.04548421985817</v>
      </c>
      <c r="I808" s="1">
        <f>C808*$E$1867/E808</f>
        <v>18.538843617021278</v>
      </c>
      <c r="J808" s="26">
        <f t="shared" si="61"/>
        <v>8380.5121887147652</v>
      </c>
      <c r="K808" s="1">
        <f>D808*$E$1867/E808</f>
        <v>23.054715780141844</v>
      </c>
      <c r="L808" s="26">
        <f t="shared" si="59"/>
        <v>788.46719913223296</v>
      </c>
      <c r="M808" s="10">
        <f t="shared" si="57"/>
        <v>12.377286234697687</v>
      </c>
      <c r="N808" s="4">
        <f t="shared" si="58"/>
        <v>16.140609995378348</v>
      </c>
      <c r="O808" s="36">
        <f>1/M808-(G808/100-(((E808/E688)^(1/10))-1))</f>
        <v>3.6420989784192101E-2</v>
      </c>
      <c r="P808" s="48">
        <v>0.08</v>
      </c>
      <c r="R808" s="30"/>
      <c r="S808" s="30"/>
    </row>
    <row r="809" spans="1:19" ht="13" x14ac:dyDescent="0.3">
      <c r="A809" s="52" t="s">
        <v>825</v>
      </c>
      <c r="B809" s="6">
        <v>9.89</v>
      </c>
      <c r="C809" s="1">
        <v>0.76666699999999999</v>
      </c>
      <c r="D809" s="6">
        <v>0.90333300000000005</v>
      </c>
      <c r="E809" s="6">
        <v>14.2</v>
      </c>
      <c r="F809" s="1">
        <f t="shared" si="60"/>
        <v>1938.2916666666056</v>
      </c>
      <c r="G809" s="17">
        <f>G806*9/12+G818*3/12</f>
        <v>2.5099999999999998</v>
      </c>
      <c r="H809" s="1">
        <f>B809*$E$1867/E809</f>
        <v>233.40765651408455</v>
      </c>
      <c r="I809" s="1">
        <f>C809*$E$1867/E809</f>
        <v>18.093624650827465</v>
      </c>
      <c r="J809" s="26">
        <f t="shared" si="61"/>
        <v>8034.0671043869161</v>
      </c>
      <c r="K809" s="1">
        <f>D809*$E$1867/E809</f>
        <v>21.318992778750005</v>
      </c>
      <c r="L809" s="26">
        <f t="shared" si="59"/>
        <v>733.81576740213814</v>
      </c>
      <c r="M809" s="10">
        <f t="shared" si="57"/>
        <v>11.789517720684184</v>
      </c>
      <c r="N809" s="4">
        <f t="shared" si="58"/>
        <v>15.39361014319844</v>
      </c>
      <c r="O809" s="36">
        <f>1/M809-(G809/100-(((E809/E689)^(1/10))-1))</f>
        <v>4.1309073176831634E-2</v>
      </c>
      <c r="P809" s="48">
        <v>0.09</v>
      </c>
      <c r="R809" s="30"/>
      <c r="S809" s="30"/>
    </row>
    <row r="810" spans="1:19" ht="13" x14ac:dyDescent="0.3">
      <c r="A810" s="52" t="s">
        <v>826</v>
      </c>
      <c r="B810" s="6">
        <v>9.98</v>
      </c>
      <c r="C810" s="1">
        <v>0.75333300000000003</v>
      </c>
      <c r="D810" s="6">
        <v>0.83666700000000005</v>
      </c>
      <c r="E810" s="6">
        <v>14.1</v>
      </c>
      <c r="F810" s="1">
        <f t="shared" si="60"/>
        <v>1938.3749999999388</v>
      </c>
      <c r="G810" s="17">
        <f>G806*8/12+G818*4/12</f>
        <v>2.4933333333333332</v>
      </c>
      <c r="H810" s="1">
        <f>B810*$E$1867/E810</f>
        <v>237.20212730496456</v>
      </c>
      <c r="I810" s="1">
        <f>C810*$E$1867/E810</f>
        <v>17.905029075053193</v>
      </c>
      <c r="J810" s="26">
        <f t="shared" si="61"/>
        <v>8216.0343572402999</v>
      </c>
      <c r="K810" s="1">
        <f>D810*$E$1867/E810</f>
        <v>19.885690605797873</v>
      </c>
      <c r="L810" s="26">
        <f t="shared" si="59"/>
        <v>688.78605386464631</v>
      </c>
      <c r="M810" s="10">
        <f t="shared" si="57"/>
        <v>11.992275930545693</v>
      </c>
      <c r="N810" s="4">
        <f t="shared" si="58"/>
        <v>15.677821270315913</v>
      </c>
      <c r="O810" s="36">
        <f>1/M810-(G810/100-(((E810/E690)^(1/10))-1))</f>
        <v>3.8776390744273179E-2</v>
      </c>
      <c r="P810" s="48">
        <v>0.05</v>
      </c>
      <c r="R810" s="30"/>
      <c r="S810" s="30"/>
    </row>
    <row r="811" spans="1:19" ht="13" x14ac:dyDescent="0.3">
      <c r="A811" s="52" t="s">
        <v>827</v>
      </c>
      <c r="B811" s="6">
        <v>10.210000000000001</v>
      </c>
      <c r="C811" s="1">
        <v>0.74</v>
      </c>
      <c r="D811" s="6">
        <v>0.77</v>
      </c>
      <c r="E811" s="6">
        <v>14.1</v>
      </c>
      <c r="F811" s="1">
        <f t="shared" si="60"/>
        <v>1938.4583333332721</v>
      </c>
      <c r="G811" s="17">
        <f>G806*7/12+G818*5/12</f>
        <v>2.4766666666666666</v>
      </c>
      <c r="H811" s="1">
        <f>B811*$E$1867/E811</f>
        <v>242.66870939716316</v>
      </c>
      <c r="I811" s="1">
        <f>C811*$E$1867/E811</f>
        <v>17.588133687943262</v>
      </c>
      <c r="J811" s="26">
        <f t="shared" si="61"/>
        <v>8456.1489217889066</v>
      </c>
      <c r="K811" s="1">
        <f>D811*$E$1867/E811</f>
        <v>18.301166134751774</v>
      </c>
      <c r="L811" s="26">
        <f t="shared" si="59"/>
        <v>637.73111359230734</v>
      </c>
      <c r="M811" s="10">
        <f t="shared" si="57"/>
        <v>12.288966307788129</v>
      </c>
      <c r="N811" s="4">
        <f t="shared" si="58"/>
        <v>16.083606052598881</v>
      </c>
      <c r="O811" s="36">
        <f>1/M811-(G811/100-(((E811/E691)^(1/10))-1))</f>
        <v>3.7501644440433156E-2</v>
      </c>
      <c r="P811" s="48">
        <v>0.05</v>
      </c>
      <c r="R811" s="30"/>
      <c r="S811" s="30"/>
    </row>
    <row r="812" spans="1:19" ht="13" x14ac:dyDescent="0.3">
      <c r="A812" s="52" t="s">
        <v>828</v>
      </c>
      <c r="B812" s="6">
        <v>12.24</v>
      </c>
      <c r="C812" s="1">
        <v>0.71333299999999999</v>
      </c>
      <c r="D812" s="6">
        <v>0.72</v>
      </c>
      <c r="E812" s="6">
        <v>14.1</v>
      </c>
      <c r="F812" s="1">
        <f t="shared" si="60"/>
        <v>1938.5416666666054</v>
      </c>
      <c r="G812" s="17">
        <f>G806*6/12+G818*6/12</f>
        <v>2.46</v>
      </c>
      <c r="H812" s="1">
        <f>B812*$E$1867/E812</f>
        <v>290.91723829787236</v>
      </c>
      <c r="I812" s="1">
        <f>C812*$E$1867/E812</f>
        <v>16.954319145975177</v>
      </c>
      <c r="J812" s="26">
        <f t="shared" si="61"/>
        <v>10186.673226503273</v>
      </c>
      <c r="K812" s="1">
        <f>D812*$E$1867/E812</f>
        <v>17.112778723404254</v>
      </c>
      <c r="L812" s="26">
        <f t="shared" si="59"/>
        <v>599.21607214725134</v>
      </c>
      <c r="M812" s="10">
        <f t="shared" si="57"/>
        <v>14.770328017492067</v>
      </c>
      <c r="N812" s="4">
        <f t="shared" si="58"/>
        <v>19.332142114203585</v>
      </c>
      <c r="O812" s="36">
        <f>1/M812-(G812/100-(((E812/E692)^(1/10))-1))</f>
        <v>2.3997805336053363E-2</v>
      </c>
      <c r="P812" s="48">
        <v>7.0000000000000007E-2</v>
      </c>
      <c r="R812" s="30"/>
      <c r="S812" s="30"/>
    </row>
    <row r="813" spans="1:19" ht="13" x14ac:dyDescent="0.3">
      <c r="A813" s="52" t="s">
        <v>829</v>
      </c>
      <c r="B813" s="6">
        <v>12.31</v>
      </c>
      <c r="C813" s="1">
        <v>0.68666700000000003</v>
      </c>
      <c r="D813" s="6">
        <v>0.67</v>
      </c>
      <c r="E813" s="6">
        <v>14.1</v>
      </c>
      <c r="F813" s="1">
        <f t="shared" si="60"/>
        <v>1938.6249999999386</v>
      </c>
      <c r="G813" s="17">
        <f>G806*5/12+G818*7/12</f>
        <v>2.4433333333333334</v>
      </c>
      <c r="H813" s="1">
        <f>B813*$E$1867/E813</f>
        <v>292.58098067375892</v>
      </c>
      <c r="I813" s="1">
        <f>C813*$E$1867/E813</f>
        <v>16.320528371755319</v>
      </c>
      <c r="J813" s="26">
        <f t="shared" si="61"/>
        <v>10292.55325002374</v>
      </c>
      <c r="K813" s="1">
        <f>D813*$E$1867/E813</f>
        <v>15.924391312056738</v>
      </c>
      <c r="L813" s="26">
        <f t="shared" si="59"/>
        <v>560.19583082988663</v>
      </c>
      <c r="M813" s="10">
        <f t="shared" si="57"/>
        <v>14.903588512604372</v>
      </c>
      <c r="N813" s="4">
        <f t="shared" si="58"/>
        <v>19.50514046526234</v>
      </c>
      <c r="O813" s="36">
        <f>1/M813-(G813/100-(((E813/E693)^(1/10))-1))</f>
        <v>2.3559102649396799E-2</v>
      </c>
      <c r="P813" s="48">
        <v>0.06</v>
      </c>
      <c r="R813" s="30"/>
      <c r="S813" s="30"/>
    </row>
    <row r="814" spans="1:19" ht="13" x14ac:dyDescent="0.3">
      <c r="A814" s="52" t="s">
        <v>830</v>
      </c>
      <c r="B814" s="6">
        <v>11.75</v>
      </c>
      <c r="C814" s="1">
        <v>0.66</v>
      </c>
      <c r="D814" s="6">
        <v>0.62</v>
      </c>
      <c r="E814" s="6">
        <v>14.1</v>
      </c>
      <c r="F814" s="1">
        <f t="shared" si="60"/>
        <v>1938.7083333332719</v>
      </c>
      <c r="G814" s="17">
        <f>G806*4/12+G818*8/12</f>
        <v>2.4266666666666667</v>
      </c>
      <c r="H814" s="1">
        <f>B814*$E$1867/E814</f>
        <v>279.27104166666669</v>
      </c>
      <c r="I814" s="1">
        <f>C814*$E$1867/E814</f>
        <v>15.686713829787235</v>
      </c>
      <c r="J814" s="26">
        <f t="shared" si="61"/>
        <v>9870.3160939504651</v>
      </c>
      <c r="K814" s="1">
        <f>D814*$E$1867/E814</f>
        <v>14.736003900709219</v>
      </c>
      <c r="L814" s="26">
        <f t="shared" si="59"/>
        <v>520.81667899993931</v>
      </c>
      <c r="M814" s="10">
        <f t="shared" si="57"/>
        <v>14.282330508639975</v>
      </c>
      <c r="N814" s="4">
        <f t="shared" si="58"/>
        <v>18.692886470097669</v>
      </c>
      <c r="O814" s="36">
        <f>1/M814-(G814/100-(((E814/E694)^(1/10))-1))</f>
        <v>2.5504494672704089E-2</v>
      </c>
      <c r="P814" s="48">
        <v>0.08</v>
      </c>
      <c r="R814" s="30"/>
      <c r="S814" s="30"/>
    </row>
    <row r="815" spans="1:19" ht="13" x14ac:dyDescent="0.3">
      <c r="A815" s="52" t="s">
        <v>831</v>
      </c>
      <c r="B815" s="6">
        <v>13.06</v>
      </c>
      <c r="C815" s="1">
        <v>0.61</v>
      </c>
      <c r="D815" s="6">
        <v>0.62666699999999997</v>
      </c>
      <c r="E815" s="6">
        <v>14</v>
      </c>
      <c r="F815" s="1">
        <f t="shared" si="60"/>
        <v>1938.7916666666051</v>
      </c>
      <c r="G815" s="17">
        <f>G806*3/12+G818*9/12</f>
        <v>2.4099999999999997</v>
      </c>
      <c r="H815" s="1">
        <f>B815*$E$1867/E815</f>
        <v>312.62398321428572</v>
      </c>
      <c r="I815" s="1">
        <f>C815*$E$1867/E815</f>
        <v>14.601885892857142</v>
      </c>
      <c r="J815" s="26">
        <f t="shared" si="61"/>
        <v>11092.120221865904</v>
      </c>
      <c r="K815" s="1">
        <f>D815*$E$1867/E815</f>
        <v>15.000852502982141</v>
      </c>
      <c r="L815" s="26">
        <f t="shared" si="59"/>
        <v>532.24086547289733</v>
      </c>
      <c r="M815" s="10">
        <f t="shared" si="57"/>
        <v>16.061147643333445</v>
      </c>
      <c r="N815" s="4">
        <f t="shared" si="58"/>
        <v>21.007760685339598</v>
      </c>
      <c r="O815" s="36">
        <f>1/M815-(G815/100-(((E815/E695)^(1/10))-1))</f>
        <v>1.7787274932387638E-2</v>
      </c>
      <c r="P815" s="48">
        <v>0.05</v>
      </c>
      <c r="R815" s="30"/>
      <c r="S815" s="30"/>
    </row>
    <row r="816" spans="1:19" ht="13" x14ac:dyDescent="0.3">
      <c r="A816" s="52" t="s">
        <v>832</v>
      </c>
      <c r="B816" s="6">
        <v>13.07</v>
      </c>
      <c r="C816" s="1">
        <v>0.56000000000000005</v>
      </c>
      <c r="D816" s="6">
        <v>0.63333300000000003</v>
      </c>
      <c r="E816" s="6">
        <v>14</v>
      </c>
      <c r="F816" s="1">
        <f t="shared" si="60"/>
        <v>1938.8749999999384</v>
      </c>
      <c r="G816" s="17">
        <f>G806*2/12+G818*10/12</f>
        <v>2.3933333333333331</v>
      </c>
      <c r="H816" s="1">
        <f>B816*$E$1867/E816</f>
        <v>312.86335839285715</v>
      </c>
      <c r="I816" s="1">
        <f>C816*$E$1867/E816</f>
        <v>13.405010000000001</v>
      </c>
      <c r="J816" s="26">
        <f t="shared" si="61"/>
        <v>11140.24835963306</v>
      </c>
      <c r="K816" s="1">
        <f>D816*$E$1867/E816</f>
        <v>15.160419997017858</v>
      </c>
      <c r="L816" s="26">
        <f t="shared" si="59"/>
        <v>539.82302328626508</v>
      </c>
      <c r="M816" s="10">
        <f t="shared" si="57"/>
        <v>16.149571800715517</v>
      </c>
      <c r="N816" s="4">
        <f t="shared" si="58"/>
        <v>21.100739467650829</v>
      </c>
      <c r="O816" s="36">
        <f>1/M816-(G816/100-(((E816/E696)^(1/10))-1))</f>
        <v>1.7613036620319045E-2</v>
      </c>
      <c r="P816" s="48">
        <v>0.04</v>
      </c>
      <c r="R816" s="30"/>
      <c r="S816" s="30"/>
    </row>
    <row r="817" spans="1:19" ht="13" x14ac:dyDescent="0.3">
      <c r="A817" s="52" t="s">
        <v>833</v>
      </c>
      <c r="B817" s="6">
        <v>12.69</v>
      </c>
      <c r="C817" s="1">
        <v>0.51</v>
      </c>
      <c r="D817" s="6">
        <v>0.64</v>
      </c>
      <c r="E817" s="6">
        <v>14</v>
      </c>
      <c r="F817" s="1">
        <f t="shared" si="60"/>
        <v>1938.9583333332716</v>
      </c>
      <c r="G817" s="17">
        <f>G806*1/12+G818*11/12</f>
        <v>2.3766666666666665</v>
      </c>
      <c r="H817" s="1">
        <f>B817*$E$1867/E817</f>
        <v>303.76710160714282</v>
      </c>
      <c r="I817" s="1">
        <f>C817*$E$1867/E817</f>
        <v>12.208134107142858</v>
      </c>
      <c r="J817" s="26">
        <f t="shared" si="61"/>
        <v>10852.579360292877</v>
      </c>
      <c r="K817" s="1">
        <f>D817*$E$1867/E817</f>
        <v>15.32001142857143</v>
      </c>
      <c r="L817" s="26">
        <f t="shared" si="59"/>
        <v>547.33260761130362</v>
      </c>
      <c r="M817" s="10">
        <f t="shared" si="57"/>
        <v>15.756484438994006</v>
      </c>
      <c r="N817" s="4">
        <f t="shared" si="58"/>
        <v>20.558601794186647</v>
      </c>
      <c r="O817" s="36">
        <f>1/M817-(G817/100-(((E817/E697)^(1/10))-1))</f>
        <v>1.9895869007101587E-2</v>
      </c>
      <c r="P817" s="48">
        <v>0.03</v>
      </c>
      <c r="R817" s="30"/>
      <c r="S817" s="30"/>
    </row>
    <row r="818" spans="1:19" ht="13" x14ac:dyDescent="0.3">
      <c r="A818" s="52" t="s">
        <v>834</v>
      </c>
      <c r="B818" s="6">
        <v>12.5</v>
      </c>
      <c r="C818" s="1">
        <v>0.51333300000000004</v>
      </c>
      <c r="D818" s="6">
        <v>0.66333299999999995</v>
      </c>
      <c r="E818" s="6">
        <v>14</v>
      </c>
      <c r="F818" s="1">
        <f t="shared" si="60"/>
        <v>1939.0416666666049</v>
      </c>
      <c r="G818" s="17">
        <v>2.36</v>
      </c>
      <c r="H818" s="1">
        <f>B818*$E$1867/E818</f>
        <v>299.21897321428571</v>
      </c>
      <c r="I818" s="1">
        <f>C818*$E$1867/E818</f>
        <v>12.287917854160714</v>
      </c>
      <c r="J818" s="26">
        <f t="shared" si="61"/>
        <v>10726.673832182092</v>
      </c>
      <c r="K818" s="1">
        <f>D818*$E$1867/E818</f>
        <v>15.878545532732142</v>
      </c>
      <c r="L818" s="26">
        <f t="shared" si="59"/>
        <v>569.22853864982744</v>
      </c>
      <c r="M818" s="10">
        <f t="shared" si="57"/>
        <v>15.599634410919286</v>
      </c>
      <c r="N818" s="4">
        <f t="shared" si="58"/>
        <v>20.324966524351211</v>
      </c>
      <c r="O818" s="36">
        <f>1/M818-(G818/100-(((E818/E698)^(1/10))-1))</f>
        <v>2.0700668161540869E-2</v>
      </c>
      <c r="P818" s="48">
        <v>0.03</v>
      </c>
      <c r="R818" s="30"/>
      <c r="S818" s="30"/>
    </row>
    <row r="819" spans="1:19" ht="13" x14ac:dyDescent="0.3">
      <c r="A819" s="52" t="s">
        <v>835</v>
      </c>
      <c r="B819" s="6">
        <v>12.4</v>
      </c>
      <c r="C819" s="1">
        <v>0.51666699999999999</v>
      </c>
      <c r="D819" s="6">
        <v>0.68666700000000003</v>
      </c>
      <c r="E819" s="6">
        <v>13.9</v>
      </c>
      <c r="F819" s="1">
        <f t="shared" si="60"/>
        <v>1939.1249999999382</v>
      </c>
      <c r="G819" s="17">
        <f>G818*11/12+G830*1/12</f>
        <v>2.3474999999999997</v>
      </c>
      <c r="H819" s="1">
        <f>B819*$E$1867/E819</f>
        <v>298.96065467625897</v>
      </c>
      <c r="I819" s="1">
        <f>C819*$E$1867/E819</f>
        <v>12.456701981420862</v>
      </c>
      <c r="J819" s="26">
        <f t="shared" si="61"/>
        <v>10754.626659302476</v>
      </c>
      <c r="K819" s="1">
        <f>D819*$E$1867/E819</f>
        <v>16.555356118111511</v>
      </c>
      <c r="L819" s="26">
        <f t="shared" si="59"/>
        <v>595.55219550510117</v>
      </c>
      <c r="M819" s="10">
        <f t="shared" si="57"/>
        <v>15.66469692895477</v>
      </c>
      <c r="N819" s="4">
        <f t="shared" si="58"/>
        <v>20.378795316805153</v>
      </c>
      <c r="O819" s="36">
        <f>1/M819-(G819/100-(((E819/E699)^(1/10))-1))</f>
        <v>1.9857014083435126E-2</v>
      </c>
      <c r="P819" s="48">
        <v>0.03</v>
      </c>
      <c r="R819" s="30"/>
      <c r="S819" s="30"/>
    </row>
    <row r="820" spans="1:19" ht="13" x14ac:dyDescent="0.3">
      <c r="A820" s="52" t="s">
        <v>836</v>
      </c>
      <c r="B820" s="6">
        <v>12.39</v>
      </c>
      <c r="C820" s="1">
        <v>0.52</v>
      </c>
      <c r="D820" s="6">
        <v>0.71</v>
      </c>
      <c r="E820" s="6">
        <v>13.9</v>
      </c>
      <c r="F820" s="1">
        <f t="shared" si="60"/>
        <v>1939.2083333332714</v>
      </c>
      <c r="G820" s="17">
        <f>G818*10/12+G830*2/12</f>
        <v>2.335</v>
      </c>
      <c r="H820" s="1">
        <f>B820*$E$1867/E820</f>
        <v>298.71955737410076</v>
      </c>
      <c r="I820" s="1">
        <f>C820*$E$1867/E820</f>
        <v>12.537059712230215</v>
      </c>
      <c r="J820" s="26">
        <f t="shared" si="61"/>
        <v>10783.536946021033</v>
      </c>
      <c r="K820" s="1">
        <f>D820*$E$1867/E820</f>
        <v>17.117908453237408</v>
      </c>
      <c r="L820" s="26">
        <f t="shared" si="59"/>
        <v>617.94279513114861</v>
      </c>
      <c r="M820" s="10">
        <f t="shared" si="57"/>
        <v>15.729223743214233</v>
      </c>
      <c r="N820" s="4">
        <f t="shared" si="58"/>
        <v>20.428999210181154</v>
      </c>
      <c r="O820" s="36">
        <f>1/M820-(G820/100-(((E820/E700)^(1/10))-1))</f>
        <v>2.0294782447704843E-2</v>
      </c>
      <c r="P820" s="48">
        <v>0.03</v>
      </c>
      <c r="R820" s="30"/>
      <c r="S820" s="30"/>
    </row>
    <row r="821" spans="1:19" ht="13" x14ac:dyDescent="0.3">
      <c r="A821" s="52" t="s">
        <v>837</v>
      </c>
      <c r="B821" s="6">
        <v>10.83</v>
      </c>
      <c r="C821" s="1">
        <v>0.52333300000000005</v>
      </c>
      <c r="D821" s="6">
        <v>0.72666699999999995</v>
      </c>
      <c r="E821" s="6">
        <v>13.8</v>
      </c>
      <c r="F821" s="1">
        <f t="shared" si="60"/>
        <v>1939.2916666666047</v>
      </c>
      <c r="G821" s="17">
        <f>G818*9/12+G830*3/12</f>
        <v>2.3224999999999998</v>
      </c>
      <c r="H821" s="1">
        <f>B821*$E$1867/E821</f>
        <v>263.00046793478259</v>
      </c>
      <c r="I821" s="1">
        <f>C821*$E$1867/E821</f>
        <v>12.708848004221014</v>
      </c>
      <c r="J821" s="26">
        <f t="shared" si="61"/>
        <v>9532.3380079053004</v>
      </c>
      <c r="K821" s="1">
        <f>D821*$E$1867/E821</f>
        <v>17.646700003025362</v>
      </c>
      <c r="L821" s="26">
        <f t="shared" si="59"/>
        <v>639.59699567779512</v>
      </c>
      <c r="M821" s="10">
        <f t="shared" si="57"/>
        <v>13.916994579812407</v>
      </c>
      <c r="N821" s="4">
        <f t="shared" si="58"/>
        <v>18.052037760640449</v>
      </c>
      <c r="O821" s="36">
        <f>1/M821-(G821/100-(((E821/E701)^(1/10))-1))</f>
        <v>2.8569036467798167E-2</v>
      </c>
      <c r="P821" s="48">
        <v>0.03</v>
      </c>
      <c r="R821" s="30"/>
      <c r="S821" s="30"/>
    </row>
    <row r="822" spans="1:19" ht="13" x14ac:dyDescent="0.3">
      <c r="A822" s="52" t="s">
        <v>838</v>
      </c>
      <c r="B822" s="6">
        <v>11.23</v>
      </c>
      <c r="C822" s="1">
        <v>0.526667</v>
      </c>
      <c r="D822" s="6">
        <v>0.74333300000000002</v>
      </c>
      <c r="E822" s="6">
        <v>13.8</v>
      </c>
      <c r="F822" s="1">
        <f t="shared" si="60"/>
        <v>1939.3749999999379</v>
      </c>
      <c r="G822" s="17">
        <f>G818*8/12+G830*4/12</f>
        <v>2.31</v>
      </c>
      <c r="H822" s="1">
        <f>B822*$E$1867/E822</f>
        <v>272.71424329710146</v>
      </c>
      <c r="I822" s="1">
        <f>C822*$E$1867/E822</f>
        <v>12.789812321865941</v>
      </c>
      <c r="J822" s="26">
        <f t="shared" si="61"/>
        <v>9923.0396876494924</v>
      </c>
      <c r="K822" s="1">
        <f>D822*$E$1867/E822</f>
        <v>18.051424453496377</v>
      </c>
      <c r="L822" s="26">
        <f t="shared" si="59"/>
        <v>656.82305076932857</v>
      </c>
      <c r="M822" s="10">
        <f t="shared" si="57"/>
        <v>14.502929499657776</v>
      </c>
      <c r="N822" s="4">
        <f t="shared" si="58"/>
        <v>18.782552949801364</v>
      </c>
      <c r="O822" s="36">
        <f>1/M822-(G822/100-(((E822/E702)^(1/10))-1))</f>
        <v>2.5213062237963671E-2</v>
      </c>
      <c r="P822" s="48">
        <v>0.03</v>
      </c>
      <c r="R822" s="30"/>
      <c r="S822" s="30"/>
    </row>
    <row r="823" spans="1:19" ht="13" x14ac:dyDescent="0.3">
      <c r="A823" s="52" t="s">
        <v>839</v>
      </c>
      <c r="B823" s="6">
        <v>11.43</v>
      </c>
      <c r="C823" s="1">
        <v>0.53</v>
      </c>
      <c r="D823" s="6">
        <v>0.76</v>
      </c>
      <c r="E823" s="6">
        <v>13.8</v>
      </c>
      <c r="F823" s="1">
        <f t="shared" si="60"/>
        <v>1939.4583333332712</v>
      </c>
      <c r="G823" s="17">
        <f>G818*7/12+G830*5/12</f>
        <v>2.2975000000000003</v>
      </c>
      <c r="H823" s="1">
        <f>B823*$E$1867/E823</f>
        <v>277.57113097826084</v>
      </c>
      <c r="I823" s="1">
        <f>C823*$E$1867/E823</f>
        <v>12.870752355072463</v>
      </c>
      <c r="J823" s="26">
        <f t="shared" si="61"/>
        <v>10138.78995690456</v>
      </c>
      <c r="K823" s="1">
        <f>D823*$E$1867/E823</f>
        <v>18.456173188405796</v>
      </c>
      <c r="L823" s="26">
        <f t="shared" si="59"/>
        <v>674.14526397615623</v>
      </c>
      <c r="M823" s="10">
        <f t="shared" si="57"/>
        <v>14.83382892148979</v>
      </c>
      <c r="N823" s="4">
        <f t="shared" si="58"/>
        <v>19.177986644847671</v>
      </c>
      <c r="O823" s="36">
        <f>1/M823-(G823/100-(((E823/E703)^(1/10))-1))</f>
        <v>2.3225714827656514E-2</v>
      </c>
      <c r="P823" s="48">
        <v>0.03</v>
      </c>
      <c r="R823" s="30"/>
      <c r="S823" s="30"/>
    </row>
    <row r="824" spans="1:19" ht="13" x14ac:dyDescent="0.3">
      <c r="A824" s="52" t="s">
        <v>840</v>
      </c>
      <c r="B824" s="6">
        <v>11.71</v>
      </c>
      <c r="C824" s="1">
        <v>0.54</v>
      </c>
      <c r="D824" s="6">
        <v>0.776667</v>
      </c>
      <c r="E824" s="6">
        <v>13.8</v>
      </c>
      <c r="F824" s="1">
        <f t="shared" si="60"/>
        <v>1939.5416666666044</v>
      </c>
      <c r="G824" s="17">
        <f>G818*6/12+G830*6/12</f>
        <v>2.2850000000000001</v>
      </c>
      <c r="H824" s="1">
        <f>B824*$E$1867/E824</f>
        <v>284.37077373188407</v>
      </c>
      <c r="I824" s="1">
        <f>C824*$E$1867/E824</f>
        <v>13.113596739130434</v>
      </c>
      <c r="J824" s="26">
        <f t="shared" si="61"/>
        <v>10427.075760578575</v>
      </c>
      <c r="K824" s="1">
        <f>D824*$E$1867/E824</f>
        <v>18.860921923315214</v>
      </c>
      <c r="L824" s="26">
        <f t="shared" si="59"/>
        <v>691.57691287286741</v>
      </c>
      <c r="M824" s="10">
        <f t="shared" si="57"/>
        <v>15.270952598570258</v>
      </c>
      <c r="N824" s="4">
        <f t="shared" si="58"/>
        <v>19.706503149702879</v>
      </c>
      <c r="O824" s="36">
        <f>1/M824-(G824/100-(((E824/E704)^(1/10))-1))</f>
        <v>2.0283560367290822E-2</v>
      </c>
      <c r="P824" s="48">
        <v>0.04</v>
      </c>
      <c r="R824" s="30"/>
      <c r="S824" s="30"/>
    </row>
    <row r="825" spans="1:19" ht="13" x14ac:dyDescent="0.3">
      <c r="A825" s="52" t="s">
        <v>841</v>
      </c>
      <c r="B825" s="6">
        <v>11.54</v>
      </c>
      <c r="C825" s="1">
        <v>0.55000000000000004</v>
      </c>
      <c r="D825" s="6">
        <v>0.79333299999999995</v>
      </c>
      <c r="E825" s="6">
        <v>13.8</v>
      </c>
      <c r="F825" s="1">
        <f t="shared" si="60"/>
        <v>1939.6249999999377</v>
      </c>
      <c r="G825" s="17">
        <f>G818*5/12+G830*7/12</f>
        <v>2.2725</v>
      </c>
      <c r="H825" s="1">
        <f>B825*$E$1867/E825</f>
        <v>280.24241920289853</v>
      </c>
      <c r="I825" s="1">
        <f>C825*$E$1867/E825</f>
        <v>13.356441123188405</v>
      </c>
      <c r="J825" s="26">
        <f t="shared" si="61"/>
        <v>10316.512546208647</v>
      </c>
      <c r="K825" s="1">
        <f>D825*$E$1867/E825</f>
        <v>19.265646373786232</v>
      </c>
      <c r="L825" s="26">
        <f t="shared" si="59"/>
        <v>709.22269045245628</v>
      </c>
      <c r="M825" s="10">
        <f t="shared" si="57"/>
        <v>15.120082343333987</v>
      </c>
      <c r="N825" s="4">
        <f t="shared" si="58"/>
        <v>19.476322694888815</v>
      </c>
      <c r="O825" s="36">
        <f>1/M825-(G825/100-(((E825/E705)^(1/10))-1))</f>
        <v>2.1061966700567147E-2</v>
      </c>
      <c r="P825" s="48">
        <v>0.05</v>
      </c>
      <c r="R825" s="30"/>
      <c r="S825" s="30"/>
    </row>
    <row r="826" spans="1:19" ht="13" x14ac:dyDescent="0.3">
      <c r="A826" s="52" t="s">
        <v>842</v>
      </c>
      <c r="B826" s="6">
        <v>12.77</v>
      </c>
      <c r="C826" s="1">
        <v>0.56000000000000005</v>
      </c>
      <c r="D826" s="6">
        <v>0.81</v>
      </c>
      <c r="E826" s="6">
        <v>14.1</v>
      </c>
      <c r="F826" s="1">
        <f t="shared" si="60"/>
        <v>1939.708333333271</v>
      </c>
      <c r="G826" s="17">
        <f>G818*4/12+G830*8/12</f>
        <v>2.2599999999999998</v>
      </c>
      <c r="H826" s="1">
        <f>B826*$E$1867/E826</f>
        <v>303.51414485815604</v>
      </c>
      <c r="I826" s="1">
        <f>C826*$E$1867/E826</f>
        <v>13.309939007092199</v>
      </c>
      <c r="J826" s="26">
        <f t="shared" si="61"/>
        <v>11214.041656206125</v>
      </c>
      <c r="K826" s="1">
        <f>D826*$E$1867/E826</f>
        <v>19.251876063829791</v>
      </c>
      <c r="L826" s="26">
        <f t="shared" si="59"/>
        <v>711.30569628245598</v>
      </c>
      <c r="M826" s="10">
        <f t="shared" ref="M826:M889" si="62">H826/AVERAGE(K706:K825)</f>
        <v>16.452835577060966</v>
      </c>
      <c r="N826" s="4">
        <f t="shared" ref="N826:N889" si="63">J826/AVERAGE(L706:L825)</f>
        <v>21.145000339724806</v>
      </c>
      <c r="O826" s="36">
        <f>1/M826-(G826/100-(((E826/E706)^(1/10))-1))</f>
        <v>1.7934373511527414E-2</v>
      </c>
      <c r="P826" s="48">
        <v>0.14000000000000001</v>
      </c>
      <c r="R826" s="30"/>
      <c r="S826" s="30"/>
    </row>
    <row r="827" spans="1:19" ht="13" x14ac:dyDescent="0.3">
      <c r="A827" s="52" t="s">
        <v>843</v>
      </c>
      <c r="B827" s="6">
        <v>12.9</v>
      </c>
      <c r="C827" s="1">
        <v>0.57999999999999996</v>
      </c>
      <c r="D827" s="6">
        <v>0.84</v>
      </c>
      <c r="E827" s="6">
        <v>14</v>
      </c>
      <c r="F827" s="1">
        <f t="shared" si="60"/>
        <v>1939.7916666666042</v>
      </c>
      <c r="G827" s="17">
        <f>G818*3/12+G830*9/12</f>
        <v>2.2475000000000001</v>
      </c>
      <c r="H827" s="1">
        <f>B827*$E$1867/E827</f>
        <v>308.79398035714286</v>
      </c>
      <c r="I827" s="1">
        <f>C827*$E$1867/E827</f>
        <v>13.883760357142856</v>
      </c>
      <c r="J827" s="26">
        <f t="shared" si="61"/>
        <v>11451.864896722433</v>
      </c>
      <c r="K827" s="1">
        <f>D827*$E$1867/E827</f>
        <v>20.107514999999999</v>
      </c>
      <c r="L827" s="26">
        <f t="shared" si="59"/>
        <v>745.70283048425142</v>
      </c>
      <c r="M827" s="10">
        <f t="shared" si="62"/>
        <v>16.821204806265637</v>
      </c>
      <c r="N827" s="4">
        <f t="shared" si="63"/>
        <v>21.569692820968001</v>
      </c>
      <c r="O827" s="36">
        <f>1/M827-(G827/100-(((E827/E707)^(1/10))-1))</f>
        <v>1.6031261671560368E-2</v>
      </c>
      <c r="P827" s="48">
        <v>0.05</v>
      </c>
      <c r="R827" s="30"/>
      <c r="S827" s="30"/>
    </row>
    <row r="828" spans="1:19" ht="13" x14ac:dyDescent="0.3">
      <c r="A828" s="52" t="s">
        <v>844</v>
      </c>
      <c r="B828" s="6">
        <v>12.67</v>
      </c>
      <c r="C828" s="1">
        <v>0.6</v>
      </c>
      <c r="D828" s="6">
        <v>0.87</v>
      </c>
      <c r="E828" s="6">
        <v>14</v>
      </c>
      <c r="F828" s="1">
        <f t="shared" si="60"/>
        <v>1939.8749999999375</v>
      </c>
      <c r="G828" s="17">
        <f>G818*2/12+G830*10/12</f>
        <v>2.2350000000000003</v>
      </c>
      <c r="H828" s="1">
        <f>B828*$E$1867/E828</f>
        <v>303.28835124999995</v>
      </c>
      <c r="I828" s="1">
        <f>C828*$E$1867/E828</f>
        <v>14.362510714285714</v>
      </c>
      <c r="J828" s="26">
        <f t="shared" si="61"/>
        <v>11292.071433047235</v>
      </c>
      <c r="K828" s="1">
        <f>D828*$E$1867/E828</f>
        <v>20.825640535714285</v>
      </c>
      <c r="L828" s="26">
        <f t="shared" si="59"/>
        <v>775.38296343733987</v>
      </c>
      <c r="M828" s="10">
        <f t="shared" si="62"/>
        <v>16.599238509946634</v>
      </c>
      <c r="N828" s="4">
        <f t="shared" si="63"/>
        <v>21.237270183870674</v>
      </c>
      <c r="O828" s="36">
        <f>1/M828-(G828/100-(((E828/E708)^(1/10))-1))</f>
        <v>1.695121525565664E-2</v>
      </c>
      <c r="P828" s="48">
        <v>0.05</v>
      </c>
      <c r="R828" s="30"/>
      <c r="S828" s="30"/>
    </row>
    <row r="829" spans="1:19" ht="13" x14ac:dyDescent="0.3">
      <c r="A829" s="52" t="s">
        <v>845</v>
      </c>
      <c r="B829" s="6">
        <v>12.37</v>
      </c>
      <c r="C829" s="1">
        <v>0.62</v>
      </c>
      <c r="D829" s="6">
        <v>0.9</v>
      </c>
      <c r="E829" s="6">
        <v>14</v>
      </c>
      <c r="F829" s="1">
        <f t="shared" si="60"/>
        <v>1939.9583333332707</v>
      </c>
      <c r="G829" s="17">
        <f>G818*1/12+G830*11/12</f>
        <v>2.2225000000000001</v>
      </c>
      <c r="H829" s="1">
        <f>B829*$E$1867/E829</f>
        <v>296.1070958928571</v>
      </c>
      <c r="I829" s="1">
        <f>C829*$E$1867/E829</f>
        <v>14.841261071428571</v>
      </c>
      <c r="J829" s="26">
        <f t="shared" si="61"/>
        <v>11070.745644633127</v>
      </c>
      <c r="K829" s="1">
        <f>D829*$E$1867/E829</f>
        <v>21.543766071428571</v>
      </c>
      <c r="L829" s="26">
        <f t="shared" si="59"/>
        <v>805.47058045026802</v>
      </c>
      <c r="M829" s="10">
        <f t="shared" si="62"/>
        <v>16.280412901283828</v>
      </c>
      <c r="N829" s="4">
        <f t="shared" si="63"/>
        <v>20.784015129907612</v>
      </c>
      <c r="O829" s="36">
        <f>1/M829-(G829/100-(((E829/E709)^(1/10))-1))</f>
        <v>1.8823727111642097E-2</v>
      </c>
      <c r="P829" s="48">
        <v>0.04</v>
      </c>
      <c r="R829" s="30"/>
      <c r="S829" s="30"/>
    </row>
    <row r="830" spans="1:19" ht="13" x14ac:dyDescent="0.3">
      <c r="A830" s="52" t="s">
        <v>846</v>
      </c>
      <c r="B830" s="6">
        <v>12.3</v>
      </c>
      <c r="C830" s="1">
        <v>0.62333300000000003</v>
      </c>
      <c r="D830" s="6">
        <v>0.93</v>
      </c>
      <c r="E830" s="6">
        <v>13.9</v>
      </c>
      <c r="F830" s="1">
        <f t="shared" si="60"/>
        <v>1940.041666666604</v>
      </c>
      <c r="G830" s="17">
        <v>2.21</v>
      </c>
      <c r="H830" s="1">
        <f>B830*$E$1867/E830</f>
        <v>296.54968165467625</v>
      </c>
      <c r="I830" s="1">
        <f>C830*$E$1867/E830</f>
        <v>15.028390464622301</v>
      </c>
      <c r="J830" s="26">
        <f t="shared" si="61"/>
        <v>11134.115886950221</v>
      </c>
      <c r="K830" s="1">
        <f>D830*$E$1867/E830</f>
        <v>22.422049100719427</v>
      </c>
      <c r="L830" s="26">
        <f t="shared" si="59"/>
        <v>841.84778657428524</v>
      </c>
      <c r="M830" s="10">
        <f t="shared" si="62"/>
        <v>16.37848034261366</v>
      </c>
      <c r="N830" s="4">
        <f t="shared" si="63"/>
        <v>20.860773184593892</v>
      </c>
      <c r="O830" s="36">
        <f>1/M830-(G830/100-(((E830/E710)^(1/10))-1))</f>
        <v>1.844992615842956E-2</v>
      </c>
      <c r="P830" s="48">
        <v>0.01</v>
      </c>
      <c r="R830" s="30"/>
      <c r="S830" s="30"/>
    </row>
    <row r="831" spans="1:19" ht="13" x14ac:dyDescent="0.3">
      <c r="A831" s="52" t="s">
        <v>847</v>
      </c>
      <c r="B831" s="6">
        <v>12.22</v>
      </c>
      <c r="C831" s="1">
        <v>0.62666699999999997</v>
      </c>
      <c r="D831" s="6">
        <v>0.96</v>
      </c>
      <c r="E831" s="6">
        <v>14</v>
      </c>
      <c r="F831" s="1">
        <f t="shared" si="60"/>
        <v>1940.1249999999372</v>
      </c>
      <c r="G831" s="17">
        <f>G830*11/12+G842*1/12</f>
        <v>2.1883333333333335</v>
      </c>
      <c r="H831" s="1">
        <f>B831*$E$1867/E831</f>
        <v>292.51646821428574</v>
      </c>
      <c r="I831" s="1">
        <f>C831*$E$1867/E831</f>
        <v>15.000852502982141</v>
      </c>
      <c r="J831" s="26">
        <f t="shared" si="61"/>
        <v>11029.621321919485</v>
      </c>
      <c r="K831" s="1">
        <f>D831*$E$1867/E831</f>
        <v>22.980017142857143</v>
      </c>
      <c r="L831" s="26">
        <f t="shared" si="59"/>
        <v>866.48416276945215</v>
      </c>
      <c r="M831" s="10">
        <f t="shared" si="62"/>
        <v>16.216119847731054</v>
      </c>
      <c r="N831" s="4">
        <f t="shared" si="63"/>
        <v>20.606533623194935</v>
      </c>
      <c r="O831" s="36">
        <f>1/M831-(G831/100-(((E831/E711)^(1/10))-1))</f>
        <v>2.0555367211535197E-2</v>
      </c>
      <c r="P831" s="48">
        <v>0.02</v>
      </c>
      <c r="R831" s="30"/>
      <c r="S831" s="30"/>
    </row>
    <row r="832" spans="1:19" ht="13" x14ac:dyDescent="0.3">
      <c r="A832" s="52" t="s">
        <v>848</v>
      </c>
      <c r="B832" s="6">
        <v>12.15</v>
      </c>
      <c r="C832" s="1">
        <v>0.63</v>
      </c>
      <c r="D832" s="6">
        <v>0.99</v>
      </c>
      <c r="E832" s="6">
        <v>14</v>
      </c>
      <c r="F832" s="1">
        <f t="shared" si="60"/>
        <v>1940.2083333332705</v>
      </c>
      <c r="G832" s="17">
        <f>G830*10/12+G842*2/12</f>
        <v>2.166666666666667</v>
      </c>
      <c r="H832" s="1">
        <f>B832*$E$1867/E832</f>
        <v>290.84084196428569</v>
      </c>
      <c r="I832" s="1">
        <f>C832*$E$1867/E832</f>
        <v>15.08063625</v>
      </c>
      <c r="J832" s="26">
        <f t="shared" si="61"/>
        <v>11013.826037702331</v>
      </c>
      <c r="K832" s="1">
        <f>D832*$E$1867/E832</f>
        <v>23.698142678571429</v>
      </c>
      <c r="L832" s="26">
        <f t="shared" si="59"/>
        <v>897.42286233130119</v>
      </c>
      <c r="M832" s="10">
        <f t="shared" si="62"/>
        <v>16.172906305307894</v>
      </c>
      <c r="N832" s="4">
        <f t="shared" si="63"/>
        <v>20.505754657089824</v>
      </c>
      <c r="O832" s="36">
        <f>1/M832-(G832/100-(((E832/E712)^(1/10))-1))</f>
        <v>2.1515605176069652E-2</v>
      </c>
      <c r="P832" s="48">
        <v>0.02</v>
      </c>
      <c r="R832" s="30"/>
      <c r="S832" s="30"/>
    </row>
    <row r="833" spans="1:19" ht="13" x14ac:dyDescent="0.3">
      <c r="A833" s="52" t="s">
        <v>849</v>
      </c>
      <c r="B833" s="6">
        <v>12.27</v>
      </c>
      <c r="C833" s="1">
        <v>0.63666699999999998</v>
      </c>
      <c r="D833" s="6">
        <v>1.00667</v>
      </c>
      <c r="E833" s="6">
        <v>14</v>
      </c>
      <c r="F833" s="1">
        <f t="shared" si="60"/>
        <v>1940.2916666666038</v>
      </c>
      <c r="G833" s="17">
        <f>G830*9/12+G842*3/12</f>
        <v>2.145</v>
      </c>
      <c r="H833" s="1">
        <f>B833*$E$1867/E833</f>
        <v>293.71334410714286</v>
      </c>
      <c r="I833" s="1">
        <f>C833*$E$1867/E833</f>
        <v>15.240227681553572</v>
      </c>
      <c r="J833" s="26">
        <f t="shared" si="61"/>
        <v>11170.698802285578</v>
      </c>
      <c r="K833" s="1">
        <f>D833*$E$1867/E833</f>
        <v>24.097181101249998</v>
      </c>
      <c r="L833" s="26">
        <f t="shared" si="59"/>
        <v>916.47981770960246</v>
      </c>
      <c r="M833" s="10">
        <f t="shared" si="62"/>
        <v>16.370988707128785</v>
      </c>
      <c r="N833" s="4">
        <f t="shared" si="63"/>
        <v>20.710720299995657</v>
      </c>
      <c r="O833" s="36">
        <f>1/M833-(G833/100-(((E833/E713)^(1/10))-1))</f>
        <v>2.0405333024727489E-2</v>
      </c>
      <c r="P833" s="48">
        <v>0.02</v>
      </c>
      <c r="R833" s="30"/>
      <c r="S833" s="30"/>
    </row>
    <row r="834" spans="1:19" ht="13" x14ac:dyDescent="0.3">
      <c r="A834" s="52" t="s">
        <v>850</v>
      </c>
      <c r="B834" s="6">
        <v>10.58</v>
      </c>
      <c r="C834" s="1">
        <v>0.64333300000000004</v>
      </c>
      <c r="D834" s="6">
        <v>1.0233300000000001</v>
      </c>
      <c r="E834" s="6">
        <v>14</v>
      </c>
      <c r="F834" s="1">
        <f t="shared" si="60"/>
        <v>1940.374999999937</v>
      </c>
      <c r="G834" s="17">
        <f>G830*8/12+G842*4/12</f>
        <v>2.1233333333333335</v>
      </c>
      <c r="H834" s="1">
        <f>B834*$E$1867/E834</f>
        <v>253.25893892857144</v>
      </c>
      <c r="I834" s="1">
        <f>C834*$E$1867/E834</f>
        <v>15.399795175589286</v>
      </c>
      <c r="J834" s="26">
        <f t="shared" si="61"/>
        <v>9680.9182227027159</v>
      </c>
      <c r="K834" s="1">
        <f>D834*$E$1867/E834</f>
        <v>24.49598014875</v>
      </c>
      <c r="L834" s="26">
        <f t="shared" si="59"/>
        <v>936.36805716808794</v>
      </c>
      <c r="M834" s="10">
        <f t="shared" si="62"/>
        <v>14.138747694800729</v>
      </c>
      <c r="N834" s="4">
        <f t="shared" si="63"/>
        <v>17.861798289357669</v>
      </c>
      <c r="O834" s="36">
        <f>1/M834-(G834/100-(((E834/E714)^(1/10))-1))</f>
        <v>3.0844754648737385E-2</v>
      </c>
      <c r="P834" s="48">
        <v>0.06</v>
      </c>
      <c r="R834" s="30"/>
      <c r="S834" s="30"/>
    </row>
    <row r="835" spans="1:19" ht="13" x14ac:dyDescent="0.3">
      <c r="A835" s="52" t="s">
        <v>851</v>
      </c>
      <c r="B835" s="6">
        <v>9.67</v>
      </c>
      <c r="C835" s="1">
        <v>0.65</v>
      </c>
      <c r="D835" s="6">
        <v>1.04</v>
      </c>
      <c r="E835" s="6">
        <v>14.1</v>
      </c>
      <c r="F835" s="1">
        <f t="shared" si="60"/>
        <v>1940.4583333332703</v>
      </c>
      <c r="G835" s="17">
        <f>G830*7/12+G842*5/12</f>
        <v>2.1016666666666666</v>
      </c>
      <c r="H835" s="1">
        <f>B835*$E$1867/E835</f>
        <v>229.83412535460994</v>
      </c>
      <c r="I835" s="1">
        <f>C835*$E$1867/E835</f>
        <v>15.449036347517731</v>
      </c>
      <c r="J835" s="26">
        <f t="shared" si="61"/>
        <v>8834.7080130786271</v>
      </c>
      <c r="K835" s="1">
        <f>D835*$E$1867/E835</f>
        <v>24.718458156028369</v>
      </c>
      <c r="L835" s="26">
        <f t="shared" ref="L835:L898" si="64">K835*(J835/H835)</f>
        <v>950.16508103430931</v>
      </c>
      <c r="M835" s="10">
        <f t="shared" si="62"/>
        <v>12.84376559826881</v>
      </c>
      <c r="N835" s="4">
        <f t="shared" si="63"/>
        <v>16.212647751148257</v>
      </c>
      <c r="O835" s="36">
        <f>1/M835-(G835/100-(((E835/E715)^(1/10))-1))</f>
        <v>3.9474300571291074E-2</v>
      </c>
      <c r="P835" s="48">
        <v>0.1</v>
      </c>
      <c r="R835" s="30"/>
      <c r="S835" s="30"/>
    </row>
    <row r="836" spans="1:19" ht="13" x14ac:dyDescent="0.3">
      <c r="A836" s="52" t="s">
        <v>852</v>
      </c>
      <c r="B836" s="6">
        <v>9.99</v>
      </c>
      <c r="C836" s="1">
        <v>0.656667</v>
      </c>
      <c r="D836" s="6">
        <v>1.0533300000000001</v>
      </c>
      <c r="E836" s="6">
        <v>14</v>
      </c>
      <c r="F836" s="1">
        <f t="shared" ref="F836:F899" si="65">F835+1/12</f>
        <v>1940.5416666666035</v>
      </c>
      <c r="G836" s="17">
        <f>G830*6/12+G842*6/12</f>
        <v>2.08</v>
      </c>
      <c r="H836" s="1">
        <f>B836*$E$1867/E836</f>
        <v>239.13580339285713</v>
      </c>
      <c r="I836" s="1">
        <f>C836*$E$1867/E836</f>
        <v>15.718978038696429</v>
      </c>
      <c r="J836" s="26">
        <f t="shared" ref="J836:J899" si="66">J835*((H836+(I836/12))/H835)</f>
        <v>9242.6122982143643</v>
      </c>
      <c r="K836" s="1">
        <f>D836*$E$1867/E836</f>
        <v>25.21410568446429</v>
      </c>
      <c r="L836" s="26">
        <f t="shared" si="64"/>
        <v>974.52660781562952</v>
      </c>
      <c r="M836" s="10">
        <f t="shared" si="62"/>
        <v>13.369884763210061</v>
      </c>
      <c r="N836" s="4">
        <f t="shared" si="63"/>
        <v>16.862230313337172</v>
      </c>
      <c r="O836" s="36">
        <f>1/M836-(G836/100-(((E836/E716)^(1/10))-1))</f>
        <v>3.710469109993482E-2</v>
      </c>
      <c r="P836" s="48">
        <v>0.05</v>
      </c>
      <c r="R836" s="30"/>
      <c r="S836" s="30"/>
    </row>
    <row r="837" spans="1:19" ht="13" x14ac:dyDescent="0.3">
      <c r="A837" s="52" t="s">
        <v>853</v>
      </c>
      <c r="B837" s="6">
        <v>10.199999999999999</v>
      </c>
      <c r="C837" s="1">
        <v>0.66333299999999995</v>
      </c>
      <c r="D837" s="6">
        <v>1.06667</v>
      </c>
      <c r="E837" s="6">
        <v>14</v>
      </c>
      <c r="F837" s="1">
        <f t="shared" si="65"/>
        <v>1940.6249999999368</v>
      </c>
      <c r="G837" s="17">
        <f>G830*5/12+G842*7/12</f>
        <v>2.0583333333333336</v>
      </c>
      <c r="H837" s="1">
        <f>B837*$E$1867/E837</f>
        <v>244.16268214285714</v>
      </c>
      <c r="I837" s="1">
        <f>C837*$E$1867/E837</f>
        <v>15.878545532732142</v>
      </c>
      <c r="J837" s="26">
        <f t="shared" si="66"/>
        <v>9488.0436690444585</v>
      </c>
      <c r="K837" s="1">
        <f>D837*$E$1867/E837</f>
        <v>25.533432172678573</v>
      </c>
      <c r="L837" s="26">
        <f t="shared" si="64"/>
        <v>992.21681769212296</v>
      </c>
      <c r="M837" s="10">
        <f t="shared" si="62"/>
        <v>13.649399392391642</v>
      </c>
      <c r="N837" s="4">
        <f t="shared" si="63"/>
        <v>17.199450235230636</v>
      </c>
      <c r="O837" s="36">
        <f>1/M837-(G837/100-(((E837/E717)^(1/10))-1))</f>
        <v>3.6383899673061999E-2</v>
      </c>
      <c r="P837" s="48">
        <v>0.04</v>
      </c>
      <c r="R837" s="30"/>
      <c r="S837" s="30"/>
    </row>
    <row r="838" spans="1:19" ht="13" x14ac:dyDescent="0.3">
      <c r="A838" s="52" t="s">
        <v>854</v>
      </c>
      <c r="B838" s="6">
        <v>10.63</v>
      </c>
      <c r="C838" s="1">
        <v>0.67</v>
      </c>
      <c r="D838" s="6">
        <v>1.08</v>
      </c>
      <c r="E838" s="6">
        <v>14</v>
      </c>
      <c r="F838" s="1">
        <f t="shared" si="65"/>
        <v>1940.70833333327</v>
      </c>
      <c r="G838" s="17">
        <f>G830*4/12+G842*8/12</f>
        <v>2.0366666666666666</v>
      </c>
      <c r="H838" s="1">
        <f>B838*$E$1867/E838</f>
        <v>254.45581482142856</v>
      </c>
      <c r="I838" s="1">
        <f>C838*$E$1867/E838</f>
        <v>16.038136964285716</v>
      </c>
      <c r="J838" s="26">
        <f t="shared" si="66"/>
        <v>9939.9660104703507</v>
      </c>
      <c r="K838" s="1">
        <f>D838*$E$1867/E838</f>
        <v>25.852519285714287</v>
      </c>
      <c r="L838" s="26">
        <f t="shared" si="64"/>
        <v>1009.8930659744101</v>
      </c>
      <c r="M838" s="10">
        <f t="shared" si="62"/>
        <v>14.21484259862064</v>
      </c>
      <c r="N838" s="4">
        <f t="shared" si="63"/>
        <v>17.894527295628063</v>
      </c>
      <c r="O838" s="36">
        <f>1/M838-(G838/100-(((E838/E718)^(1/10))-1))</f>
        <v>3.3092066814589143E-2</v>
      </c>
      <c r="P838" s="48">
        <v>0.05</v>
      </c>
      <c r="R838" s="30"/>
      <c r="S838" s="30"/>
    </row>
    <row r="839" spans="1:19" ht="13" x14ac:dyDescent="0.3">
      <c r="A839" s="52" t="s">
        <v>855</v>
      </c>
      <c r="B839" s="6">
        <v>10.73</v>
      </c>
      <c r="C839" s="1">
        <v>0.67</v>
      </c>
      <c r="D839" s="6">
        <v>1.07</v>
      </c>
      <c r="E839" s="6">
        <v>14</v>
      </c>
      <c r="F839" s="1">
        <f t="shared" si="65"/>
        <v>1940.7916666666033</v>
      </c>
      <c r="G839" s="17">
        <f>G830*3/12+G842*9/12</f>
        <v>2.0150000000000001</v>
      </c>
      <c r="H839" s="1">
        <f>B839*$E$1867/E839</f>
        <v>256.84956660714289</v>
      </c>
      <c r="I839" s="1">
        <f>C839*$E$1867/E839</f>
        <v>16.038136964285716</v>
      </c>
      <c r="J839" s="26">
        <f t="shared" si="66"/>
        <v>10085.683605637956</v>
      </c>
      <c r="K839" s="1">
        <f>D839*$E$1867/E839</f>
        <v>25.613144107142858</v>
      </c>
      <c r="L839" s="26">
        <f t="shared" si="64"/>
        <v>1005.7485049424614</v>
      </c>
      <c r="M839" s="10">
        <f t="shared" si="62"/>
        <v>14.328290323104959</v>
      </c>
      <c r="N839" s="4">
        <f t="shared" si="63"/>
        <v>18.021167440415674</v>
      </c>
      <c r="O839" s="36">
        <f>1/M839-(G839/100-(((E839/E719)^(1/10))-1))</f>
        <v>3.3345933452265025E-2</v>
      </c>
      <c r="P839" s="48">
        <v>0.02</v>
      </c>
      <c r="R839" s="30"/>
      <c r="S839" s="30"/>
    </row>
    <row r="840" spans="1:19" ht="13" x14ac:dyDescent="0.3">
      <c r="A840" s="52" t="s">
        <v>856</v>
      </c>
      <c r="B840" s="6">
        <v>10.98</v>
      </c>
      <c r="C840" s="1">
        <v>0.67</v>
      </c>
      <c r="D840" s="6">
        <v>1.06</v>
      </c>
      <c r="E840" s="6">
        <v>14</v>
      </c>
      <c r="F840" s="1">
        <f t="shared" si="65"/>
        <v>1940.8749999999366</v>
      </c>
      <c r="G840" s="17">
        <f>G830*2/12+G842*10/12</f>
        <v>1.9933333333333334</v>
      </c>
      <c r="H840" s="1">
        <f>B840*$E$1867/E840</f>
        <v>262.83394607142856</v>
      </c>
      <c r="I840" s="1">
        <f>C840*$E$1867/E840</f>
        <v>16.038136964285716</v>
      </c>
      <c r="J840" s="26">
        <f t="shared" si="66"/>
        <v>10373.152220368393</v>
      </c>
      <c r="K840" s="1">
        <f>D840*$E$1867/E840</f>
        <v>25.37376892857143</v>
      </c>
      <c r="L840" s="26">
        <f t="shared" si="64"/>
        <v>1001.4154238242711</v>
      </c>
      <c r="M840" s="10">
        <f t="shared" si="62"/>
        <v>14.636689248763609</v>
      </c>
      <c r="N840" s="4">
        <f t="shared" si="63"/>
        <v>18.393381330164452</v>
      </c>
      <c r="O840" s="36">
        <f>1/M840-(G840/100-(((E840/E720)^(1/10))-1))</f>
        <v>3.2690244174055832E-2</v>
      </c>
      <c r="P840" s="48">
        <v>0.02</v>
      </c>
      <c r="R840" s="30"/>
      <c r="S840" s="30"/>
    </row>
    <row r="841" spans="1:19" ht="13" x14ac:dyDescent="0.3">
      <c r="A841" s="52" t="s">
        <v>857</v>
      </c>
      <c r="B841" s="6">
        <v>10.53</v>
      </c>
      <c r="C841" s="1">
        <v>0.67</v>
      </c>
      <c r="D841" s="6">
        <v>1.05</v>
      </c>
      <c r="E841" s="6">
        <v>14.1</v>
      </c>
      <c r="F841" s="1">
        <f t="shared" si="65"/>
        <v>1940.9583333332698</v>
      </c>
      <c r="G841" s="17">
        <f>G830*1/12+G842*11/12</f>
        <v>1.9716666666666665</v>
      </c>
      <c r="H841" s="1">
        <f>B841*$E$1867/E841</f>
        <v>250.27438882978723</v>
      </c>
      <c r="I841" s="1">
        <f>C841*$E$1867/E841</f>
        <v>15.924391312056738</v>
      </c>
      <c r="J841" s="26">
        <f t="shared" si="66"/>
        <v>9929.8430908914324</v>
      </c>
      <c r="K841" s="1">
        <f>D841*$E$1867/E841</f>
        <v>24.956135638297873</v>
      </c>
      <c r="L841" s="26">
        <f t="shared" si="64"/>
        <v>990.15529396353327</v>
      </c>
      <c r="M841" s="10">
        <f t="shared" si="62"/>
        <v>13.908426122353838</v>
      </c>
      <c r="N841" s="4">
        <f t="shared" si="63"/>
        <v>17.470115111948243</v>
      </c>
      <c r="O841" s="36">
        <f>1/M841-(G841/100-(((E841/E721)^(1/10))-1))</f>
        <v>3.9005332223909589E-2</v>
      </c>
      <c r="P841" s="48">
        <v>0.02</v>
      </c>
      <c r="R841" s="30"/>
      <c r="S841" s="30"/>
    </row>
    <row r="842" spans="1:19" ht="13" x14ac:dyDescent="0.3">
      <c r="A842" s="52" t="s">
        <v>858</v>
      </c>
      <c r="B842" s="6">
        <v>10.55</v>
      </c>
      <c r="C842" s="1">
        <v>0.67333299999999996</v>
      </c>
      <c r="D842" s="6">
        <v>1.0533300000000001</v>
      </c>
      <c r="E842" s="6">
        <v>14.1</v>
      </c>
      <c r="F842" s="1">
        <f t="shared" si="65"/>
        <v>1941.0416666666031</v>
      </c>
      <c r="G842" s="17">
        <v>1.95</v>
      </c>
      <c r="H842" s="1">
        <f>B842*$E$1867/E842</f>
        <v>250.74974379432626</v>
      </c>
      <c r="I842" s="1">
        <f>C842*$E$1867/E842</f>
        <v>16.003609216897164</v>
      </c>
      <c r="J842" s="26">
        <f t="shared" si="66"/>
        <v>10001.616226216958</v>
      </c>
      <c r="K842" s="1">
        <f>D842*$E$1867/E842</f>
        <v>25.035282239893618</v>
      </c>
      <c r="L842" s="26">
        <f t="shared" si="64"/>
        <v>998.57842839441776</v>
      </c>
      <c r="M842" s="10">
        <f t="shared" si="62"/>
        <v>13.904158267950834</v>
      </c>
      <c r="N842" s="4">
        <f t="shared" si="63"/>
        <v>17.459724031152373</v>
      </c>
      <c r="O842" s="36">
        <f>1/M842-(G842/100-(((E842/E722)^(1/10))-1))</f>
        <v>4.0478384387534733E-2</v>
      </c>
      <c r="P842" s="48">
        <v>0.02</v>
      </c>
      <c r="R842" s="30"/>
      <c r="S842" s="30"/>
    </row>
    <row r="843" spans="1:19" ht="13" x14ac:dyDescent="0.3">
      <c r="A843" s="52" t="s">
        <v>859</v>
      </c>
      <c r="B843" s="6">
        <v>9.89</v>
      </c>
      <c r="C843" s="1">
        <v>0.67666700000000002</v>
      </c>
      <c r="D843" s="6">
        <v>1.05667</v>
      </c>
      <c r="E843" s="6">
        <v>14.1</v>
      </c>
      <c r="F843" s="1">
        <f t="shared" si="65"/>
        <v>1941.1249999999363</v>
      </c>
      <c r="G843" s="17">
        <f>G842*11/12+G854*1/12</f>
        <v>1.9924999999999999</v>
      </c>
      <c r="H843" s="1">
        <f>B843*$E$1867/E843</f>
        <v>235.06302996453903</v>
      </c>
      <c r="I843" s="1">
        <f>C843*$E$1867/E843</f>
        <v>16.082850889485815</v>
      </c>
      <c r="J843" s="26">
        <f t="shared" si="66"/>
        <v>9429.3805479808379</v>
      </c>
      <c r="K843" s="1">
        <f>D843*$E$1867/E843</f>
        <v>25.114666518971632</v>
      </c>
      <c r="L843" s="26">
        <f t="shared" si="64"/>
        <v>1007.4563744828021</v>
      </c>
      <c r="M843" s="10">
        <f t="shared" si="62"/>
        <v>13.00294330340245</v>
      </c>
      <c r="N843" s="4">
        <f t="shared" si="63"/>
        <v>16.330448496085079</v>
      </c>
      <c r="O843" s="36">
        <f>1/M843-(G843/100-(((E843/E723)^(1/10))-1))</f>
        <v>4.6289633068266903E-2</v>
      </c>
      <c r="P843" s="48">
        <v>0.04</v>
      </c>
      <c r="R843" s="30"/>
      <c r="S843" s="30"/>
    </row>
    <row r="844" spans="1:19" ht="13" x14ac:dyDescent="0.3">
      <c r="A844" s="52" t="s">
        <v>860</v>
      </c>
      <c r="B844" s="6">
        <v>9.9499999999999993</v>
      </c>
      <c r="C844" s="1">
        <v>0.68</v>
      </c>
      <c r="D844" s="6">
        <v>1.06</v>
      </c>
      <c r="E844" s="6">
        <v>14.2</v>
      </c>
      <c r="F844" s="1">
        <f t="shared" si="65"/>
        <v>1941.2083333332696</v>
      </c>
      <c r="G844" s="17">
        <f>G842*10/12+G854*2/12</f>
        <v>2.0350000000000001</v>
      </c>
      <c r="H844" s="1">
        <f>B844*$E$1867/E844</f>
        <v>234.82367869718308</v>
      </c>
      <c r="I844" s="1">
        <f>C844*$E$1867/E844</f>
        <v>16.048251408450707</v>
      </c>
      <c r="J844" s="26">
        <f t="shared" si="66"/>
        <v>9473.4261313662118</v>
      </c>
      <c r="K844" s="1">
        <f>D844*$E$1867/E844</f>
        <v>25.016391901408454</v>
      </c>
      <c r="L844" s="26">
        <f t="shared" si="64"/>
        <v>1009.2293165073555</v>
      </c>
      <c r="M844" s="10">
        <f t="shared" si="62"/>
        <v>12.955719822063328</v>
      </c>
      <c r="N844" s="4">
        <f t="shared" si="63"/>
        <v>16.274201363786222</v>
      </c>
      <c r="O844" s="36">
        <f>1/M844-(G844/100-(((E844/E724)^(1/10))-1))</f>
        <v>4.7477159338851195E-2</v>
      </c>
      <c r="P844" s="48">
        <v>0.11</v>
      </c>
      <c r="R844" s="30"/>
      <c r="S844" s="30"/>
    </row>
    <row r="845" spans="1:19" ht="13" x14ac:dyDescent="0.3">
      <c r="A845" s="52" t="s">
        <v>861</v>
      </c>
      <c r="B845" s="6">
        <v>9.64</v>
      </c>
      <c r="C845" s="1">
        <v>0.68333299999999997</v>
      </c>
      <c r="D845" s="6">
        <v>1.07</v>
      </c>
      <c r="E845" s="6">
        <v>14.3</v>
      </c>
      <c r="F845" s="1">
        <f t="shared" si="65"/>
        <v>1941.2916666666029</v>
      </c>
      <c r="G845" s="17">
        <f>G842*9/12+G854*3/12</f>
        <v>2.0775000000000001</v>
      </c>
      <c r="H845" s="1">
        <f>B845*$E$1867/E845</f>
        <v>225.91660209790209</v>
      </c>
      <c r="I845" s="1">
        <f>C845*$E$1867/E845</f>
        <v>16.014135836241255</v>
      </c>
      <c r="J845" s="26">
        <f t="shared" si="66"/>
        <v>9167.9282437630864</v>
      </c>
      <c r="K845" s="1">
        <f>D845*$E$1867/E845</f>
        <v>25.075805419580419</v>
      </c>
      <c r="L845" s="26">
        <f t="shared" si="64"/>
        <v>1017.6019938616704</v>
      </c>
      <c r="M845" s="10">
        <f t="shared" si="62"/>
        <v>12.429370389220779</v>
      </c>
      <c r="N845" s="4">
        <f t="shared" si="63"/>
        <v>15.620596350743053</v>
      </c>
      <c r="O845" s="36">
        <f>1/M845-(G845/100-(((E845/E725)^(1/10))-1))</f>
        <v>5.1653928535461108E-2</v>
      </c>
      <c r="P845" s="48">
        <v>0.1</v>
      </c>
      <c r="R845" s="30"/>
      <c r="S845" s="30"/>
    </row>
    <row r="846" spans="1:19" ht="13" x14ac:dyDescent="0.3">
      <c r="A846" s="52" t="s">
        <v>862</v>
      </c>
      <c r="B846" s="6">
        <v>9.43</v>
      </c>
      <c r="C846" s="1">
        <v>0.68666700000000003</v>
      </c>
      <c r="D846" s="6">
        <v>1.08</v>
      </c>
      <c r="E846" s="6">
        <v>14.4</v>
      </c>
      <c r="F846" s="1">
        <f t="shared" si="65"/>
        <v>1941.3749999999361</v>
      </c>
      <c r="G846" s="17">
        <f>G842*8/12+G854*4/12</f>
        <v>2.12</v>
      </c>
      <c r="H846" s="1">
        <f>B846*$E$1867/E846</f>
        <v>219.46049357638887</v>
      </c>
      <c r="I846" s="1">
        <f>C846*$E$1867/E846</f>
        <v>15.980517364010417</v>
      </c>
      <c r="J846" s="26">
        <f t="shared" si="66"/>
        <v>8959.9748684232782</v>
      </c>
      <c r="K846" s="1">
        <f>D846*$E$1867/E846</f>
        <v>25.134393750000001</v>
      </c>
      <c r="L846" s="26">
        <f t="shared" si="64"/>
        <v>1026.168913880927</v>
      </c>
      <c r="M846" s="10">
        <f t="shared" si="62"/>
        <v>12.037206512481573</v>
      </c>
      <c r="N846" s="4">
        <f t="shared" si="63"/>
        <v>15.138524744744727</v>
      </c>
      <c r="O846" s="36">
        <f>1/M846-(G846/100-(((E846/E726)^(1/10))-1))</f>
        <v>5.5831630874339899E-2</v>
      </c>
      <c r="P846" s="48">
        <v>0.11</v>
      </c>
      <c r="R846" s="30"/>
      <c r="S846" s="30"/>
    </row>
    <row r="847" spans="1:19" ht="13" x14ac:dyDescent="0.3">
      <c r="A847" s="52" t="s">
        <v>863</v>
      </c>
      <c r="B847" s="6">
        <v>9.76</v>
      </c>
      <c r="C847" s="1">
        <v>0.69</v>
      </c>
      <c r="D847" s="6">
        <v>1.0900000000000001</v>
      </c>
      <c r="E847" s="6">
        <v>14.7</v>
      </c>
      <c r="F847" s="1">
        <f t="shared" si="65"/>
        <v>1941.4583333332694</v>
      </c>
      <c r="G847" s="17">
        <f>G842*7/12+G854*5/12</f>
        <v>2.1625000000000001</v>
      </c>
      <c r="H847" s="1">
        <f>B847*$E$1867/E847</f>
        <v>222.50492789115646</v>
      </c>
      <c r="I847" s="1">
        <f>C847*$E$1867/E847</f>
        <v>15.730368877551019</v>
      </c>
      <c r="J847" s="26">
        <f t="shared" si="66"/>
        <v>9137.789852177777</v>
      </c>
      <c r="K847" s="1">
        <f>D847*$E$1867/E847</f>
        <v>24.849423299319731</v>
      </c>
      <c r="L847" s="26">
        <f t="shared" si="64"/>
        <v>1020.5113666878872</v>
      </c>
      <c r="M847" s="10">
        <f t="shared" si="62"/>
        <v>12.164306590628437</v>
      </c>
      <c r="N847" s="4">
        <f t="shared" si="63"/>
        <v>15.307415379169969</v>
      </c>
      <c r="O847" s="36">
        <f>1/M847-(G847/100-(((E847/E727)^(1/10))-1))</f>
        <v>5.7901603030118737E-2</v>
      </c>
      <c r="P847" s="48">
        <v>0.12</v>
      </c>
      <c r="R847" s="30"/>
      <c r="S847" s="30"/>
    </row>
    <row r="848" spans="1:19" ht="13" x14ac:dyDescent="0.3">
      <c r="A848" s="52" t="s">
        <v>864</v>
      </c>
      <c r="B848" s="6">
        <v>10.26</v>
      </c>
      <c r="C848" s="1">
        <v>0.69333299999999998</v>
      </c>
      <c r="D848" s="6">
        <v>1.1233299999999999</v>
      </c>
      <c r="E848" s="6">
        <v>14.7</v>
      </c>
      <c r="F848" s="1">
        <f t="shared" si="65"/>
        <v>1941.5416666666026</v>
      </c>
      <c r="G848" s="17">
        <f>G842*6/12+G854*6/12</f>
        <v>2.2050000000000001</v>
      </c>
      <c r="H848" s="1">
        <f>B848*$E$1867/E848</f>
        <v>233.90374591836735</v>
      </c>
      <c r="I848" s="1">
        <f>C848*$E$1867/E848</f>
        <v>15.806353398520409</v>
      </c>
      <c r="J848" s="26">
        <f t="shared" si="66"/>
        <v>9660.0086906737361</v>
      </c>
      <c r="K848" s="1">
        <f>D848*$E$1867/E848</f>
        <v>25.609268509013607</v>
      </c>
      <c r="L848" s="26">
        <f t="shared" si="64"/>
        <v>1057.639138644691</v>
      </c>
      <c r="M848" s="10">
        <f t="shared" si="62"/>
        <v>12.744996277919572</v>
      </c>
      <c r="N848" s="4">
        <f t="shared" si="63"/>
        <v>16.045059460934311</v>
      </c>
      <c r="O848" s="36">
        <f>1/M848-(G848/100-(((E848/E728)^(1/10))-1))</f>
        <v>5.37310405783364E-2</v>
      </c>
      <c r="P848" s="48">
        <v>0.12</v>
      </c>
      <c r="R848" s="30"/>
      <c r="S848" s="30"/>
    </row>
    <row r="849" spans="1:19" ht="13" x14ac:dyDescent="0.3">
      <c r="A849" s="52" t="s">
        <v>865</v>
      </c>
      <c r="B849" s="6">
        <v>10.210000000000001</v>
      </c>
      <c r="C849" s="1">
        <v>0.69666700000000004</v>
      </c>
      <c r="D849" s="6">
        <v>1.1566700000000001</v>
      </c>
      <c r="E849" s="6">
        <v>14.9</v>
      </c>
      <c r="F849" s="1">
        <f t="shared" si="65"/>
        <v>1941.6249999999359</v>
      </c>
      <c r="G849" s="17">
        <f>G842*5/12+G854*7/12</f>
        <v>2.2474999999999996</v>
      </c>
      <c r="H849" s="1">
        <f>B849*$E$1867/E849</f>
        <v>229.63951694630873</v>
      </c>
      <c r="I849" s="1">
        <f>C849*$E$1867/E849</f>
        <v>15.669174667231543</v>
      </c>
      <c r="J849" s="26">
        <f t="shared" si="66"/>
        <v>9537.8268424873968</v>
      </c>
      <c r="K849" s="1">
        <f>D849*$E$1867/E849</f>
        <v>26.015390799832215</v>
      </c>
      <c r="L849" s="26">
        <f t="shared" si="64"/>
        <v>1080.520878932409</v>
      </c>
      <c r="M849" s="10">
        <f t="shared" si="62"/>
        <v>12.463173720387802</v>
      </c>
      <c r="N849" s="4">
        <f t="shared" si="63"/>
        <v>15.698062133844475</v>
      </c>
      <c r="O849" s="36">
        <f>1/M849-(G849/100-(((E849/E729)^(1/10))-1))</f>
        <v>5.6428920036089333E-2</v>
      </c>
      <c r="P849" s="48">
        <v>0.13</v>
      </c>
      <c r="R849" s="30"/>
      <c r="S849" s="30"/>
    </row>
    <row r="850" spans="1:19" ht="13" x14ac:dyDescent="0.3">
      <c r="A850" s="52" t="s">
        <v>866</v>
      </c>
      <c r="B850" s="6">
        <v>10.24</v>
      </c>
      <c r="C850" s="1">
        <v>0.7</v>
      </c>
      <c r="D850" s="6">
        <v>1.19</v>
      </c>
      <c r="E850" s="6">
        <v>15.1</v>
      </c>
      <c r="F850" s="1">
        <f t="shared" si="65"/>
        <v>1941.7083333332691</v>
      </c>
      <c r="G850" s="17">
        <f>G842*4/12+G854*8/12</f>
        <v>2.29</v>
      </c>
      <c r="H850" s="1">
        <f>B850*$E$1867/E850</f>
        <v>227.26374569536426</v>
      </c>
      <c r="I850" s="1">
        <f>C850*$E$1867/E850</f>
        <v>15.535607615894039</v>
      </c>
      <c r="J850" s="26">
        <f t="shared" si="66"/>
        <v>9492.9229847590395</v>
      </c>
      <c r="K850" s="1">
        <f>D850*$E$1867/E850</f>
        <v>26.410532947019867</v>
      </c>
      <c r="L850" s="26">
        <f t="shared" si="64"/>
        <v>1103.1814796741462</v>
      </c>
      <c r="M850" s="10">
        <f t="shared" si="62"/>
        <v>12.279729272093075</v>
      </c>
      <c r="N850" s="4">
        <f t="shared" si="63"/>
        <v>15.475689806719128</v>
      </c>
      <c r="O850" s="36">
        <f>1/M850-(G850/100-(((E850/E730)^(1/10))-1))</f>
        <v>5.9199695162733643E-2</v>
      </c>
      <c r="P850" s="48">
        <v>0.1</v>
      </c>
      <c r="R850" s="30"/>
      <c r="S850" s="30"/>
    </row>
    <row r="851" spans="1:19" ht="13" x14ac:dyDescent="0.3">
      <c r="A851" s="52" t="s">
        <v>867</v>
      </c>
      <c r="B851" s="6">
        <v>9.83</v>
      </c>
      <c r="C851" s="1">
        <v>0.70333299999999999</v>
      </c>
      <c r="D851" s="6">
        <v>1.18</v>
      </c>
      <c r="E851" s="6">
        <v>15.3</v>
      </c>
      <c r="F851" s="1">
        <f t="shared" si="65"/>
        <v>1941.7916666666024</v>
      </c>
      <c r="G851" s="17">
        <f>G842*3/12+G854*9/12</f>
        <v>2.3325</v>
      </c>
      <c r="H851" s="1">
        <f>B851*$E$1867/E851</f>
        <v>215.31249722222222</v>
      </c>
      <c r="I851" s="1">
        <f>C851*$E$1867/E851</f>
        <v>15.405532513611108</v>
      </c>
      <c r="J851" s="26">
        <f t="shared" si="66"/>
        <v>9047.3379668913494</v>
      </c>
      <c r="K851" s="1">
        <f>D851*$E$1867/E851</f>
        <v>25.846261111111108</v>
      </c>
      <c r="L851" s="26">
        <f t="shared" si="64"/>
        <v>1086.0487081314132</v>
      </c>
      <c r="M851" s="10">
        <f t="shared" si="62"/>
        <v>11.577814956574073</v>
      </c>
      <c r="N851" s="4">
        <f t="shared" si="63"/>
        <v>14.60383368903616</v>
      </c>
      <c r="O851" s="36">
        <f>1/M851-(G851/100-(((E851/E731)^(1/10))-1))</f>
        <v>6.5699757158589486E-2</v>
      </c>
      <c r="P851" s="48">
        <v>0.09</v>
      </c>
      <c r="R851" s="30"/>
      <c r="S851" s="30"/>
    </row>
    <row r="852" spans="1:19" ht="13" x14ac:dyDescent="0.3">
      <c r="A852" s="52" t="s">
        <v>868</v>
      </c>
      <c r="B852" s="6">
        <v>9.3699999999999992</v>
      </c>
      <c r="C852" s="1">
        <v>0.70666700000000005</v>
      </c>
      <c r="D852" s="6">
        <v>1.17</v>
      </c>
      <c r="E852" s="6">
        <v>15.4</v>
      </c>
      <c r="F852" s="1">
        <f t="shared" si="65"/>
        <v>1941.8749999999357</v>
      </c>
      <c r="G852" s="17">
        <f>G842*2/12+G854*10/12</f>
        <v>2.3750000000000004</v>
      </c>
      <c r="H852" s="1">
        <f>B852*$E$1867/E852</f>
        <v>203.90412938311687</v>
      </c>
      <c r="I852" s="1">
        <f>C852*$E$1867/E852</f>
        <v>15.378049028685066</v>
      </c>
      <c r="J852" s="26">
        <f t="shared" si="66"/>
        <v>8621.8115338996613</v>
      </c>
      <c r="K852" s="1">
        <f>D852*$E$1867/E852</f>
        <v>25.460814448051945</v>
      </c>
      <c r="L852" s="26">
        <f t="shared" si="64"/>
        <v>1076.5762534325083</v>
      </c>
      <c r="M852" s="10">
        <f t="shared" si="62"/>
        <v>10.911668685916959</v>
      </c>
      <c r="N852" s="4">
        <f t="shared" si="63"/>
        <v>13.782187279853899</v>
      </c>
      <c r="O852" s="36">
        <f>1/M852-(G852/100-(((E852/E732)^(1/10))-1))</f>
        <v>7.2557850219299391E-2</v>
      </c>
      <c r="P852" s="48">
        <v>0.28000000000000003</v>
      </c>
      <c r="R852" s="30"/>
      <c r="S852" s="30"/>
    </row>
    <row r="853" spans="1:19" ht="13" x14ac:dyDescent="0.3">
      <c r="A853" s="52" t="s">
        <v>869</v>
      </c>
      <c r="B853" s="6">
        <v>8.76</v>
      </c>
      <c r="C853" s="1">
        <v>0.71</v>
      </c>
      <c r="D853" s="6">
        <v>1.1599999999999999</v>
      </c>
      <c r="E853" s="6">
        <v>15.5</v>
      </c>
      <c r="F853" s="1">
        <f t="shared" si="65"/>
        <v>1941.9583333332689</v>
      </c>
      <c r="G853" s="17">
        <f>G842*1/12+G854*11/12</f>
        <v>2.4175</v>
      </c>
      <c r="H853" s="1">
        <f>B853*$E$1867/E853</f>
        <v>189.39981870967742</v>
      </c>
      <c r="I853" s="1">
        <f>C853*$E$1867/E853</f>
        <v>15.350898548387095</v>
      </c>
      <c r="J853" s="26">
        <f t="shared" si="66"/>
        <v>8062.6072946959866</v>
      </c>
      <c r="K853" s="1">
        <f>D853*$E$1867/E853</f>
        <v>25.080341290322579</v>
      </c>
      <c r="L853" s="26">
        <f t="shared" si="64"/>
        <v>1067.6511942748109</v>
      </c>
      <c r="M853" s="10">
        <f t="shared" si="62"/>
        <v>10.0865933099179</v>
      </c>
      <c r="N853" s="4">
        <f t="shared" si="63"/>
        <v>12.764729919112979</v>
      </c>
      <c r="O853" s="36">
        <f>1/M853-(G853/100-(((E853/E733)^(1/10))-1))</f>
        <v>8.0966277439067466E-2</v>
      </c>
      <c r="P853" s="48">
        <v>0.33</v>
      </c>
      <c r="R853" s="30"/>
      <c r="S853" s="30"/>
    </row>
    <row r="854" spans="1:19" ht="13" x14ac:dyDescent="0.3">
      <c r="A854" s="52" t="s">
        <v>870</v>
      </c>
      <c r="B854" s="6">
        <v>8.93</v>
      </c>
      <c r="C854" s="1">
        <v>0.70333299999999999</v>
      </c>
      <c r="D854" s="6">
        <v>1.1200000000000001</v>
      </c>
      <c r="E854" s="6">
        <v>15.7</v>
      </c>
      <c r="F854" s="1">
        <f t="shared" si="65"/>
        <v>1942.0416666666022</v>
      </c>
      <c r="G854" s="17">
        <v>2.46</v>
      </c>
      <c r="H854" s="1">
        <f>B854*$E$1867/E854</f>
        <v>190.61582691082802</v>
      </c>
      <c r="I854" s="1">
        <f>C854*$E$1867/E854</f>
        <v>15.013034869952229</v>
      </c>
      <c r="J854" s="26">
        <f t="shared" si="66"/>
        <v>8167.6296424822003</v>
      </c>
      <c r="K854" s="1">
        <f>D854*$E$1867/E854</f>
        <v>23.907024203821656</v>
      </c>
      <c r="L854" s="26">
        <f t="shared" si="64"/>
        <v>1024.3835609832099</v>
      </c>
      <c r="M854" s="10">
        <f t="shared" si="62"/>
        <v>10.101686431929245</v>
      </c>
      <c r="N854" s="4">
        <f t="shared" si="63"/>
        <v>12.807799723300171</v>
      </c>
      <c r="O854" s="36">
        <f>1/M854-(G854/100-(((E854/E734)^(1/10))-1))</f>
        <v>8.377724425041963E-2</v>
      </c>
      <c r="P854" s="48">
        <v>0.27</v>
      </c>
      <c r="R854" s="30"/>
      <c r="S854" s="30"/>
    </row>
    <row r="855" spans="1:19" ht="13" x14ac:dyDescent="0.3">
      <c r="A855" s="52" t="s">
        <v>871</v>
      </c>
      <c r="B855" s="6">
        <v>8.65</v>
      </c>
      <c r="C855" s="1">
        <v>0.69666700000000004</v>
      </c>
      <c r="D855" s="6">
        <v>1.08</v>
      </c>
      <c r="E855" s="6">
        <v>15.8</v>
      </c>
      <c r="F855" s="1">
        <f t="shared" si="65"/>
        <v>1942.1249999999354</v>
      </c>
      <c r="G855" s="17">
        <f>G854*11/12+G866*1/12</f>
        <v>2.4608333333333334</v>
      </c>
      <c r="H855" s="1">
        <f>B855*$E$1867/E855</f>
        <v>183.47046914556961</v>
      </c>
      <c r="I855" s="1">
        <f>C855*$E$1867/E855</f>
        <v>14.776626743148734</v>
      </c>
      <c r="J855" s="26">
        <f t="shared" si="66"/>
        <v>7914.2239549506758</v>
      </c>
      <c r="K855" s="1">
        <f>D855*$E$1867/E855</f>
        <v>22.907295569620253</v>
      </c>
      <c r="L855" s="26">
        <f t="shared" si="64"/>
        <v>988.1343203869053</v>
      </c>
      <c r="M855" s="10">
        <f t="shared" si="62"/>
        <v>9.6802555917493596</v>
      </c>
      <c r="N855" s="4">
        <f t="shared" si="63"/>
        <v>12.300243464664581</v>
      </c>
      <c r="O855" s="36">
        <f>1/M855-(G855/100-(((E855/E735)^(1/10))-1))</f>
        <v>9.0143277184680362E-2</v>
      </c>
      <c r="P855" s="48">
        <v>0.25</v>
      </c>
      <c r="R855" s="30"/>
      <c r="S855" s="30"/>
    </row>
    <row r="856" spans="1:19" ht="13" x14ac:dyDescent="0.3">
      <c r="A856" s="52" t="s">
        <v>872</v>
      </c>
      <c r="B856" s="6">
        <v>8.18</v>
      </c>
      <c r="C856" s="1">
        <v>0.69</v>
      </c>
      <c r="D856" s="6">
        <v>1.04</v>
      </c>
      <c r="E856" s="6">
        <v>16</v>
      </c>
      <c r="F856" s="1">
        <f t="shared" si="65"/>
        <v>1942.2083333332687</v>
      </c>
      <c r="G856" s="17">
        <f>G854*10/12+G866*2/12</f>
        <v>2.4616666666666669</v>
      </c>
      <c r="H856" s="1">
        <f>B856*$E$1867/E856</f>
        <v>171.3327840625</v>
      </c>
      <c r="I856" s="1">
        <f>C856*$E$1867/E856</f>
        <v>14.452276406249998</v>
      </c>
      <c r="J856" s="26">
        <f t="shared" si="66"/>
        <v>7442.6013966525861</v>
      </c>
      <c r="K856" s="1">
        <f>D856*$E$1867/E856</f>
        <v>21.78314125</v>
      </c>
      <c r="L856" s="26">
        <f t="shared" si="64"/>
        <v>946.24761033235814</v>
      </c>
      <c r="M856" s="10">
        <f t="shared" si="62"/>
        <v>9.0034266177609652</v>
      </c>
      <c r="N856" s="4">
        <f t="shared" si="63"/>
        <v>11.470465379020204</v>
      </c>
      <c r="O856" s="36">
        <f>1/M856-(G856/100-(((E856/E736)^(1/10))-1))</f>
        <v>9.9894847201602271E-2</v>
      </c>
      <c r="P856" s="48">
        <v>0.25</v>
      </c>
      <c r="R856" s="30"/>
      <c r="S856" s="30"/>
    </row>
    <row r="857" spans="1:19" ht="13" x14ac:dyDescent="0.3">
      <c r="A857" s="52" t="s">
        <v>873</v>
      </c>
      <c r="B857" s="6">
        <v>7.84</v>
      </c>
      <c r="C857" s="1">
        <v>0.68</v>
      </c>
      <c r="D857" s="6">
        <v>1.02</v>
      </c>
      <c r="E857" s="6">
        <v>16.100000000000001</v>
      </c>
      <c r="F857" s="1">
        <f t="shared" si="65"/>
        <v>1942.2916666666019</v>
      </c>
      <c r="G857" s="17">
        <f>G854*9/12+G866*3/12</f>
        <v>2.4624999999999999</v>
      </c>
      <c r="H857" s="1">
        <f>B857*$E$1867/E857</f>
        <v>163.19142608695648</v>
      </c>
      <c r="I857" s="1">
        <f>C857*$E$1867/E857</f>
        <v>14.154358385093168</v>
      </c>
      <c r="J857" s="26">
        <f t="shared" si="66"/>
        <v>7140.1834332771332</v>
      </c>
      <c r="K857" s="1">
        <f>D857*$E$1867/E857</f>
        <v>21.231537577639752</v>
      </c>
      <c r="L857" s="26">
        <f t="shared" si="64"/>
        <v>928.95243647228028</v>
      </c>
      <c r="M857" s="10">
        <f t="shared" si="62"/>
        <v>8.5442557075882579</v>
      </c>
      <c r="N857" s="4">
        <f t="shared" si="63"/>
        <v>10.918206150831159</v>
      </c>
      <c r="O857" s="36">
        <f>1/M857-(G857/100-(((E857/E737)^(1/10))-1))</f>
        <v>0.10721421232122592</v>
      </c>
      <c r="P857" s="48">
        <v>0.32</v>
      </c>
      <c r="R857" s="30"/>
      <c r="S857" s="30"/>
    </row>
    <row r="858" spans="1:19" ht="13" x14ac:dyDescent="0.3">
      <c r="A858" s="52" t="s">
        <v>874</v>
      </c>
      <c r="B858" s="6">
        <v>7.93</v>
      </c>
      <c r="C858" s="1">
        <v>0.67</v>
      </c>
      <c r="D858" s="6">
        <v>1</v>
      </c>
      <c r="E858" s="6">
        <v>16.3</v>
      </c>
      <c r="F858" s="1">
        <f t="shared" si="65"/>
        <v>1942.3749999999352</v>
      </c>
      <c r="G858" s="17">
        <f>G854*8/12+G866*4/12</f>
        <v>2.4633333333333334</v>
      </c>
      <c r="H858" s="1">
        <f>B858*$E$1867/E858</f>
        <v>163.03946211656438</v>
      </c>
      <c r="I858" s="1">
        <f>C858*$E$1867/E858</f>
        <v>13.775086963190184</v>
      </c>
      <c r="J858" s="26">
        <f t="shared" si="66"/>
        <v>7183.7600895832411</v>
      </c>
      <c r="K858" s="1">
        <f>D858*$E$1867/E858</f>
        <v>20.559831288343556</v>
      </c>
      <c r="L858" s="26">
        <f t="shared" si="64"/>
        <v>905.89660650482244</v>
      </c>
      <c r="M858" s="10">
        <f t="shared" si="62"/>
        <v>8.50611625969605</v>
      </c>
      <c r="N858" s="4">
        <f t="shared" si="63"/>
        <v>10.901248386825085</v>
      </c>
      <c r="O858" s="36">
        <f>1/M858-(G858/100-(((E858/E738)^(1/10))-1))</f>
        <v>0.1104579168774196</v>
      </c>
      <c r="P858" s="48">
        <v>0.37</v>
      </c>
      <c r="R858" s="30"/>
      <c r="S858" s="30"/>
    </row>
    <row r="859" spans="1:19" ht="13" x14ac:dyDescent="0.3">
      <c r="A859" s="52" t="s">
        <v>875</v>
      </c>
      <c r="B859" s="6">
        <v>8.33</v>
      </c>
      <c r="C859" s="1">
        <v>0.66</v>
      </c>
      <c r="D859" s="6">
        <v>0.98</v>
      </c>
      <c r="E859" s="6">
        <v>16.3</v>
      </c>
      <c r="F859" s="1">
        <f t="shared" si="65"/>
        <v>1942.4583333332685</v>
      </c>
      <c r="G859" s="17">
        <f>G854*7/12+G866*5/12</f>
        <v>2.4641666666666664</v>
      </c>
      <c r="H859" s="1">
        <f>B859*$E$1867/E859</f>
        <v>171.26339463190183</v>
      </c>
      <c r="I859" s="1">
        <f>C859*$E$1867/E859</f>
        <v>13.569488650306749</v>
      </c>
      <c r="J859" s="26">
        <f t="shared" si="66"/>
        <v>7595.9430455429365</v>
      </c>
      <c r="K859" s="1">
        <f>D859*$E$1867/E859</f>
        <v>20.148634662576683</v>
      </c>
      <c r="L859" s="26">
        <f t="shared" si="64"/>
        <v>893.64035829916895</v>
      </c>
      <c r="M859" s="10">
        <f t="shared" si="62"/>
        <v>8.9054569285180492</v>
      </c>
      <c r="N859" s="4">
        <f t="shared" si="63"/>
        <v>11.442697243987242</v>
      </c>
      <c r="O859" s="36">
        <f>1/M859-(G859/100-(((E859/E739)^(1/10))-1))</f>
        <v>0.10592353761816538</v>
      </c>
      <c r="P859" s="48">
        <v>0.37</v>
      </c>
      <c r="R859" s="30"/>
      <c r="S859" s="30"/>
    </row>
    <row r="860" spans="1:19" ht="13" x14ac:dyDescent="0.3">
      <c r="A860" s="52" t="s">
        <v>876</v>
      </c>
      <c r="B860" s="6">
        <v>8.64</v>
      </c>
      <c r="C860" s="1">
        <v>0.64666699999999999</v>
      </c>
      <c r="D860" s="6">
        <v>0.96666700000000005</v>
      </c>
      <c r="E860" s="6">
        <v>16.399999999999999</v>
      </c>
      <c r="F860" s="1">
        <f t="shared" si="65"/>
        <v>1942.5416666666017</v>
      </c>
      <c r="G860" s="17">
        <f>G854*6/12+G866*6/12</f>
        <v>2.4649999999999999</v>
      </c>
      <c r="H860" s="1">
        <f>B860*$E$1867/E860</f>
        <v>176.55379024390245</v>
      </c>
      <c r="I860" s="1">
        <f>C860*$E$1867/E860</f>
        <v>13.214295124496951</v>
      </c>
      <c r="J860" s="26">
        <f t="shared" si="66"/>
        <v>7879.4252803634745</v>
      </c>
      <c r="K860" s="1">
        <f>D860*$E$1867/E860</f>
        <v>19.753324392789636</v>
      </c>
      <c r="L860" s="26">
        <f t="shared" si="64"/>
        <v>881.57180526540731</v>
      </c>
      <c r="M860" s="10">
        <f t="shared" si="62"/>
        <v>9.1504889009947377</v>
      </c>
      <c r="N860" s="4">
        <f t="shared" si="63"/>
        <v>11.784997227682231</v>
      </c>
      <c r="O860" s="36">
        <f>1/M860-(G860/100-(((E860/E740)^(1/10))-1))</f>
        <v>0.10353127198083717</v>
      </c>
      <c r="P860" s="48">
        <v>0.38</v>
      </c>
      <c r="R860" s="30"/>
      <c r="S860" s="30"/>
    </row>
    <row r="861" spans="1:19" ht="13" x14ac:dyDescent="0.3">
      <c r="A861" s="52" t="s">
        <v>877</v>
      </c>
      <c r="B861" s="6">
        <v>8.59</v>
      </c>
      <c r="C861" s="1">
        <v>0.63333300000000003</v>
      </c>
      <c r="D861" s="6">
        <v>0.95333299999999999</v>
      </c>
      <c r="E861" s="6">
        <v>16.5</v>
      </c>
      <c r="F861" s="1">
        <f t="shared" si="65"/>
        <v>1942.624999999935</v>
      </c>
      <c r="G861" s="17">
        <f>G854*5/12+G866*7/12</f>
        <v>2.4658333333333338</v>
      </c>
      <c r="H861" s="1">
        <f>B861*$E$1867/E861</f>
        <v>174.46823621212121</v>
      </c>
      <c r="I861" s="1">
        <f>C861*$E$1867/E861</f>
        <v>12.863386664136364</v>
      </c>
      <c r="J861" s="26">
        <f t="shared" si="66"/>
        <v>7834.1890609776401</v>
      </c>
      <c r="K861" s="1">
        <f>D861*$E$1867/E861</f>
        <v>19.362785452015149</v>
      </c>
      <c r="L861" s="26">
        <f t="shared" si="64"/>
        <v>869.4517997752032</v>
      </c>
      <c r="M861" s="10">
        <f t="shared" si="62"/>
        <v>9.012823047564293</v>
      </c>
      <c r="N861" s="4">
        <f t="shared" si="63"/>
        <v>11.634971805540614</v>
      </c>
      <c r="O861" s="36">
        <f>1/M861-(G861/100-(((E861/E741)^(1/10))-1))</f>
        <v>0.10656446054631465</v>
      </c>
      <c r="P861" s="48">
        <v>0.38</v>
      </c>
      <c r="R861" s="30"/>
      <c r="S861" s="30"/>
    </row>
    <row r="862" spans="1:19" ht="13" x14ac:dyDescent="0.3">
      <c r="A862" s="52" t="s">
        <v>878</v>
      </c>
      <c r="B862" s="6">
        <v>8.68</v>
      </c>
      <c r="C862" s="1">
        <v>0.62</v>
      </c>
      <c r="D862" s="6">
        <v>0.94</v>
      </c>
      <c r="E862" s="6">
        <v>16.5</v>
      </c>
      <c r="F862" s="1">
        <f t="shared" si="65"/>
        <v>1942.7083333332682</v>
      </c>
      <c r="G862" s="17">
        <f>G854*4/12+G866*8/12</f>
        <v>2.4666666666666668</v>
      </c>
      <c r="H862" s="1">
        <f>B862*$E$1867/E862</f>
        <v>176.29619212121213</v>
      </c>
      <c r="I862" s="1">
        <f>C862*$E$1867/E862</f>
        <v>12.59258515151515</v>
      </c>
      <c r="J862" s="26">
        <f t="shared" si="66"/>
        <v>7963.3908596161928</v>
      </c>
      <c r="K862" s="1">
        <f>D862*$E$1867/E862</f>
        <v>19.091983939393938</v>
      </c>
      <c r="L862" s="26">
        <f t="shared" si="64"/>
        <v>862.39486267732946</v>
      </c>
      <c r="M862" s="10">
        <f t="shared" si="62"/>
        <v>9.0778298393715016</v>
      </c>
      <c r="N862" s="4">
        <f t="shared" si="63"/>
        <v>11.745145809200279</v>
      </c>
      <c r="O862" s="36">
        <f>1/M862-(G862/100-(((E862/E742)^(1/10))-1))</f>
        <v>0.10652043750087253</v>
      </c>
      <c r="P862" s="48">
        <v>0.38</v>
      </c>
      <c r="R862" s="30"/>
      <c r="S862" s="30"/>
    </row>
    <row r="863" spans="1:19" ht="13" x14ac:dyDescent="0.3">
      <c r="A863" s="52" t="s">
        <v>879</v>
      </c>
      <c r="B863" s="6">
        <v>9.32</v>
      </c>
      <c r="C863" s="1">
        <v>0.61</v>
      </c>
      <c r="D863" s="6">
        <v>0.97</v>
      </c>
      <c r="E863" s="6">
        <v>16.7</v>
      </c>
      <c r="F863" s="1">
        <f t="shared" si="65"/>
        <v>1942.7916666666015</v>
      </c>
      <c r="G863" s="17">
        <f>G854*3/12+G866*9/12</f>
        <v>2.4675000000000002</v>
      </c>
      <c r="H863" s="1">
        <f>B863*$E$1867/E863</f>
        <v>187.02798383233534</v>
      </c>
      <c r="I863" s="1">
        <f>C863*$E$1867/E863</f>
        <v>12.241101946107785</v>
      </c>
      <c r="J863" s="26">
        <f t="shared" si="66"/>
        <v>8494.2295625933475</v>
      </c>
      <c r="K863" s="1">
        <f>D863*$E$1867/E863</f>
        <v>19.46535883233533</v>
      </c>
      <c r="L863" s="26">
        <f t="shared" si="64"/>
        <v>884.0560810853591</v>
      </c>
      <c r="M863" s="10">
        <f t="shared" si="62"/>
        <v>9.5991767493529832</v>
      </c>
      <c r="N863" s="4">
        <f t="shared" si="63"/>
        <v>12.442152869609721</v>
      </c>
      <c r="O863" s="36">
        <f>1/M863-(G863/100-(((E863/E743)^(1/10))-1))</f>
        <v>0.10252615661656957</v>
      </c>
      <c r="P863" s="48">
        <v>0.38</v>
      </c>
      <c r="R863" s="30"/>
      <c r="S863" s="30"/>
    </row>
    <row r="864" spans="1:19" ht="13" x14ac:dyDescent="0.3">
      <c r="A864" s="52" t="s">
        <v>880</v>
      </c>
      <c r="B864" s="6">
        <v>9.4700000000000006</v>
      </c>
      <c r="C864" s="1">
        <v>0.6</v>
      </c>
      <c r="D864" s="6">
        <v>1</v>
      </c>
      <c r="E864" s="6">
        <v>16.8</v>
      </c>
      <c r="F864" s="1">
        <f t="shared" si="65"/>
        <v>1942.8749999999347</v>
      </c>
      <c r="G864" s="17">
        <f>G854*2/12+G866*10/12</f>
        <v>2.4683333333333337</v>
      </c>
      <c r="H864" s="1">
        <f>B864*$E$1867/E864</f>
        <v>188.90691175595239</v>
      </c>
      <c r="I864" s="1">
        <f>C864*$E$1867/E864</f>
        <v>11.968758928571427</v>
      </c>
      <c r="J864" s="26">
        <f t="shared" si="66"/>
        <v>8624.8632790423871</v>
      </c>
      <c r="K864" s="1">
        <f>D864*$E$1867/E864</f>
        <v>19.947931547619046</v>
      </c>
      <c r="L864" s="26">
        <f t="shared" si="64"/>
        <v>910.75641806149793</v>
      </c>
      <c r="M864" s="10">
        <f t="shared" si="62"/>
        <v>9.6613341521716549</v>
      </c>
      <c r="N864" s="4">
        <f t="shared" si="63"/>
        <v>12.543111801092833</v>
      </c>
      <c r="O864" s="36">
        <f>1/M864-(G864/100-(((E864/E744)^(1/10))-1))</f>
        <v>0.10323139333544552</v>
      </c>
      <c r="P864" s="48">
        <v>0.38</v>
      </c>
      <c r="R864" s="30"/>
      <c r="S864" s="30"/>
    </row>
    <row r="865" spans="1:19" ht="13" x14ac:dyDescent="0.3">
      <c r="A865" s="52" t="s">
        <v>881</v>
      </c>
      <c r="B865" s="6">
        <v>9.52</v>
      </c>
      <c r="C865" s="1">
        <v>0.59</v>
      </c>
      <c r="D865" s="6">
        <v>1.03</v>
      </c>
      <c r="E865" s="6">
        <v>16.899999999999999</v>
      </c>
      <c r="F865" s="1">
        <f t="shared" si="65"/>
        <v>1942.958333333268</v>
      </c>
      <c r="G865" s="17">
        <f>G854*1/12+G866*11/12</f>
        <v>2.4691666666666667</v>
      </c>
      <c r="H865" s="1">
        <f>B865*$E$1867/E865</f>
        <v>188.78061420118343</v>
      </c>
      <c r="I865" s="1">
        <f>C865*$E$1867/E865</f>
        <v>11.699638905325445</v>
      </c>
      <c r="J865" s="26">
        <f t="shared" si="66"/>
        <v>8663.6108449942349</v>
      </c>
      <c r="K865" s="1">
        <f>D865*$E$1867/E865</f>
        <v>20.424793343195269</v>
      </c>
      <c r="L865" s="26">
        <f t="shared" si="64"/>
        <v>937.3444506663933</v>
      </c>
      <c r="M865" s="10">
        <f t="shared" si="62"/>
        <v>9.6175141032831721</v>
      </c>
      <c r="N865" s="4">
        <f t="shared" si="63"/>
        <v>12.504872502621103</v>
      </c>
      <c r="O865" s="36">
        <f>1/M865-(G865/100-(((E865/E745)^(1/10))-1))</f>
        <v>0.10508258054935478</v>
      </c>
      <c r="P865" s="48">
        <v>0.38</v>
      </c>
      <c r="R865" s="30"/>
      <c r="S865" s="30"/>
    </row>
    <row r="866" spans="1:19" ht="13" x14ac:dyDescent="0.3">
      <c r="A866" s="52" t="s">
        <v>882</v>
      </c>
      <c r="B866" s="6">
        <v>10.09</v>
      </c>
      <c r="C866" s="1">
        <v>0.59</v>
      </c>
      <c r="D866" s="6">
        <v>1.0433300000000001</v>
      </c>
      <c r="E866" s="6">
        <v>16.899999999999999</v>
      </c>
      <c r="F866" s="1">
        <f t="shared" si="65"/>
        <v>1943.0416666666013</v>
      </c>
      <c r="G866" s="17">
        <v>2.4700000000000002</v>
      </c>
      <c r="H866" s="1">
        <f>B866*$E$1867/E866</f>
        <v>200.0836551775148</v>
      </c>
      <c r="I866" s="1">
        <f>C866*$E$1867/E866</f>
        <v>11.699638905325445</v>
      </c>
      <c r="J866" s="26">
        <f t="shared" si="66"/>
        <v>9227.0792324093891</v>
      </c>
      <c r="K866" s="1">
        <f>D866*$E$1867/E866</f>
        <v>20.689125862869826</v>
      </c>
      <c r="L866" s="26">
        <f t="shared" si="64"/>
        <v>954.1019400941218</v>
      </c>
      <c r="M866" s="10">
        <f t="shared" si="62"/>
        <v>10.150534220432078</v>
      </c>
      <c r="N866" s="4">
        <f t="shared" si="63"/>
        <v>13.213565770538395</v>
      </c>
      <c r="O866" s="36">
        <f>1/M866-(G866/100-(((E866/E746)^(1/10))-1))</f>
        <v>0.10119365235814602</v>
      </c>
      <c r="P866" s="48">
        <v>0.38</v>
      </c>
      <c r="R866" s="30"/>
      <c r="S866" s="30"/>
    </row>
    <row r="867" spans="1:19" ht="13" x14ac:dyDescent="0.3">
      <c r="A867" s="52" t="s">
        <v>883</v>
      </c>
      <c r="B867" s="6">
        <v>10.69</v>
      </c>
      <c r="C867" s="1">
        <v>0.59</v>
      </c>
      <c r="D867" s="6">
        <v>1.05667</v>
      </c>
      <c r="E867" s="6">
        <v>16.899999999999999</v>
      </c>
      <c r="F867" s="1">
        <f t="shared" si="65"/>
        <v>1943.1249999999345</v>
      </c>
      <c r="G867" s="17">
        <f>G866*11/12+G878*1/12</f>
        <v>2.4708333333333332</v>
      </c>
      <c r="H867" s="1">
        <f>B867*$E$1867/E867</f>
        <v>211.98159304733727</v>
      </c>
      <c r="I867" s="1">
        <f>C867*$E$1867/E867</f>
        <v>11.699638905325445</v>
      </c>
      <c r="J867" s="26">
        <f t="shared" si="66"/>
        <v>9820.7276237247934</v>
      </c>
      <c r="K867" s="1">
        <f>D867*$E$1867/E867</f>
        <v>20.953656681508875</v>
      </c>
      <c r="L867" s="26">
        <f t="shared" si="64"/>
        <v>970.74539365400165</v>
      </c>
      <c r="M867" s="10">
        <f t="shared" si="62"/>
        <v>10.708982995221263</v>
      </c>
      <c r="N867" s="4">
        <f t="shared" si="63"/>
        <v>13.95260180059096</v>
      </c>
      <c r="O867" s="36">
        <f>1/M867-(G867/100-(((E867/E747)^(1/10))-1))</f>
        <v>9.7654449052904893E-2</v>
      </c>
      <c r="P867" s="48">
        <v>0.38</v>
      </c>
      <c r="R867" s="30"/>
      <c r="S867" s="30"/>
    </row>
    <row r="868" spans="1:19" ht="13" x14ac:dyDescent="0.3">
      <c r="A868" s="52" t="s">
        <v>884</v>
      </c>
      <c r="B868" s="6">
        <v>11.07</v>
      </c>
      <c r="C868" s="1">
        <v>0.59</v>
      </c>
      <c r="D868" s="6">
        <v>1.07</v>
      </c>
      <c r="E868" s="6">
        <v>17.2</v>
      </c>
      <c r="F868" s="1">
        <f t="shared" si="65"/>
        <v>1943.2083333332678</v>
      </c>
      <c r="G868" s="17">
        <f>G866*10/12+G878*2/12</f>
        <v>2.4716666666666667</v>
      </c>
      <c r="H868" s="1">
        <f>B868*$E$1867/E868</f>
        <v>215.68816962209303</v>
      </c>
      <c r="I868" s="1">
        <f>C868*$E$1867/E868</f>
        <v>11.495575436046511</v>
      </c>
      <c r="J868" s="26">
        <f t="shared" si="66"/>
        <v>10036.827464760874</v>
      </c>
      <c r="K868" s="1">
        <f>D868*$E$1867/E868</f>
        <v>20.847907994186048</v>
      </c>
      <c r="L868" s="26">
        <f t="shared" si="64"/>
        <v>970.13598801211708</v>
      </c>
      <c r="M868" s="10">
        <f t="shared" si="62"/>
        <v>10.850541744036796</v>
      </c>
      <c r="N868" s="4">
        <f t="shared" si="63"/>
        <v>14.146459872218632</v>
      </c>
      <c r="O868" s="36">
        <f>1/M868-(G868/100-(((E868/E748)^(1/10))-1))</f>
        <v>9.9055216600679993E-2</v>
      </c>
      <c r="P868" s="48">
        <v>0.38</v>
      </c>
      <c r="R868" s="30"/>
      <c r="S868" s="30"/>
    </row>
    <row r="869" spans="1:19" ht="13" x14ac:dyDescent="0.3">
      <c r="A869" s="52" t="s">
        <v>885</v>
      </c>
      <c r="B869" s="6">
        <v>11.44</v>
      </c>
      <c r="C869" s="1">
        <v>0.59</v>
      </c>
      <c r="D869" s="6">
        <v>1.08</v>
      </c>
      <c r="E869" s="6">
        <v>17.399999999999999</v>
      </c>
      <c r="F869" s="1">
        <f t="shared" si="65"/>
        <v>1943.291666666601</v>
      </c>
      <c r="G869" s="17">
        <f>G866*9/12+G878*3/12</f>
        <v>2.4725000000000001</v>
      </c>
      <c r="H869" s="1">
        <f>B869*$E$1867/E869</f>
        <v>220.33522183908048</v>
      </c>
      <c r="I869" s="1">
        <f>C869*$E$1867/E869</f>
        <v>11.363442385057471</v>
      </c>
      <c r="J869" s="26">
        <f t="shared" si="66"/>
        <v>10297.13877733182</v>
      </c>
      <c r="K869" s="1">
        <f>D869*$E$1867/E869</f>
        <v>20.800877586206898</v>
      </c>
      <c r="L869" s="26">
        <f t="shared" si="64"/>
        <v>972.1075069509061</v>
      </c>
      <c r="M869" s="10">
        <f t="shared" si="62"/>
        <v>11.039227142939687</v>
      </c>
      <c r="N869" s="4">
        <f t="shared" si="63"/>
        <v>14.400210502607536</v>
      </c>
      <c r="O869" s="36">
        <f>1/M869-(G869/100-(((E869/E749)^(1/10))-1))</f>
        <v>9.8664954260692661E-2</v>
      </c>
      <c r="P869" s="48">
        <v>0.38</v>
      </c>
      <c r="R869" s="30"/>
      <c r="S869" s="30"/>
    </row>
    <row r="870" spans="1:19" ht="13" x14ac:dyDescent="0.3">
      <c r="A870" s="52" t="s">
        <v>886</v>
      </c>
      <c r="B870" s="6">
        <v>11.89</v>
      </c>
      <c r="C870" s="1">
        <v>0.59</v>
      </c>
      <c r="D870" s="6">
        <v>1.0900000000000001</v>
      </c>
      <c r="E870" s="6">
        <v>17.5</v>
      </c>
      <c r="F870" s="1">
        <f t="shared" si="65"/>
        <v>1943.3749999999343</v>
      </c>
      <c r="G870" s="17">
        <f>G866*8/12+G878*4/12</f>
        <v>2.4733333333333336</v>
      </c>
      <c r="H870" s="1">
        <f>B870*$E$1867/E870</f>
        <v>227.69366985714285</v>
      </c>
      <c r="I870" s="1">
        <f>C870*$E$1867/E870</f>
        <v>11.298508428571429</v>
      </c>
      <c r="J870" s="26">
        <f t="shared" si="66"/>
        <v>10685.030246309083</v>
      </c>
      <c r="K870" s="1">
        <f>D870*$E$1867/E870</f>
        <v>20.873515571428573</v>
      </c>
      <c r="L870" s="26">
        <f t="shared" si="64"/>
        <v>979.53599398460062</v>
      </c>
      <c r="M870" s="10">
        <f t="shared" si="62"/>
        <v>11.362215800613686</v>
      </c>
      <c r="N870" s="4">
        <f t="shared" si="63"/>
        <v>14.827344489187853</v>
      </c>
      <c r="O870" s="36">
        <f>1/M870-(G870/100-(((E870/E750)^(1/10))-1))</f>
        <v>9.6673607448530652E-2</v>
      </c>
      <c r="P870" s="48">
        <v>0.38</v>
      </c>
      <c r="R870" s="30"/>
      <c r="S870" s="30"/>
    </row>
    <row r="871" spans="1:19" ht="13" x14ac:dyDescent="0.3">
      <c r="A871" s="52" t="s">
        <v>887</v>
      </c>
      <c r="B871" s="6">
        <v>12.1</v>
      </c>
      <c r="C871" s="1">
        <v>0.59</v>
      </c>
      <c r="D871" s="6">
        <v>1.1000000000000001</v>
      </c>
      <c r="E871" s="6">
        <v>17.5</v>
      </c>
      <c r="F871" s="1">
        <f t="shared" si="65"/>
        <v>1943.4583333332675</v>
      </c>
      <c r="G871" s="17">
        <f>G866*7/12+G878*5/12</f>
        <v>2.4741666666666671</v>
      </c>
      <c r="H871" s="1">
        <f>B871*$E$1867/E871</f>
        <v>231.71517285714285</v>
      </c>
      <c r="I871" s="1">
        <f>C871*$E$1867/E871</f>
        <v>11.298508428571429</v>
      </c>
      <c r="J871" s="26">
        <f t="shared" si="66"/>
        <v>10917.932153135696</v>
      </c>
      <c r="K871" s="1">
        <f>D871*$E$1867/E871</f>
        <v>21.065015714285718</v>
      </c>
      <c r="L871" s="26">
        <f t="shared" si="64"/>
        <v>992.53928664869977</v>
      </c>
      <c r="M871" s="10">
        <f t="shared" si="62"/>
        <v>11.516744786451227</v>
      </c>
      <c r="N871" s="4">
        <f t="shared" si="63"/>
        <v>15.033775620802542</v>
      </c>
      <c r="O871" s="36">
        <f>1/M871-(G871/100-(((E871/E751)^(1/10))-1))</f>
        <v>9.4667767857563812E-2</v>
      </c>
      <c r="P871" s="48">
        <v>0.38</v>
      </c>
      <c r="R871" s="30"/>
      <c r="S871" s="30"/>
    </row>
    <row r="872" spans="1:19" ht="13" x14ac:dyDescent="0.3">
      <c r="A872" s="52" t="s">
        <v>888</v>
      </c>
      <c r="B872" s="6">
        <v>12.35</v>
      </c>
      <c r="C872" s="1">
        <v>0.593333</v>
      </c>
      <c r="D872" s="6">
        <v>1.0933299999999999</v>
      </c>
      <c r="E872" s="6">
        <v>17.399999999999999</v>
      </c>
      <c r="F872" s="1">
        <f t="shared" si="65"/>
        <v>1943.5416666666008</v>
      </c>
      <c r="G872" s="17">
        <f>G866*6/12+G878*6/12</f>
        <v>2.4750000000000001</v>
      </c>
      <c r="H872" s="1">
        <f>B872*$E$1867/E872</f>
        <v>237.86188721264369</v>
      </c>
      <c r="I872" s="1">
        <f>C872*$E$1867/E872</f>
        <v>11.427636204497126</v>
      </c>
      <c r="J872" s="26">
        <f t="shared" si="66"/>
        <v>11252.422937971494</v>
      </c>
      <c r="K872" s="1">
        <f>D872*$E$1867/E872</f>
        <v>21.057614343821839</v>
      </c>
      <c r="L872" s="26">
        <f t="shared" si="64"/>
        <v>996.16288022448373</v>
      </c>
      <c r="M872" s="10">
        <f t="shared" si="62"/>
        <v>11.77421334178165</v>
      </c>
      <c r="N872" s="4">
        <f t="shared" si="63"/>
        <v>15.373683748423003</v>
      </c>
      <c r="O872" s="36">
        <f>1/M872-(G872/100-(((E872/E752)^(1/10))-1))</f>
        <v>8.8973877625299957E-2</v>
      </c>
      <c r="P872" s="48">
        <v>0.38</v>
      </c>
      <c r="R872" s="30"/>
      <c r="S872" s="30"/>
    </row>
    <row r="873" spans="1:19" ht="13" x14ac:dyDescent="0.3">
      <c r="A873" s="52" t="s">
        <v>889</v>
      </c>
      <c r="B873" s="6">
        <v>11.74</v>
      </c>
      <c r="C873" s="1">
        <v>0.59666699999999995</v>
      </c>
      <c r="D873" s="6">
        <v>1.08667</v>
      </c>
      <c r="E873" s="6">
        <v>17.3</v>
      </c>
      <c r="F873" s="1">
        <f t="shared" si="65"/>
        <v>1943.6249999999341</v>
      </c>
      <c r="G873" s="17">
        <f>G866*5/12+G878*7/12</f>
        <v>2.4758333333333331</v>
      </c>
      <c r="H873" s="1">
        <f>B873*$E$1867/E873</f>
        <v>227.42025635838149</v>
      </c>
      <c r="I873" s="1">
        <f>C873*$E$1867/E873</f>
        <v>11.558276158482657</v>
      </c>
      <c r="J873" s="26">
        <f t="shared" si="66"/>
        <v>10804.030679183283</v>
      </c>
      <c r="K873" s="1">
        <f>D873*$E$1867/E873</f>
        <v>21.050321122398842</v>
      </c>
      <c r="L873" s="26">
        <f t="shared" si="64"/>
        <v>1000.0354359581004</v>
      </c>
      <c r="M873" s="10">
        <f t="shared" si="62"/>
        <v>11.210545904158961</v>
      </c>
      <c r="N873" s="4">
        <f t="shared" si="63"/>
        <v>14.645291104906294</v>
      </c>
      <c r="O873" s="36">
        <f>1/M873-(G873/100-(((E873/E753)^(1/10))-1))</f>
        <v>9.1861500047827907E-2</v>
      </c>
      <c r="P873" s="48">
        <v>0.38</v>
      </c>
      <c r="R873" s="30"/>
      <c r="S873" s="30"/>
    </row>
    <row r="874" spans="1:19" ht="13" x14ac:dyDescent="0.3">
      <c r="A874" s="52" t="s">
        <v>890</v>
      </c>
      <c r="B874" s="6">
        <v>11.99</v>
      </c>
      <c r="C874" s="1">
        <v>0.6</v>
      </c>
      <c r="D874" s="6">
        <v>1.08</v>
      </c>
      <c r="E874" s="6">
        <v>17.399999999999999</v>
      </c>
      <c r="F874" s="1">
        <f t="shared" si="65"/>
        <v>1943.7083333332673</v>
      </c>
      <c r="G874" s="17">
        <f>G866*4/12+G878*8/12</f>
        <v>2.4766666666666666</v>
      </c>
      <c r="H874" s="1">
        <f>B874*$E$1867/E874</f>
        <v>230.92826135057473</v>
      </c>
      <c r="I874" s="1">
        <f>C874*$E$1867/E874</f>
        <v>11.556043103448276</v>
      </c>
      <c r="J874" s="26">
        <f t="shared" si="66"/>
        <v>11016.434423174747</v>
      </c>
      <c r="K874" s="1">
        <f>D874*$E$1867/E874</f>
        <v>20.800877586206898</v>
      </c>
      <c r="L874" s="26">
        <f t="shared" si="64"/>
        <v>992.30601976886794</v>
      </c>
      <c r="M874" s="10">
        <f t="shared" si="62"/>
        <v>11.336281939610279</v>
      </c>
      <c r="N874" s="4">
        <f t="shared" si="63"/>
        <v>14.816447618832898</v>
      </c>
      <c r="O874" s="36">
        <f>1/M874-(G874/100-(((E874/E754)^(1/10))-1))</f>
        <v>9.1456132605392398E-2</v>
      </c>
      <c r="P874" s="48">
        <v>0.38</v>
      </c>
      <c r="R874" s="30"/>
      <c r="S874" s="30"/>
    </row>
    <row r="875" spans="1:19" ht="13" x14ac:dyDescent="0.3">
      <c r="A875" s="52" t="s">
        <v>891</v>
      </c>
      <c r="B875" s="6">
        <v>11.88</v>
      </c>
      <c r="C875" s="1">
        <v>0.60333300000000001</v>
      </c>
      <c r="D875" s="6">
        <v>1.0333300000000001</v>
      </c>
      <c r="E875" s="6">
        <v>17.399999999999999</v>
      </c>
      <c r="F875" s="1">
        <f t="shared" si="65"/>
        <v>1943.7916666666006</v>
      </c>
      <c r="G875" s="17">
        <f>G866*3/12+G878*9/12</f>
        <v>2.4775</v>
      </c>
      <c r="H875" s="1">
        <f>B875*$E$1867/E875</f>
        <v>228.8096534482759</v>
      </c>
      <c r="I875" s="1">
        <f>C875*$E$1867/E875</f>
        <v>11.620236922887932</v>
      </c>
      <c r="J875" s="26">
        <f t="shared" si="66"/>
        <v>10961.561508184803</v>
      </c>
      <c r="K875" s="1">
        <f>D875*$E$1867/E875</f>
        <v>19.902010033477012</v>
      </c>
      <c r="L875" s="26">
        <f t="shared" si="64"/>
        <v>953.44363242867007</v>
      </c>
      <c r="M875" s="10">
        <f t="shared" si="62"/>
        <v>11.187335503326027</v>
      </c>
      <c r="N875" s="4">
        <f t="shared" si="63"/>
        <v>14.62998701387415</v>
      </c>
      <c r="O875" s="36">
        <f>1/M875-(G875/100-(((E875/E755)^(1/10))-1))</f>
        <v>9.2622244629765982E-2</v>
      </c>
      <c r="P875" s="48">
        <v>0.38</v>
      </c>
      <c r="R875" s="30"/>
      <c r="S875" s="30"/>
    </row>
    <row r="876" spans="1:19" ht="13" x14ac:dyDescent="0.3">
      <c r="A876" s="52" t="s">
        <v>892</v>
      </c>
      <c r="B876" s="6">
        <v>11.33</v>
      </c>
      <c r="C876" s="1">
        <v>0.60666699999999996</v>
      </c>
      <c r="D876" s="6">
        <v>0.98666699999999996</v>
      </c>
      <c r="E876" s="6">
        <v>17.399999999999999</v>
      </c>
      <c r="F876" s="1">
        <f t="shared" si="65"/>
        <v>1943.8749999999338</v>
      </c>
      <c r="G876" s="17">
        <f>G866*2/12+G878*10/12</f>
        <v>2.4783333333333335</v>
      </c>
      <c r="H876" s="1">
        <f>B876*$E$1867/E876</f>
        <v>218.21661393678161</v>
      </c>
      <c r="I876" s="1">
        <f>C876*$E$1867/E876</f>
        <v>11.684450002399425</v>
      </c>
      <c r="J876" s="26">
        <f t="shared" si="66"/>
        <v>10500.728958251204</v>
      </c>
      <c r="K876" s="1">
        <f>D876*$E$1867/E876</f>
        <v>19.003277301250002</v>
      </c>
      <c r="L876" s="26">
        <f t="shared" si="64"/>
        <v>914.45037414394005</v>
      </c>
      <c r="M876" s="10">
        <f t="shared" si="62"/>
        <v>10.631033673001413</v>
      </c>
      <c r="N876" s="4">
        <f t="shared" si="63"/>
        <v>13.915069560218258</v>
      </c>
      <c r="O876" s="36">
        <f>1/M876-(G876/100-(((E876/E756)^(1/10))-1))</f>
        <v>9.7291352451369953E-2</v>
      </c>
      <c r="P876" s="48">
        <v>0.38</v>
      </c>
      <c r="R876" s="30"/>
      <c r="S876" s="30"/>
    </row>
    <row r="877" spans="1:19" ht="13" x14ac:dyDescent="0.3">
      <c r="A877" s="52" t="s">
        <v>893</v>
      </c>
      <c r="B877" s="6">
        <v>11.48</v>
      </c>
      <c r="C877" s="1">
        <v>0.61</v>
      </c>
      <c r="D877" s="6">
        <v>0.94</v>
      </c>
      <c r="E877" s="6">
        <v>17.399999999999999</v>
      </c>
      <c r="F877" s="1">
        <f t="shared" si="65"/>
        <v>1943.9583333332671</v>
      </c>
      <c r="G877" s="17">
        <f>G866*1/12+G878*11/12</f>
        <v>2.479166666666667</v>
      </c>
      <c r="H877" s="1">
        <f>B877*$E$1867/E877</f>
        <v>221.1056247126437</v>
      </c>
      <c r="I877" s="1">
        <f>C877*$E$1867/E877</f>
        <v>11.748643821839082</v>
      </c>
      <c r="J877" s="26">
        <f t="shared" si="66"/>
        <v>10686.862797537653</v>
      </c>
      <c r="K877" s="1">
        <f>D877*$E$1867/E877</f>
        <v>18.104467528735633</v>
      </c>
      <c r="L877" s="26">
        <f t="shared" si="64"/>
        <v>875.05670990290889</v>
      </c>
      <c r="M877" s="10">
        <f t="shared" si="62"/>
        <v>10.737360316041066</v>
      </c>
      <c r="N877" s="4">
        <f t="shared" si="63"/>
        <v>14.068001177874846</v>
      </c>
      <c r="O877" s="36">
        <f>1/M877-(G877/100-(((E877/E757)^(1/10))-1))</f>
        <v>9.6351548668495698E-2</v>
      </c>
      <c r="P877" s="48">
        <v>0.38</v>
      </c>
      <c r="R877" s="30"/>
      <c r="S877" s="30"/>
    </row>
    <row r="878" spans="1:19" ht="13" x14ac:dyDescent="0.3">
      <c r="A878" s="52" t="s">
        <v>894</v>
      </c>
      <c r="B878" s="6">
        <v>11.85</v>
      </c>
      <c r="C878" s="1">
        <v>0.61333300000000002</v>
      </c>
      <c r="D878" s="6">
        <v>0.93666700000000003</v>
      </c>
      <c r="E878" s="6">
        <v>17.399999999999999</v>
      </c>
      <c r="F878" s="1">
        <f t="shared" si="65"/>
        <v>1944.0416666666003</v>
      </c>
      <c r="G878" s="17">
        <v>2.48</v>
      </c>
      <c r="H878" s="1">
        <f>B878*$E$1867/E878</f>
        <v>228.23185129310346</v>
      </c>
      <c r="I878" s="1">
        <f>C878*$E$1867/E878</f>
        <v>11.812837641278737</v>
      </c>
      <c r="J878" s="26">
        <f t="shared" si="66"/>
        <v>11078.879902947565</v>
      </c>
      <c r="K878" s="1">
        <f>D878*$E$1867/E878</f>
        <v>18.040273709295978</v>
      </c>
      <c r="L878" s="26">
        <f t="shared" si="64"/>
        <v>875.71486937166128</v>
      </c>
      <c r="M878" s="10">
        <f t="shared" si="62"/>
        <v>11.052412763977467</v>
      </c>
      <c r="N878" s="4">
        <f t="shared" si="63"/>
        <v>14.494846472285847</v>
      </c>
      <c r="O878" s="36">
        <f>1/M878-(G878/100-(((E878/E758)^(1/10))-1))</f>
        <v>9.3688437178742909E-2</v>
      </c>
      <c r="P878" s="48">
        <v>0.38</v>
      </c>
      <c r="R878" s="30"/>
      <c r="S878" s="30"/>
    </row>
    <row r="879" spans="1:19" ht="13" x14ac:dyDescent="0.3">
      <c r="A879" s="52" t="s">
        <v>895</v>
      </c>
      <c r="B879" s="6">
        <v>11.77</v>
      </c>
      <c r="C879" s="1">
        <v>0.61666699999999997</v>
      </c>
      <c r="D879" s="6">
        <v>0.93333299999999997</v>
      </c>
      <c r="E879" s="6">
        <v>17.399999999999999</v>
      </c>
      <c r="F879" s="1">
        <f t="shared" si="65"/>
        <v>1944.1249999999336</v>
      </c>
      <c r="G879" s="17">
        <f>G878*11/12+G890*1/12</f>
        <v>2.4708333333333332</v>
      </c>
      <c r="H879" s="1">
        <f>B879*$E$1867/E879</f>
        <v>226.691045545977</v>
      </c>
      <c r="I879" s="1">
        <f>C879*$E$1867/E879</f>
        <v>11.87705072079023</v>
      </c>
      <c r="J879" s="26">
        <f t="shared" si="66"/>
        <v>11052.130640825771</v>
      </c>
      <c r="K879" s="1">
        <f>D879*$E$1867/E879</f>
        <v>17.976060629784484</v>
      </c>
      <c r="L879" s="26">
        <f t="shared" si="64"/>
        <v>876.40766757806625</v>
      </c>
      <c r="M879" s="10">
        <f t="shared" si="62"/>
        <v>10.947918887724716</v>
      </c>
      <c r="N879" s="4">
        <f t="shared" si="63"/>
        <v>14.372484109547706</v>
      </c>
      <c r="O879" s="36">
        <f>1/M879-(G879/100-(((E879/E759)^(1/10))-1))</f>
        <v>9.3868115119619996E-2</v>
      </c>
      <c r="P879" s="48">
        <v>0.38</v>
      </c>
      <c r="R879" s="30"/>
      <c r="S879" s="30"/>
    </row>
    <row r="880" spans="1:19" ht="13" x14ac:dyDescent="0.3">
      <c r="A880" s="52" t="s">
        <v>896</v>
      </c>
      <c r="B880" s="6">
        <v>12.1</v>
      </c>
      <c r="C880" s="1">
        <v>0.62</v>
      </c>
      <c r="D880" s="6">
        <v>0.93</v>
      </c>
      <c r="E880" s="6">
        <v>17.399999999999999</v>
      </c>
      <c r="F880" s="1">
        <f t="shared" si="65"/>
        <v>1944.2083333332669</v>
      </c>
      <c r="G880" s="17">
        <f>G878*10/12+G890*2/12</f>
        <v>2.4616666666666669</v>
      </c>
      <c r="H880" s="1">
        <f>B880*$E$1867/E880</f>
        <v>233.04686925287356</v>
      </c>
      <c r="I880" s="1">
        <f>C880*$E$1867/E880</f>
        <v>11.941244540229885</v>
      </c>
      <c r="J880" s="26">
        <f t="shared" si="66"/>
        <v>11410.518904313327</v>
      </c>
      <c r="K880" s="1">
        <f>D880*$E$1867/E880</f>
        <v>17.911866810344829</v>
      </c>
      <c r="L880" s="26">
        <f t="shared" si="64"/>
        <v>877.00682487697475</v>
      </c>
      <c r="M880" s="10">
        <f t="shared" si="62"/>
        <v>11.224693196180677</v>
      </c>
      <c r="N880" s="4">
        <f t="shared" si="63"/>
        <v>14.749564229990984</v>
      </c>
      <c r="O880" s="36">
        <f>1/M880-(G880/100-(((E880/E760)^(1/10))-1))</f>
        <v>9.1707515562675618E-2</v>
      </c>
      <c r="P880" s="48">
        <v>0.38</v>
      </c>
      <c r="R880" s="30"/>
      <c r="S880" s="30"/>
    </row>
    <row r="881" spans="1:19" ht="13" x14ac:dyDescent="0.3">
      <c r="A881" s="52" t="s">
        <v>897</v>
      </c>
      <c r="B881" s="6">
        <v>11.89</v>
      </c>
      <c r="C881" s="1">
        <v>0.62333300000000003</v>
      </c>
      <c r="D881" s="6">
        <v>0.92666700000000002</v>
      </c>
      <c r="E881" s="6">
        <v>17.5</v>
      </c>
      <c r="F881" s="1">
        <f t="shared" si="65"/>
        <v>1944.2916666666001</v>
      </c>
      <c r="G881" s="17">
        <f>G878*9/12+G890*3/12</f>
        <v>2.4525000000000001</v>
      </c>
      <c r="H881" s="1">
        <f>B881*$E$1867/E881</f>
        <v>227.69366985714285</v>
      </c>
      <c r="I881" s="1">
        <f>C881*$E$1867/E881</f>
        <v>11.936835854757144</v>
      </c>
      <c r="J881" s="26">
        <f t="shared" si="66"/>
        <v>11197.118374777006</v>
      </c>
      <c r="K881" s="1">
        <f>D881*$E$1867/E881</f>
        <v>17.7456862881</v>
      </c>
      <c r="L881" s="26">
        <f t="shared" si="64"/>
        <v>872.66611379306016</v>
      </c>
      <c r="M881" s="10">
        <f t="shared" si="62"/>
        <v>10.938275188239393</v>
      </c>
      <c r="N881" s="4">
        <f t="shared" si="63"/>
        <v>14.387983948343427</v>
      </c>
      <c r="O881" s="36">
        <f>1/M881-(G881/100-(((E881/E761)^(1/10))-1))</f>
        <v>9.4720823089111061E-2</v>
      </c>
      <c r="P881" s="48">
        <v>0.38</v>
      </c>
      <c r="R881" s="30"/>
      <c r="S881" s="30"/>
    </row>
    <row r="882" spans="1:19" ht="13" x14ac:dyDescent="0.3">
      <c r="A882" s="52" t="s">
        <v>898</v>
      </c>
      <c r="B882" s="6">
        <v>12.1</v>
      </c>
      <c r="C882" s="1">
        <v>0.62666699999999997</v>
      </c>
      <c r="D882" s="6">
        <v>0.92333299999999996</v>
      </c>
      <c r="E882" s="6">
        <v>17.5</v>
      </c>
      <c r="F882" s="1">
        <f t="shared" si="65"/>
        <v>1944.3749999999334</v>
      </c>
      <c r="G882" s="17">
        <f>G878*8/12+G890*4/12</f>
        <v>2.4433333333333334</v>
      </c>
      <c r="H882" s="1">
        <f>B882*$E$1867/E882</f>
        <v>231.71517285714285</v>
      </c>
      <c r="I882" s="1">
        <f>C882*$E$1867/E882</f>
        <v>12.000682002385712</v>
      </c>
      <c r="J882" s="26">
        <f t="shared" si="66"/>
        <v>11444.059802342219</v>
      </c>
      <c r="K882" s="1">
        <f>D882*$E$1867/E882</f>
        <v>17.681840140471429</v>
      </c>
      <c r="L882" s="26">
        <f t="shared" si="64"/>
        <v>873.27917929554121</v>
      </c>
      <c r="M882" s="10">
        <f t="shared" si="62"/>
        <v>11.103736936792618</v>
      </c>
      <c r="N882" s="4">
        <f t="shared" si="63"/>
        <v>14.620020758909035</v>
      </c>
      <c r="O882" s="36">
        <f>1/M882-(G882/100-(((E882/E762)^(1/10))-1))</f>
        <v>9.3450168289046232E-2</v>
      </c>
      <c r="P882" s="48">
        <v>0.38</v>
      </c>
      <c r="R882" s="30"/>
      <c r="S882" s="30"/>
    </row>
    <row r="883" spans="1:19" ht="13" x14ac:dyDescent="0.3">
      <c r="A883" s="52" t="s">
        <v>899</v>
      </c>
      <c r="B883" s="6">
        <v>12.67</v>
      </c>
      <c r="C883" s="1">
        <v>0.63</v>
      </c>
      <c r="D883" s="6">
        <v>0.92</v>
      </c>
      <c r="E883" s="6">
        <v>17.600000000000001</v>
      </c>
      <c r="F883" s="1">
        <f t="shared" si="65"/>
        <v>1944.4583333332666</v>
      </c>
      <c r="G883" s="17">
        <f>G878*7/12+G890*5/12</f>
        <v>2.4341666666666666</v>
      </c>
      <c r="H883" s="1">
        <f>B883*$E$1867/E883</f>
        <v>241.25209758522723</v>
      </c>
      <c r="I883" s="1">
        <f>C883*$E$1867/E883</f>
        <v>11.995960653409091</v>
      </c>
      <c r="J883" s="26">
        <f t="shared" si="66"/>
        <v>11964.44585658213</v>
      </c>
      <c r="K883" s="1">
        <f>D883*$E$1867/E883</f>
        <v>17.517910795454544</v>
      </c>
      <c r="L883" s="26">
        <f t="shared" si="64"/>
        <v>868.76797064369055</v>
      </c>
      <c r="M883" s="10">
        <f t="shared" si="62"/>
        <v>11.5327852725325</v>
      </c>
      <c r="N883" s="4">
        <f t="shared" si="63"/>
        <v>15.197274767915051</v>
      </c>
      <c r="O883" s="36">
        <f>1/M883-(G883/100-(((E883/E763)^(1/10))-1))</f>
        <v>9.0007150820361287E-2</v>
      </c>
      <c r="P883" s="48">
        <v>0.38</v>
      </c>
      <c r="R883" s="30"/>
      <c r="S883" s="30"/>
    </row>
    <row r="884" spans="1:19" ht="13" x14ac:dyDescent="0.3">
      <c r="A884" s="52" t="s">
        <v>900</v>
      </c>
      <c r="B884" s="6">
        <v>13</v>
      </c>
      <c r="C884" s="1">
        <v>0.63333300000000003</v>
      </c>
      <c r="D884" s="6">
        <v>0.91333299999999995</v>
      </c>
      <c r="E884" s="6">
        <v>17.7</v>
      </c>
      <c r="F884" s="1">
        <f t="shared" si="65"/>
        <v>1944.5416666665999</v>
      </c>
      <c r="G884" s="17">
        <f>G878*6/12+G890*6/12</f>
        <v>2.4249999999999998</v>
      </c>
      <c r="H884" s="1">
        <f>B884*$E$1867/E884</f>
        <v>246.13718926553673</v>
      </c>
      <c r="I884" s="1">
        <f>C884*$E$1867/E884</f>
        <v>11.991292653008475</v>
      </c>
      <c r="J884" s="26">
        <f t="shared" si="66"/>
        <v>12256.269968895782</v>
      </c>
      <c r="K884" s="1">
        <f>D884*$E$1867/E884</f>
        <v>17.292709037189265</v>
      </c>
      <c r="L884" s="26">
        <f t="shared" si="64"/>
        <v>861.08121688473</v>
      </c>
      <c r="M884" s="10">
        <f t="shared" si="62"/>
        <v>11.73877475018071</v>
      </c>
      <c r="N884" s="4">
        <f t="shared" si="63"/>
        <v>15.480309849362976</v>
      </c>
      <c r="O884" s="36">
        <f>1/M884-(G884/100-(((E884/E764)^(1/10))-1))</f>
        <v>8.9159659602390987E-2</v>
      </c>
      <c r="P884" s="48">
        <v>0.38</v>
      </c>
      <c r="R884" s="30"/>
      <c r="S884" s="30"/>
    </row>
    <row r="885" spans="1:19" ht="13" x14ac:dyDescent="0.3">
      <c r="A885" s="52" t="s">
        <v>901</v>
      </c>
      <c r="B885" s="6">
        <v>12.81</v>
      </c>
      <c r="C885" s="1">
        <v>0.63666699999999998</v>
      </c>
      <c r="D885" s="6">
        <v>0.906667</v>
      </c>
      <c r="E885" s="6">
        <v>17.7</v>
      </c>
      <c r="F885" s="1">
        <f t="shared" si="65"/>
        <v>1944.6249999999332</v>
      </c>
      <c r="G885" s="17">
        <f>G878*5/12+G890*7/12</f>
        <v>2.4158333333333335</v>
      </c>
      <c r="H885" s="1">
        <f>B885*$E$1867/E885</f>
        <v>242.53979957627121</v>
      </c>
      <c r="I885" s="1">
        <f>C885*$E$1867/E885</f>
        <v>12.054417375240114</v>
      </c>
      <c r="J885" s="26">
        <f t="shared" si="66"/>
        <v>12127.160142634273</v>
      </c>
      <c r="K885" s="1">
        <f>D885*$E$1867/E885</f>
        <v>17.166497459985877</v>
      </c>
      <c r="L885" s="26">
        <f t="shared" si="64"/>
        <v>858.33691686508882</v>
      </c>
      <c r="M885" s="10">
        <f t="shared" si="62"/>
        <v>11.541711674209218</v>
      </c>
      <c r="N885" s="4">
        <f t="shared" si="63"/>
        <v>15.233407930416297</v>
      </c>
      <c r="O885" s="36">
        <f>1/M885-(G885/100-(((E885/E765)^(1/10))-1))</f>
        <v>9.0705821385116639E-2</v>
      </c>
      <c r="P885" s="48">
        <v>0.38</v>
      </c>
      <c r="R885" s="30"/>
      <c r="S885" s="30"/>
    </row>
    <row r="886" spans="1:19" ht="13" x14ac:dyDescent="0.3">
      <c r="A886" s="52" t="s">
        <v>902</v>
      </c>
      <c r="B886" s="6">
        <v>12.6</v>
      </c>
      <c r="C886" s="1">
        <v>0.64</v>
      </c>
      <c r="D886" s="6">
        <v>0.9</v>
      </c>
      <c r="E886" s="6">
        <v>17.7</v>
      </c>
      <c r="F886" s="1">
        <f t="shared" si="65"/>
        <v>1944.7083333332664</v>
      </c>
      <c r="G886" s="17">
        <f>G878*4/12+G890*8/12</f>
        <v>2.4066666666666667</v>
      </c>
      <c r="H886" s="1">
        <f>B886*$E$1867/E886</f>
        <v>238.56373728813557</v>
      </c>
      <c r="I886" s="1">
        <f>C886*$E$1867/E886</f>
        <v>12.11752316384181</v>
      </c>
      <c r="J886" s="26">
        <f t="shared" si="66"/>
        <v>11978.844626968434</v>
      </c>
      <c r="K886" s="1">
        <f>D886*$E$1867/E886</f>
        <v>17.040266949152542</v>
      </c>
      <c r="L886" s="26">
        <f t="shared" si="64"/>
        <v>855.63175906917388</v>
      </c>
      <c r="M886" s="10">
        <f t="shared" si="62"/>
        <v>11.328560584696467</v>
      </c>
      <c r="N886" s="4">
        <f t="shared" si="63"/>
        <v>14.966305729668402</v>
      </c>
      <c r="O886" s="36">
        <f>1/M886-(G886/100-(((E886/E766)^(1/10))-1))</f>
        <v>9.0905502784364212E-2</v>
      </c>
      <c r="P886" s="48">
        <v>0.38</v>
      </c>
      <c r="R886" s="30"/>
      <c r="S886" s="30"/>
    </row>
    <row r="887" spans="1:19" ht="13" x14ac:dyDescent="0.3">
      <c r="A887" s="52" t="s">
        <v>903</v>
      </c>
      <c r="B887" s="6">
        <v>12.91</v>
      </c>
      <c r="C887" s="1">
        <v>0.64</v>
      </c>
      <c r="D887" s="6">
        <v>0.91</v>
      </c>
      <c r="E887" s="6">
        <v>17.7</v>
      </c>
      <c r="F887" s="1">
        <f t="shared" si="65"/>
        <v>1944.7916666665997</v>
      </c>
      <c r="G887" s="17">
        <f>G878*3/12+G890*9/12</f>
        <v>2.3975</v>
      </c>
      <c r="H887" s="1">
        <f>B887*$E$1867/E887</f>
        <v>244.43316257062148</v>
      </c>
      <c r="I887" s="1">
        <f>C887*$E$1867/E887</f>
        <v>12.11752316384181</v>
      </c>
      <c r="J887" s="26">
        <f t="shared" si="66"/>
        <v>12324.266337111174</v>
      </c>
      <c r="K887" s="1">
        <f>D887*$E$1867/E887</f>
        <v>17.229603248587573</v>
      </c>
      <c r="L887" s="26">
        <f t="shared" si="64"/>
        <v>868.71280919993558</v>
      </c>
      <c r="M887" s="10">
        <f t="shared" si="62"/>
        <v>11.58310518627912</v>
      </c>
      <c r="N887" s="4">
        <f t="shared" si="63"/>
        <v>15.315966613277244</v>
      </c>
      <c r="O887" s="36">
        <f>1/M887-(G887/100-(((E887/E767)^(1/10))-1))</f>
        <v>8.9815332339061291E-2</v>
      </c>
      <c r="P887" s="48">
        <v>0.38</v>
      </c>
      <c r="R887" s="30"/>
      <c r="S887" s="30"/>
    </row>
    <row r="888" spans="1:19" ht="13" x14ac:dyDescent="0.3">
      <c r="A888" s="52" t="s">
        <v>904</v>
      </c>
      <c r="B888" s="6">
        <v>12.82</v>
      </c>
      <c r="C888" s="1">
        <v>0.64</v>
      </c>
      <c r="D888" s="6">
        <v>0.92</v>
      </c>
      <c r="E888" s="6">
        <v>17.7</v>
      </c>
      <c r="F888" s="1">
        <f t="shared" si="65"/>
        <v>1944.8749999999329</v>
      </c>
      <c r="G888" s="17">
        <f>G878*2/12+G890*10/12</f>
        <v>2.3883333333333336</v>
      </c>
      <c r="H888" s="1">
        <f>B888*$E$1867/E888</f>
        <v>242.72913587570622</v>
      </c>
      <c r="I888" s="1">
        <f>C888*$E$1867/E888</f>
        <v>12.11752316384181</v>
      </c>
      <c r="J888" s="26">
        <f t="shared" si="66"/>
        <v>12289.263256886999</v>
      </c>
      <c r="K888" s="1">
        <f>D888*$E$1867/E888</f>
        <v>17.4189395480226</v>
      </c>
      <c r="L888" s="26">
        <f t="shared" si="64"/>
        <v>881.91280782652416</v>
      </c>
      <c r="M888" s="10">
        <f t="shared" si="62"/>
        <v>11.478459198055475</v>
      </c>
      <c r="N888" s="4">
        <f t="shared" si="63"/>
        <v>15.190706986565095</v>
      </c>
      <c r="O888" s="36">
        <f>1/M888-(G888/100-(((E888/E768)^(1/10))-1))</f>
        <v>9.0694070146548095E-2</v>
      </c>
      <c r="P888" s="48">
        <v>0.38</v>
      </c>
      <c r="R888" s="30"/>
      <c r="S888" s="30"/>
    </row>
    <row r="889" spans="1:19" ht="13" x14ac:dyDescent="0.3">
      <c r="A889" s="52" t="s">
        <v>905</v>
      </c>
      <c r="B889" s="6">
        <v>13.1</v>
      </c>
      <c r="C889" s="1">
        <v>0.64</v>
      </c>
      <c r="D889" s="6">
        <v>0.93</v>
      </c>
      <c r="E889" s="6">
        <v>17.8</v>
      </c>
      <c r="F889" s="1">
        <f t="shared" si="65"/>
        <v>1944.9583333332662</v>
      </c>
      <c r="G889" s="17">
        <f>G878*1/12+G890*11/12</f>
        <v>2.3791666666666664</v>
      </c>
      <c r="H889" s="1">
        <f>B889*$E$1867/E889</f>
        <v>246.63712219101123</v>
      </c>
      <c r="I889" s="1">
        <f>C889*$E$1867/E889</f>
        <v>12.049447191011236</v>
      </c>
      <c r="J889" s="26">
        <f t="shared" si="66"/>
        <v>12537.960945366658</v>
      </c>
      <c r="K889" s="1">
        <f>D889*$E$1867/E889</f>
        <v>17.509352949438203</v>
      </c>
      <c r="L889" s="26">
        <f t="shared" si="64"/>
        <v>890.09951749549566</v>
      </c>
      <c r="M889" s="10">
        <f t="shared" si="62"/>
        <v>11.638683593355127</v>
      </c>
      <c r="N889" s="4">
        <f t="shared" si="63"/>
        <v>15.414205958668212</v>
      </c>
      <c r="O889" s="36">
        <f>1/M889-(G889/100-(((E889/E769)^(1/10))-1))</f>
        <v>9.0930041266258227E-2</v>
      </c>
      <c r="P889" s="48">
        <v>0.38</v>
      </c>
      <c r="R889" s="30"/>
      <c r="S889" s="30"/>
    </row>
    <row r="890" spans="1:19" ht="13" x14ac:dyDescent="0.3">
      <c r="A890" s="52" t="s">
        <v>906</v>
      </c>
      <c r="B890" s="6">
        <v>13.49</v>
      </c>
      <c r="C890" s="1">
        <v>0.64333300000000004</v>
      </c>
      <c r="D890" s="6">
        <v>0.94</v>
      </c>
      <c r="E890" s="6">
        <v>17.8</v>
      </c>
      <c r="F890" s="1">
        <f t="shared" si="65"/>
        <v>1945.0416666665994</v>
      </c>
      <c r="G890" s="17">
        <v>2.37</v>
      </c>
      <c r="H890" s="1">
        <f>B890*$E$1867/E890</f>
        <v>253.97975407303369</v>
      </c>
      <c r="I890" s="1">
        <f>C890*$E$1867/E890</f>
        <v>12.112198452710674</v>
      </c>
      <c r="J890" s="26">
        <f t="shared" si="66"/>
        <v>12962.539452066287</v>
      </c>
      <c r="K890" s="1">
        <f>D890*$E$1867/E890</f>
        <v>17.69762556179775</v>
      </c>
      <c r="L890" s="26">
        <f t="shared" si="64"/>
        <v>903.24589213805109</v>
      </c>
      <c r="M890" s="10">
        <f t="shared" ref="M890:M953" si="67">H890/AVERAGE(K770:K889)</f>
        <v>11.960463439806984</v>
      </c>
      <c r="N890" s="4">
        <f t="shared" ref="N890:N953" si="68">J890/AVERAGE(L770:L889)</f>
        <v>15.850197374836554</v>
      </c>
      <c r="O890" s="36">
        <f>1/M890-(G890/100-(((E890/E770)^(1/10))-1))</f>
        <v>8.7187088829362797E-2</v>
      </c>
      <c r="P890" s="48">
        <v>0.38</v>
      </c>
      <c r="R890" s="30"/>
      <c r="S890" s="30"/>
    </row>
    <row r="891" spans="1:19" ht="13" x14ac:dyDescent="0.3">
      <c r="A891" s="52" t="s">
        <v>907</v>
      </c>
      <c r="B891" s="6">
        <v>13.94</v>
      </c>
      <c r="C891" s="1">
        <v>0.64666699999999999</v>
      </c>
      <c r="D891" s="6">
        <v>0.95</v>
      </c>
      <c r="E891" s="6">
        <v>17.8</v>
      </c>
      <c r="F891" s="1">
        <f t="shared" si="65"/>
        <v>1945.1249999999327</v>
      </c>
      <c r="G891" s="17">
        <f>G890*11/12+G902*1/12</f>
        <v>2.355</v>
      </c>
      <c r="H891" s="1">
        <f>B891*$E$1867/E891</f>
        <v>262.4520216292135</v>
      </c>
      <c r="I891" s="1">
        <f>C891*$E$1867/E891</f>
        <v>12.174968541671348</v>
      </c>
      <c r="J891" s="26">
        <f t="shared" si="66"/>
        <v>13446.726254271671</v>
      </c>
      <c r="K891" s="1">
        <f>D891*$E$1867/E891</f>
        <v>17.885898174157301</v>
      </c>
      <c r="L891" s="26">
        <f t="shared" si="64"/>
        <v>916.38378346901607</v>
      </c>
      <c r="M891" s="10">
        <f t="shared" si="67"/>
        <v>12.341753548186311</v>
      </c>
      <c r="N891" s="4">
        <f t="shared" si="68"/>
        <v>16.360841623342559</v>
      </c>
      <c r="O891" s="36">
        <f>1/M891-(G891/100-(((E891/E771)^(1/10))-1))</f>
        <v>8.4001739041967435E-2</v>
      </c>
      <c r="P891" s="48">
        <v>0.38</v>
      </c>
      <c r="R891" s="30"/>
      <c r="S891" s="30"/>
    </row>
    <row r="892" spans="1:19" ht="13" x14ac:dyDescent="0.3">
      <c r="A892" s="52" t="s">
        <v>908</v>
      </c>
      <c r="B892" s="6">
        <v>13.93</v>
      </c>
      <c r="C892" s="1">
        <v>0.65</v>
      </c>
      <c r="D892" s="6">
        <v>0.96</v>
      </c>
      <c r="E892" s="6">
        <v>17.8</v>
      </c>
      <c r="F892" s="1">
        <f t="shared" si="65"/>
        <v>1945.208333333266</v>
      </c>
      <c r="G892" s="17">
        <f>G890*10/12+G902*2/12</f>
        <v>2.3400000000000003</v>
      </c>
      <c r="H892" s="1">
        <f>B892*$E$1867/E892</f>
        <v>262.26374901685392</v>
      </c>
      <c r="I892" s="1">
        <f>C892*$E$1867/E892</f>
        <v>12.237719803370785</v>
      </c>
      <c r="J892" s="26">
        <f t="shared" si="66"/>
        <v>13489.330061748737</v>
      </c>
      <c r="K892" s="1">
        <f>D892*$E$1867/E892</f>
        <v>18.074170786516852</v>
      </c>
      <c r="L892" s="26">
        <f t="shared" si="64"/>
        <v>929.63078673932421</v>
      </c>
      <c r="M892" s="10">
        <f t="shared" si="67"/>
        <v>12.323310311389323</v>
      </c>
      <c r="N892" s="4">
        <f t="shared" si="68"/>
        <v>16.339009379818254</v>
      </c>
      <c r="O892" s="36">
        <f>1/M892-(G892/100-(((E892/E772)^(1/10))-1))</f>
        <v>8.4273003320711901E-2</v>
      </c>
      <c r="P892" s="48">
        <v>0.38</v>
      </c>
      <c r="R892" s="30"/>
      <c r="S892" s="30"/>
    </row>
    <row r="893" spans="1:19" ht="13" x14ac:dyDescent="0.3">
      <c r="A893" s="52" t="s">
        <v>909</v>
      </c>
      <c r="B893" s="6">
        <v>14.28</v>
      </c>
      <c r="C893" s="1">
        <v>0.65</v>
      </c>
      <c r="D893" s="6">
        <v>0.973333</v>
      </c>
      <c r="E893" s="6">
        <v>17.8</v>
      </c>
      <c r="F893" s="1">
        <f t="shared" si="65"/>
        <v>1945.2916666665992</v>
      </c>
      <c r="G893" s="17">
        <f>G890*9/12+G902*3/12</f>
        <v>2.3250000000000002</v>
      </c>
      <c r="H893" s="1">
        <f>B893*$E$1867/E893</f>
        <v>268.85329044943819</v>
      </c>
      <c r="I893" s="1">
        <f>C893*$E$1867/E893</f>
        <v>12.237719803370785</v>
      </c>
      <c r="J893" s="26">
        <f t="shared" si="66"/>
        <v>13880.711078735343</v>
      </c>
      <c r="K893" s="1">
        <f>D893*$E$1867/E893</f>
        <v>18.325194660575843</v>
      </c>
      <c r="L893" s="26">
        <f t="shared" si="64"/>
        <v>946.11723784304672</v>
      </c>
      <c r="M893" s="10">
        <f t="shared" si="67"/>
        <v>12.631867236563071</v>
      </c>
      <c r="N893" s="4">
        <f t="shared" si="68"/>
        <v>16.745879992645992</v>
      </c>
      <c r="O893" s="36">
        <f>1/M893-(G893/100-(((E893/E773)^(1/10))-1))</f>
        <v>8.1694539553084131E-2</v>
      </c>
      <c r="P893" s="48">
        <v>0.38</v>
      </c>
      <c r="R893" s="30"/>
      <c r="S893" s="30"/>
    </row>
    <row r="894" spans="1:19" ht="13" x14ac:dyDescent="0.3">
      <c r="A894" s="52" t="s">
        <v>910</v>
      </c>
      <c r="B894" s="6">
        <v>14.82</v>
      </c>
      <c r="C894" s="1">
        <v>0.65</v>
      </c>
      <c r="D894" s="6">
        <v>0.98666699999999996</v>
      </c>
      <c r="E894" s="6">
        <v>17.899999999999999</v>
      </c>
      <c r="F894" s="1">
        <f t="shared" si="65"/>
        <v>1945.3749999999325</v>
      </c>
      <c r="G894" s="17">
        <f>G890*8/12+G902*4/12</f>
        <v>2.31</v>
      </c>
      <c r="H894" s="1">
        <f>B894*$E$1867/E894</f>
        <v>277.46124050279332</v>
      </c>
      <c r="I894" s="1">
        <f>C894*$E$1867/E894</f>
        <v>12.169352653631286</v>
      </c>
      <c r="J894" s="26">
        <f t="shared" si="66"/>
        <v>14377.491583563433</v>
      </c>
      <c r="K894" s="1">
        <f>D894*$E$1867/E894</f>
        <v>18.472459499539106</v>
      </c>
      <c r="L894" s="26">
        <f t="shared" si="64"/>
        <v>957.20624077461412</v>
      </c>
      <c r="M894" s="10">
        <f t="shared" si="67"/>
        <v>13.036560628785352</v>
      </c>
      <c r="N894" s="4">
        <f t="shared" si="68"/>
        <v>17.276370053124381</v>
      </c>
      <c r="O894" s="36">
        <f>1/M894-(G894/100-(((E894/E774)^(1/10))-1))</f>
        <v>7.9961857196301639E-2</v>
      </c>
      <c r="P894" s="48">
        <v>0.38</v>
      </c>
      <c r="R894" s="30"/>
      <c r="S894" s="30"/>
    </row>
    <row r="895" spans="1:19" ht="13" x14ac:dyDescent="0.3">
      <c r="A895" s="52" t="s">
        <v>911</v>
      </c>
      <c r="B895" s="6">
        <v>15.09</v>
      </c>
      <c r="C895" s="1">
        <v>0.65</v>
      </c>
      <c r="D895" s="6">
        <v>1</v>
      </c>
      <c r="E895" s="6">
        <v>18.100000000000001</v>
      </c>
      <c r="F895" s="1">
        <f t="shared" si="65"/>
        <v>1945.4583333332657</v>
      </c>
      <c r="G895" s="17">
        <f>G890*7/12+G902*5/12</f>
        <v>2.2949999999999999</v>
      </c>
      <c r="H895" s="1">
        <f>B895*$E$1867/E895</f>
        <v>279.39447638121544</v>
      </c>
      <c r="I895" s="1">
        <f>C895*$E$1867/E895</f>
        <v>12.034884668508287</v>
      </c>
      <c r="J895" s="26">
        <f t="shared" si="66"/>
        <v>14529.636691280506</v>
      </c>
      <c r="K895" s="1">
        <f>D895*$E$1867/E895</f>
        <v>18.515207182320442</v>
      </c>
      <c r="L895" s="26">
        <f t="shared" si="64"/>
        <v>962.86525455801893</v>
      </c>
      <c r="M895" s="10">
        <f t="shared" si="67"/>
        <v>13.130223361406049</v>
      </c>
      <c r="N895" s="4">
        <f t="shared" si="68"/>
        <v>17.391992046675071</v>
      </c>
      <c r="O895" s="36">
        <f>1/M895-(G895/100-(((E895/E775)^(1/10))-1))</f>
        <v>8.1453259365824329E-2</v>
      </c>
      <c r="P895" s="48">
        <v>0.38</v>
      </c>
      <c r="R895" s="30"/>
      <c r="S895" s="30"/>
    </row>
    <row r="896" spans="1:19" ht="13" x14ac:dyDescent="0.3">
      <c r="A896" s="52" t="s">
        <v>912</v>
      </c>
      <c r="B896" s="6">
        <v>14.78</v>
      </c>
      <c r="C896" s="1">
        <v>0.65333300000000005</v>
      </c>
      <c r="D896" s="6">
        <v>0.99666699999999997</v>
      </c>
      <c r="E896" s="6">
        <v>18.100000000000001</v>
      </c>
      <c r="F896" s="1">
        <f t="shared" si="65"/>
        <v>1945.541666666599</v>
      </c>
      <c r="G896" s="17">
        <f>G890*6/12+G902*6/12</f>
        <v>2.2800000000000002</v>
      </c>
      <c r="H896" s="1">
        <f>B896*$E$1867/E896</f>
        <v>273.65476215469607</v>
      </c>
      <c r="I896" s="1">
        <f>C896*$E$1867/E896</f>
        <v>12.096595854046962</v>
      </c>
      <c r="J896" s="26">
        <f t="shared" si="66"/>
        <v>14283.57109948053</v>
      </c>
      <c r="K896" s="1">
        <f>D896*$E$1867/E896</f>
        <v>18.453495996781765</v>
      </c>
      <c r="L896" s="26">
        <f t="shared" si="64"/>
        <v>963.19106610324513</v>
      </c>
      <c r="M896" s="10">
        <f t="shared" si="67"/>
        <v>12.867028443009151</v>
      </c>
      <c r="N896" s="4">
        <f t="shared" si="68"/>
        <v>17.035325856511694</v>
      </c>
      <c r="O896" s="36">
        <f>1/M896-(G896/100-(((E896/E776)^(1/10))-1))</f>
        <v>8.3161114697241773E-2</v>
      </c>
      <c r="P896" s="48">
        <v>0.38</v>
      </c>
      <c r="R896" s="30"/>
      <c r="S896" s="30"/>
    </row>
    <row r="897" spans="1:19" ht="13" x14ac:dyDescent="0.3">
      <c r="A897" s="52" t="s">
        <v>913</v>
      </c>
      <c r="B897" s="6">
        <v>14.83</v>
      </c>
      <c r="C897" s="1">
        <v>0.656667</v>
      </c>
      <c r="D897" s="6">
        <v>0.99333300000000002</v>
      </c>
      <c r="E897" s="6">
        <v>18.100000000000001</v>
      </c>
      <c r="F897" s="1">
        <f t="shared" si="65"/>
        <v>1945.6249999999322</v>
      </c>
      <c r="G897" s="17">
        <f>G890*5/12+G902*7/12</f>
        <v>2.2650000000000001</v>
      </c>
      <c r="H897" s="1">
        <f>B897*$E$1867/E897</f>
        <v>274.58052251381213</v>
      </c>
      <c r="I897" s="1">
        <f>C897*$E$1867/E897</f>
        <v>12.158325554792816</v>
      </c>
      <c r="J897" s="26">
        <f t="shared" si="66"/>
        <v>14384.775950872452</v>
      </c>
      <c r="K897" s="1">
        <f>D897*$E$1867/E897</f>
        <v>18.391766296035911</v>
      </c>
      <c r="L897" s="26">
        <f t="shared" si="64"/>
        <v>963.51130476115884</v>
      </c>
      <c r="M897" s="10">
        <f t="shared" si="67"/>
        <v>12.915378562256736</v>
      </c>
      <c r="N897" s="4">
        <f t="shared" si="68"/>
        <v>17.092121054476248</v>
      </c>
      <c r="O897" s="36">
        <f>1/M897-(G897/100-(((E897/E777)^(1/10))-1))</f>
        <v>8.3020168859708282E-2</v>
      </c>
      <c r="P897" s="48">
        <v>0.38</v>
      </c>
      <c r="R897" s="30"/>
      <c r="S897" s="30"/>
    </row>
    <row r="898" spans="1:19" ht="13" x14ac:dyDescent="0.3">
      <c r="A898" s="52" t="s">
        <v>914</v>
      </c>
      <c r="B898" s="6">
        <v>15.84</v>
      </c>
      <c r="C898" s="1">
        <v>0.66</v>
      </c>
      <c r="D898" s="6">
        <v>0.99</v>
      </c>
      <c r="E898" s="6">
        <v>18.100000000000001</v>
      </c>
      <c r="F898" s="1">
        <f t="shared" si="65"/>
        <v>1945.7083333332655</v>
      </c>
      <c r="G898" s="17">
        <f>G890*4/12+G902*8/12</f>
        <v>2.25</v>
      </c>
      <c r="H898" s="1">
        <f>B898*$E$1867/E898</f>
        <v>293.2808817679558</v>
      </c>
      <c r="I898" s="1">
        <f>C898*$E$1867/E898</f>
        <v>12.220036740331491</v>
      </c>
      <c r="J898" s="26">
        <f t="shared" si="66"/>
        <v>15417.802679643808</v>
      </c>
      <c r="K898" s="1">
        <f>D898*$E$1867/E898</f>
        <v>18.330055110497238</v>
      </c>
      <c r="L898" s="26">
        <f t="shared" si="64"/>
        <v>963.612667477738</v>
      </c>
      <c r="M898" s="10">
        <f t="shared" si="67"/>
        <v>13.798264951719778</v>
      </c>
      <c r="N898" s="4">
        <f t="shared" si="68"/>
        <v>18.249640785494702</v>
      </c>
      <c r="O898" s="36">
        <f>1/M898-(G898/100-(((E898/E778)^(1/10))-1))</f>
        <v>7.821597266288069E-2</v>
      </c>
      <c r="P898" s="48">
        <v>0.38</v>
      </c>
      <c r="R898" s="30"/>
      <c r="S898" s="30"/>
    </row>
    <row r="899" spans="1:19" ht="13" x14ac:dyDescent="0.3">
      <c r="A899" s="52" t="s">
        <v>915</v>
      </c>
      <c r="B899" s="6">
        <v>16.5</v>
      </c>
      <c r="C899" s="1">
        <v>0.66</v>
      </c>
      <c r="D899" s="6">
        <v>0.98</v>
      </c>
      <c r="E899" s="6">
        <v>18.100000000000001</v>
      </c>
      <c r="F899" s="1">
        <f t="shared" si="65"/>
        <v>1945.7916666665988</v>
      </c>
      <c r="G899" s="17">
        <f>G890*3/12+G902*9/12</f>
        <v>2.2350000000000003</v>
      </c>
      <c r="H899" s="1">
        <f>B899*$E$1867/E899</f>
        <v>305.50091850828721</v>
      </c>
      <c r="I899" s="1">
        <f>C899*$E$1867/E899</f>
        <v>12.220036740331491</v>
      </c>
      <c r="J899" s="26">
        <f t="shared" si="66"/>
        <v>16113.745161711058</v>
      </c>
      <c r="K899" s="1">
        <f>D899*$E$1867/E899</f>
        <v>18.14490303867403</v>
      </c>
      <c r="L899" s="26">
        <f t="shared" ref="L899:L962" si="69">K899*(J899/H899)</f>
        <v>957.05880354405076</v>
      </c>
      <c r="M899" s="10">
        <f t="shared" si="67"/>
        <v>14.374662675391331</v>
      </c>
      <c r="N899" s="4">
        <f t="shared" si="68"/>
        <v>18.99888054470874</v>
      </c>
      <c r="O899" s="36">
        <f>1/M899-(G899/100-(((E899/E779)^(1/10))-1))</f>
        <v>7.5459942517966672E-2</v>
      </c>
      <c r="P899" s="48">
        <v>0.38</v>
      </c>
      <c r="R899" s="30"/>
      <c r="S899" s="30"/>
    </row>
    <row r="900" spans="1:19" ht="13" x14ac:dyDescent="0.3">
      <c r="A900" s="52" t="s">
        <v>916</v>
      </c>
      <c r="B900" s="6">
        <v>17.04</v>
      </c>
      <c r="C900" s="1">
        <v>0.66</v>
      </c>
      <c r="D900" s="6">
        <v>0.97</v>
      </c>
      <c r="E900" s="6">
        <v>18.100000000000001</v>
      </c>
      <c r="F900" s="1">
        <f t="shared" ref="F900:F963" si="70">F899+1/12</f>
        <v>1945.874999999932</v>
      </c>
      <c r="G900" s="17">
        <f>G890*2/12+G902*10/12</f>
        <v>2.2199999999999998</v>
      </c>
      <c r="H900" s="1">
        <f>B900*$E$1867/E900</f>
        <v>315.49913038674026</v>
      </c>
      <c r="I900" s="1">
        <f>C900*$E$1867/E900</f>
        <v>12.220036740331491</v>
      </c>
      <c r="J900" s="26">
        <f t="shared" ref="J900:J963" si="71">J899*((H900+(I900/12))/H899)</f>
        <v>16694.816578148519</v>
      </c>
      <c r="K900" s="1">
        <f>D900*$E$1867/E900</f>
        <v>17.959750966850827</v>
      </c>
      <c r="L900" s="26">
        <f t="shared" si="69"/>
        <v>950.35047422559069</v>
      </c>
      <c r="M900" s="10">
        <f t="shared" si="67"/>
        <v>14.847702661876779</v>
      </c>
      <c r="N900" s="4">
        <f t="shared" si="68"/>
        <v>19.608975958272875</v>
      </c>
      <c r="O900" s="36">
        <f>1/M900-(G900/100-(((E900/E780)^(1/10))-1))</f>
        <v>7.264603473680932E-2</v>
      </c>
      <c r="P900" s="48">
        <v>0.38</v>
      </c>
      <c r="R900" s="30"/>
      <c r="S900" s="30"/>
    </row>
    <row r="901" spans="1:19" ht="13" x14ac:dyDescent="0.3">
      <c r="A901" s="52" t="s">
        <v>917</v>
      </c>
      <c r="B901" s="6">
        <v>17.329999999999998</v>
      </c>
      <c r="C901" s="1">
        <v>0.66</v>
      </c>
      <c r="D901" s="6">
        <v>0.96</v>
      </c>
      <c r="E901" s="6">
        <v>18.2</v>
      </c>
      <c r="F901" s="1">
        <f t="shared" si="70"/>
        <v>1945.9583333332653</v>
      </c>
      <c r="G901" s="17">
        <f>G890*1/12+G902*11/12</f>
        <v>2.2050000000000001</v>
      </c>
      <c r="H901" s="1">
        <f>B901*$E$1867/E901</f>
        <v>319.10552651098897</v>
      </c>
      <c r="I901" s="1">
        <f>C901*$E$1867/E901</f>
        <v>12.152893681318682</v>
      </c>
      <c r="J901" s="26">
        <f t="shared" si="71"/>
        <v>16939.24086319561</v>
      </c>
      <c r="K901" s="1">
        <f>D901*$E$1867/E901</f>
        <v>17.676936263736263</v>
      </c>
      <c r="L901" s="26">
        <f t="shared" si="69"/>
        <v>938.35379276790457</v>
      </c>
      <c r="M901" s="10">
        <f t="shared" si="67"/>
        <v>15.020347474739964</v>
      </c>
      <c r="N901" s="4">
        <f t="shared" si="68"/>
        <v>19.821351248851329</v>
      </c>
      <c r="O901" s="36">
        <f>1/M901-(G901/100-(((E901/E781)^(1/10))-1))</f>
        <v>7.2588174698029431E-2</v>
      </c>
      <c r="P901" s="48">
        <v>0.38</v>
      </c>
      <c r="R901" s="30"/>
      <c r="S901" s="30"/>
    </row>
    <row r="902" spans="1:19" ht="13" x14ac:dyDescent="0.3">
      <c r="A902" s="52" t="s">
        <v>918</v>
      </c>
      <c r="B902" s="6">
        <v>18.02</v>
      </c>
      <c r="C902" s="1">
        <v>0.66666700000000001</v>
      </c>
      <c r="D902" s="6">
        <v>0.94</v>
      </c>
      <c r="E902" s="6">
        <v>18.2</v>
      </c>
      <c r="F902" s="1">
        <f t="shared" si="70"/>
        <v>1946.0416666665985</v>
      </c>
      <c r="G902" s="17">
        <v>2.19</v>
      </c>
      <c r="H902" s="1">
        <f>B902*$E$1867/E902</f>
        <v>331.81082445054943</v>
      </c>
      <c r="I902" s="1">
        <f>C902*$E$1867/E902</f>
        <v>12.275656320975276</v>
      </c>
      <c r="J902" s="26">
        <f t="shared" si="71"/>
        <v>17667.985560424902</v>
      </c>
      <c r="K902" s="1">
        <f>D902*$E$1867/E902</f>
        <v>17.308666758241756</v>
      </c>
      <c r="L902" s="26">
        <f t="shared" si="69"/>
        <v>921.63742657044429</v>
      </c>
      <c r="M902" s="10">
        <f t="shared" si="67"/>
        <v>15.623163177761663</v>
      </c>
      <c r="N902" s="4">
        <f t="shared" si="68"/>
        <v>20.599482382192523</v>
      </c>
      <c r="O902" s="36">
        <f>1/M902-(G902/100-(((E902/E782)^(1/10))-1))</f>
        <v>7.0169343254540842E-2</v>
      </c>
      <c r="P902" s="48">
        <v>0.38</v>
      </c>
      <c r="R902" s="30"/>
      <c r="S902" s="30"/>
    </row>
    <row r="903" spans="1:19" ht="13" x14ac:dyDescent="0.3">
      <c r="A903" s="52" t="s">
        <v>919</v>
      </c>
      <c r="B903" s="6">
        <v>18.07</v>
      </c>
      <c r="C903" s="1">
        <v>0.67333299999999996</v>
      </c>
      <c r="D903" s="6">
        <v>0.92</v>
      </c>
      <c r="E903" s="6">
        <v>18.100000000000001</v>
      </c>
      <c r="F903" s="1">
        <f t="shared" si="70"/>
        <v>1946.1249999999318</v>
      </c>
      <c r="G903" s="17">
        <f>G902*11/12+G914*1/12</f>
        <v>2.1949999999999998</v>
      </c>
      <c r="H903" s="1">
        <f>B903*$E$1867/E903</f>
        <v>334.56979378453036</v>
      </c>
      <c r="I903" s="1">
        <f>C903*$E$1867/E903</f>
        <v>12.466899997693369</v>
      </c>
      <c r="J903" s="26">
        <f t="shared" si="71"/>
        <v>17870.211777408891</v>
      </c>
      <c r="K903" s="1">
        <f>D903*$E$1867/E903</f>
        <v>17.033990607734804</v>
      </c>
      <c r="L903" s="26">
        <f t="shared" si="69"/>
        <v>909.82815911544981</v>
      </c>
      <c r="M903" s="10">
        <f t="shared" si="67"/>
        <v>15.761666525801907</v>
      </c>
      <c r="N903" s="4">
        <f t="shared" si="68"/>
        <v>20.765541749059217</v>
      </c>
      <c r="O903" s="36">
        <f>1/M903-(G903/100-(((E903/E783)^(1/10))-1))</f>
        <v>6.8990615793924862E-2</v>
      </c>
      <c r="P903" s="48">
        <v>0.38</v>
      </c>
      <c r="R903" s="30"/>
      <c r="S903" s="30"/>
    </row>
    <row r="904" spans="1:19" ht="13" x14ac:dyDescent="0.3">
      <c r="A904" s="52" t="s">
        <v>920</v>
      </c>
      <c r="B904" s="6">
        <v>17.53</v>
      </c>
      <c r="C904" s="1">
        <v>0.68</v>
      </c>
      <c r="D904" s="6">
        <v>0.9</v>
      </c>
      <c r="E904" s="6">
        <v>18.3</v>
      </c>
      <c r="F904" s="1">
        <f t="shared" si="70"/>
        <v>1946.208333333265</v>
      </c>
      <c r="G904" s="17">
        <f>G902*10/12+G914*2/12</f>
        <v>2.2000000000000002</v>
      </c>
      <c r="H904" s="1">
        <f>B904*$E$1867/E904</f>
        <v>321.02435150273226</v>
      </c>
      <c r="I904" s="1">
        <f>C904*$E$1867/E904</f>
        <v>12.452741530054645</v>
      </c>
      <c r="J904" s="26">
        <f t="shared" si="71"/>
        <v>17202.143413246489</v>
      </c>
      <c r="K904" s="1">
        <f>D904*$E$1867/E904</f>
        <v>16.481569672131148</v>
      </c>
      <c r="L904" s="26">
        <f t="shared" si="69"/>
        <v>883.16765955058975</v>
      </c>
      <c r="M904" s="10">
        <f t="shared" si="67"/>
        <v>15.134873415142538</v>
      </c>
      <c r="N904" s="4">
        <f t="shared" si="68"/>
        <v>19.926591500429534</v>
      </c>
      <c r="O904" s="36">
        <f>1/M904-(G904/100-(((E904/E784)^(1/10))-1))</f>
        <v>7.3446233699462127E-2</v>
      </c>
      <c r="P904" s="48">
        <v>0.38</v>
      </c>
      <c r="R904" s="30"/>
      <c r="S904" s="30"/>
    </row>
    <row r="905" spans="1:19" ht="13" x14ac:dyDescent="0.3">
      <c r="A905" s="52" t="s">
        <v>921</v>
      </c>
      <c r="B905" s="6">
        <v>18.66</v>
      </c>
      <c r="C905" s="1">
        <v>0.68</v>
      </c>
      <c r="D905" s="6">
        <v>0.88</v>
      </c>
      <c r="E905" s="6">
        <v>18.399999999999999</v>
      </c>
      <c r="F905" s="1">
        <f t="shared" si="70"/>
        <v>1946.2916666665983</v>
      </c>
      <c r="G905" s="17">
        <f>G902*9/12+G914*3/12</f>
        <v>2.2050000000000001</v>
      </c>
      <c r="H905" s="1">
        <f>B905*$E$1867/E905</f>
        <v>339.86071548913048</v>
      </c>
      <c r="I905" s="1">
        <f>C905*$E$1867/E905</f>
        <v>12.385063586956523</v>
      </c>
      <c r="J905" s="26">
        <f t="shared" si="71"/>
        <v>18266.797760324294</v>
      </c>
      <c r="K905" s="1">
        <f>D905*$E$1867/E905</f>
        <v>16.027729347826089</v>
      </c>
      <c r="L905" s="26">
        <f t="shared" si="69"/>
        <v>861.45670037970945</v>
      </c>
      <c r="M905" s="10">
        <f t="shared" si="67"/>
        <v>16.040842386215921</v>
      </c>
      <c r="N905" s="4">
        <f t="shared" si="68"/>
        <v>21.101916955508507</v>
      </c>
      <c r="O905" s="36">
        <f>1/M905-(G905/100-(((E905/E785)^(1/10))-1))</f>
        <v>7.022564907240901E-2</v>
      </c>
      <c r="P905" s="48">
        <v>0.38</v>
      </c>
      <c r="R905" s="30"/>
      <c r="S905" s="30"/>
    </row>
    <row r="906" spans="1:19" ht="13" x14ac:dyDescent="0.3">
      <c r="A906" s="52" t="s">
        <v>922</v>
      </c>
      <c r="B906" s="6">
        <v>18.7</v>
      </c>
      <c r="C906" s="1">
        <v>0.68</v>
      </c>
      <c r="D906" s="6">
        <v>0.86</v>
      </c>
      <c r="E906" s="6">
        <v>18.5</v>
      </c>
      <c r="F906" s="1">
        <f t="shared" si="70"/>
        <v>1946.3749999999316</v>
      </c>
      <c r="G906" s="17">
        <f>G902*8/12+G914*4/12</f>
        <v>2.21</v>
      </c>
      <c r="H906" s="1">
        <f>B906*$E$1867/E906</f>
        <v>338.74822567567566</v>
      </c>
      <c r="I906" s="1">
        <f>C906*$E$1867/E906</f>
        <v>12.318117297297299</v>
      </c>
      <c r="J906" s="26">
        <f t="shared" si="71"/>
        <v>18262.176514306691</v>
      </c>
      <c r="K906" s="1">
        <f>D906*$E$1867/E906</f>
        <v>15.578795405405407</v>
      </c>
      <c r="L906" s="26">
        <f t="shared" si="69"/>
        <v>839.86480226223296</v>
      </c>
      <c r="M906" s="10">
        <f t="shared" si="67"/>
        <v>16.013723170832179</v>
      </c>
      <c r="N906" s="4">
        <f t="shared" si="68"/>
        <v>21.048307121707559</v>
      </c>
      <c r="O906" s="36">
        <f>1/M906-(G906/100-(((E906/E786)^(1/10))-1))</f>
        <v>7.0839606143310016E-2</v>
      </c>
      <c r="P906" s="48">
        <v>0.38</v>
      </c>
      <c r="R906" s="30"/>
      <c r="S906" s="30"/>
    </row>
    <row r="907" spans="1:19" ht="13" x14ac:dyDescent="0.3">
      <c r="A907" s="52" t="s">
        <v>923</v>
      </c>
      <c r="B907" s="6">
        <v>18.579999999999998</v>
      </c>
      <c r="C907" s="1">
        <v>0.68</v>
      </c>
      <c r="D907" s="6">
        <v>0.84</v>
      </c>
      <c r="E907" s="6">
        <v>18.7</v>
      </c>
      <c r="F907" s="1">
        <f t="shared" si="70"/>
        <v>1946.4583333332648</v>
      </c>
      <c r="G907" s="17">
        <f>G902*7/12+G914*5/12</f>
        <v>2.2149999999999999</v>
      </c>
      <c r="H907" s="1">
        <f>B907*$E$1867/E907</f>
        <v>332.97471363636362</v>
      </c>
      <c r="I907" s="1">
        <f>C907*$E$1867/E907</f>
        <v>12.186372727272728</v>
      </c>
      <c r="J907" s="26">
        <f t="shared" si="71"/>
        <v>18005.670112504802</v>
      </c>
      <c r="K907" s="1">
        <f>D907*$E$1867/E907</f>
        <v>15.053754545454545</v>
      </c>
      <c r="L907" s="26">
        <f t="shared" si="69"/>
        <v>814.03460142648191</v>
      </c>
      <c r="M907" s="10">
        <f t="shared" si="67"/>
        <v>15.773186880128746</v>
      </c>
      <c r="N907" s="4">
        <f t="shared" si="68"/>
        <v>20.714507926611418</v>
      </c>
      <c r="O907" s="36">
        <f>1/M907-(G907/100-(((E907/E787)^(1/10))-1))</f>
        <v>7.2100572682852346E-2</v>
      </c>
      <c r="P907" s="48">
        <v>0.38</v>
      </c>
      <c r="R907" s="30"/>
      <c r="S907" s="30"/>
    </row>
    <row r="908" spans="1:19" ht="13" x14ac:dyDescent="0.3">
      <c r="A908" s="52" t="s">
        <v>924</v>
      </c>
      <c r="B908" s="6">
        <v>18.05</v>
      </c>
      <c r="C908" s="1">
        <v>0.68333299999999997</v>
      </c>
      <c r="D908" s="6">
        <v>0.85666699999999996</v>
      </c>
      <c r="E908" s="6">
        <v>19.8</v>
      </c>
      <c r="F908" s="1">
        <f t="shared" si="70"/>
        <v>1946.5416666665981</v>
      </c>
      <c r="G908" s="17">
        <f>G902*6/12+G914*6/12</f>
        <v>2.2199999999999998</v>
      </c>
      <c r="H908" s="1">
        <f>B908*$E$1867/E908</f>
        <v>305.50559406565657</v>
      </c>
      <c r="I908" s="1">
        <f>C908*$E$1867/E908</f>
        <v>11.565764770618685</v>
      </c>
      <c r="J908" s="26">
        <f t="shared" si="71"/>
        <v>16572.390726298687</v>
      </c>
      <c r="K908" s="1">
        <f>D908*$E$1867/E908</f>
        <v>14.499532451603534</v>
      </c>
      <c r="L908" s="26">
        <f t="shared" si="69"/>
        <v>786.5385178020008</v>
      </c>
      <c r="M908" s="10">
        <f t="shared" si="67"/>
        <v>14.508136111909073</v>
      </c>
      <c r="N908" s="4">
        <f t="shared" si="68"/>
        <v>19.038974040498399</v>
      </c>
      <c r="O908" s="36">
        <f>1/M908-(G908/100-(((E908/E788)^(1/10))-1))</f>
        <v>8.273944558974862E-2</v>
      </c>
      <c r="P908" s="48">
        <v>0.38</v>
      </c>
      <c r="R908" s="30"/>
      <c r="S908" s="30"/>
    </row>
    <row r="909" spans="1:19" ht="13" x14ac:dyDescent="0.3">
      <c r="A909" s="52" t="s">
        <v>925</v>
      </c>
      <c r="B909" s="6">
        <v>17.7</v>
      </c>
      <c r="C909" s="1">
        <v>0.68666700000000003</v>
      </c>
      <c r="D909" s="6">
        <v>0.87333300000000003</v>
      </c>
      <c r="E909" s="6">
        <v>20.2</v>
      </c>
      <c r="F909" s="1">
        <f t="shared" si="70"/>
        <v>1946.6249999999313</v>
      </c>
      <c r="G909" s="17">
        <f>G902*5/12+G914*7/12</f>
        <v>2.2250000000000001</v>
      </c>
      <c r="H909" s="1">
        <f>B909*$E$1867/E909</f>
        <v>293.64935272277228</v>
      </c>
      <c r="I909" s="1">
        <f>C909*$E$1867/E909</f>
        <v>11.392051982264853</v>
      </c>
      <c r="J909" s="26">
        <f t="shared" si="71"/>
        <v>15980.737176013685</v>
      </c>
      <c r="K909" s="1">
        <f>D909*$E$1867/E909</f>
        <v>14.488907918725248</v>
      </c>
      <c r="L909" s="26">
        <f t="shared" si="69"/>
        <v>788.50311526212204</v>
      </c>
      <c r="M909" s="10">
        <f t="shared" si="67"/>
        <v>13.984939309942764</v>
      </c>
      <c r="N909" s="4">
        <f t="shared" si="68"/>
        <v>18.340641021743664</v>
      </c>
      <c r="O909" s="36">
        <f>1/M909-(G909/100-(((E909/E789)^(1/10))-1))</f>
        <v>8.6598381477112213E-2</v>
      </c>
      <c r="P909" s="48">
        <v>0.38</v>
      </c>
      <c r="R909" s="30"/>
      <c r="S909" s="30"/>
    </row>
    <row r="910" spans="1:19" ht="13" x14ac:dyDescent="0.3">
      <c r="A910" s="52" t="s">
        <v>926</v>
      </c>
      <c r="B910" s="6">
        <v>15.09</v>
      </c>
      <c r="C910" s="1">
        <v>0.69</v>
      </c>
      <c r="D910" s="6">
        <v>0.89</v>
      </c>
      <c r="E910" s="6">
        <v>20.399999999999999</v>
      </c>
      <c r="F910" s="1">
        <f t="shared" si="70"/>
        <v>1946.7083333332646</v>
      </c>
      <c r="G910" s="17">
        <f>G902*4/12+G914*8/12</f>
        <v>2.23</v>
      </c>
      <c r="H910" s="1">
        <f>B910*$E$1867/E910</f>
        <v>247.89411875000002</v>
      </c>
      <c r="I910" s="1">
        <f>C910*$E$1867/E910</f>
        <v>11.335118749999999</v>
      </c>
      <c r="J910" s="26">
        <f t="shared" si="71"/>
        <v>13542.090314467927</v>
      </c>
      <c r="K910" s="1">
        <f>D910*$E$1867/E910</f>
        <v>14.620660416666668</v>
      </c>
      <c r="L910" s="26">
        <f t="shared" si="69"/>
        <v>798.70512789108386</v>
      </c>
      <c r="M910" s="10">
        <f t="shared" si="67"/>
        <v>11.841267540149643</v>
      </c>
      <c r="N910" s="4">
        <f t="shared" si="68"/>
        <v>15.527660854694732</v>
      </c>
      <c r="O910" s="36">
        <f>1/M910-(G910/100-(((E910/E790)^(1/10))-1))</f>
        <v>0.10051583018992159</v>
      </c>
      <c r="P910" s="48">
        <v>0.38</v>
      </c>
      <c r="R910" s="30"/>
      <c r="S910" s="30"/>
    </row>
    <row r="911" spans="1:19" ht="13" x14ac:dyDescent="0.3">
      <c r="A911" s="52" t="s">
        <v>927</v>
      </c>
      <c r="B911" s="6">
        <v>14.75</v>
      </c>
      <c r="C911" s="1">
        <v>0.69666700000000004</v>
      </c>
      <c r="D911" s="6">
        <v>0.94666700000000004</v>
      </c>
      <c r="E911" s="6">
        <v>20.8</v>
      </c>
      <c r="F911" s="1">
        <f t="shared" si="70"/>
        <v>1946.7916666665978</v>
      </c>
      <c r="G911" s="17">
        <f>G902*3/12+G914*9/12</f>
        <v>2.2349999999999999</v>
      </c>
      <c r="H911" s="1">
        <f>B911*$E$1867/E911</f>
        <v>237.64891526442304</v>
      </c>
      <c r="I911" s="1">
        <f>C911*$E$1867/E911</f>
        <v>11.224553006814903</v>
      </c>
      <c r="J911" s="26">
        <f t="shared" si="71"/>
        <v>13033.508348179143</v>
      </c>
      <c r="K911" s="1">
        <f>D911*$E$1867/E911</f>
        <v>15.252500723161056</v>
      </c>
      <c r="L911" s="26">
        <f t="shared" si="69"/>
        <v>836.50116931835294</v>
      </c>
      <c r="M911" s="10">
        <f t="shared" si="67"/>
        <v>11.387602961765051</v>
      </c>
      <c r="N911" s="4">
        <f t="shared" si="68"/>
        <v>14.931866479299616</v>
      </c>
      <c r="O911" s="36">
        <f>1/M911-(G911/100-(((E911/E791)^(1/10))-1))</f>
        <v>0.10584847069030608</v>
      </c>
      <c r="P911" s="48">
        <v>0.38</v>
      </c>
      <c r="R911" s="30"/>
      <c r="S911" s="30"/>
    </row>
    <row r="912" spans="1:19" ht="13" x14ac:dyDescent="0.3">
      <c r="A912" s="52" t="s">
        <v>928</v>
      </c>
      <c r="B912" s="6">
        <v>14.69</v>
      </c>
      <c r="C912" s="1">
        <v>0.70333299999999999</v>
      </c>
      <c r="D912" s="6">
        <v>1.0033300000000001</v>
      </c>
      <c r="E912" s="6">
        <v>21.3</v>
      </c>
      <c r="F912" s="1">
        <f t="shared" si="70"/>
        <v>1946.8749999999311</v>
      </c>
      <c r="G912" s="17">
        <f>G902*2/12+G914*10/12</f>
        <v>2.2400000000000002</v>
      </c>
      <c r="H912" s="1">
        <f>B912*$E$1867/E912</f>
        <v>231.12628744131453</v>
      </c>
      <c r="I912" s="1">
        <f>C912*$E$1867/E912</f>
        <v>11.065945890058684</v>
      </c>
      <c r="J912" s="26">
        <f t="shared" si="71"/>
        <v>12726.358972281012</v>
      </c>
      <c r="K912" s="1">
        <f>D912*$E$1867/E912</f>
        <v>15.785972632981219</v>
      </c>
      <c r="L912" s="26">
        <f t="shared" si="69"/>
        <v>869.21291679092633</v>
      </c>
      <c r="M912" s="10">
        <f t="shared" si="67"/>
        <v>11.110043656743295</v>
      </c>
      <c r="N912" s="4">
        <f t="shared" si="68"/>
        <v>14.565527161951875</v>
      </c>
      <c r="O912" s="36">
        <f>1/M912-(G912/100-(((E912/E792)^(1/10))-1))</f>
        <v>0.11046659850288855</v>
      </c>
      <c r="P912" s="48">
        <v>0.38</v>
      </c>
      <c r="R912" s="30"/>
      <c r="S912" s="30"/>
    </row>
    <row r="913" spans="1:19" ht="13" x14ac:dyDescent="0.3">
      <c r="A913" s="52" t="s">
        <v>929</v>
      </c>
      <c r="B913" s="6">
        <v>15.13</v>
      </c>
      <c r="C913" s="1">
        <v>0.71</v>
      </c>
      <c r="D913" s="6">
        <v>1.06</v>
      </c>
      <c r="E913" s="6">
        <v>21.5</v>
      </c>
      <c r="F913" s="1">
        <f t="shared" si="70"/>
        <v>1946.9583333332644</v>
      </c>
      <c r="G913" s="17">
        <f>G902*1/12+G914*11/12</f>
        <v>2.2450000000000001</v>
      </c>
      <c r="H913" s="1">
        <f>B913*$E$1867/E913</f>
        <v>235.83465267441861</v>
      </c>
      <c r="I913" s="1">
        <f>C913*$E$1867/E913</f>
        <v>11.066926860465115</v>
      </c>
      <c r="J913" s="26">
        <f t="shared" si="71"/>
        <v>13036.393602776283</v>
      </c>
      <c r="K913" s="1">
        <f>D913*$E$1867/E913</f>
        <v>16.522454186046513</v>
      </c>
      <c r="L913" s="26">
        <f t="shared" si="69"/>
        <v>913.32301513171592</v>
      </c>
      <c r="M913" s="10">
        <f t="shared" si="67"/>
        <v>11.37277942586271</v>
      </c>
      <c r="N913" s="4">
        <f t="shared" si="68"/>
        <v>14.904166173963002</v>
      </c>
      <c r="O913" s="36">
        <f>1/M913-(G913/100-(((E913/E793)^(1/10))-1))</f>
        <v>0.10931230061839761</v>
      </c>
      <c r="P913" s="48">
        <v>0.38</v>
      </c>
      <c r="R913" s="30"/>
      <c r="S913" s="30"/>
    </row>
    <row r="914" spans="1:19" ht="13" x14ac:dyDescent="0.3">
      <c r="A914" s="52" t="s">
        <v>930</v>
      </c>
      <c r="B914" s="6">
        <v>15.21</v>
      </c>
      <c r="C914" s="1">
        <v>0.71333299999999999</v>
      </c>
      <c r="D914" s="6">
        <v>1.1299999999999999</v>
      </c>
      <c r="E914" s="6">
        <v>21.5</v>
      </c>
      <c r="F914" s="1">
        <f t="shared" si="70"/>
        <v>1947.0416666665976</v>
      </c>
      <c r="G914" s="17">
        <v>2.25</v>
      </c>
      <c r="H914" s="1">
        <f>B914*$E$1867/E914</f>
        <v>237.08163034883725</v>
      </c>
      <c r="I914" s="1">
        <f>C914*$E$1867/E914</f>
        <v>11.118879067825581</v>
      </c>
      <c r="J914" s="26">
        <f t="shared" si="71"/>
        <v>13156.542466052966</v>
      </c>
      <c r="K914" s="1">
        <f>D914*$E$1867/E914</f>
        <v>17.613559651162788</v>
      </c>
      <c r="L914" s="26">
        <f t="shared" si="69"/>
        <v>977.44201095593996</v>
      </c>
      <c r="M914" s="10">
        <f t="shared" si="67"/>
        <v>11.469296334735581</v>
      </c>
      <c r="N914" s="4">
        <f t="shared" si="68"/>
        <v>15.022197025934357</v>
      </c>
      <c r="O914" s="36">
        <f>1/M914-(G914/100-(((E914/E794)^(1/10))-1))</f>
        <v>0.10777967416384965</v>
      </c>
      <c r="P914" s="48">
        <v>0.38</v>
      </c>
      <c r="R914" s="30"/>
      <c r="S914" s="30"/>
    </row>
    <row r="915" spans="1:19" ht="13" x14ac:dyDescent="0.3">
      <c r="A915" s="52" t="s">
        <v>931</v>
      </c>
      <c r="B915" s="6">
        <v>15.8</v>
      </c>
      <c r="C915" s="1">
        <v>0.71666700000000005</v>
      </c>
      <c r="D915" s="6">
        <v>1.2</v>
      </c>
      <c r="E915" s="6">
        <v>21.5</v>
      </c>
      <c r="F915" s="1">
        <f t="shared" si="70"/>
        <v>1947.1249999999309</v>
      </c>
      <c r="G915" s="17">
        <f>G914*11/12+G926*1/12</f>
        <v>2.2658333333333331</v>
      </c>
      <c r="H915" s="1">
        <f>B915*$E$1867/E915</f>
        <v>246.2780906976744</v>
      </c>
      <c r="I915" s="1">
        <f>C915*$E$1867/E915</f>
        <v>11.170846862406977</v>
      </c>
      <c r="J915" s="26">
        <f t="shared" si="71"/>
        <v>13718.547618798819</v>
      </c>
      <c r="K915" s="1">
        <f>D915*$E$1867/E915</f>
        <v>18.704665116279067</v>
      </c>
      <c r="L915" s="26">
        <f t="shared" si="69"/>
        <v>1041.9150090226951</v>
      </c>
      <c r="M915" s="10">
        <f t="shared" si="67"/>
        <v>11.94956531420944</v>
      </c>
      <c r="N915" s="4">
        <f t="shared" si="68"/>
        <v>15.637228584439017</v>
      </c>
      <c r="O915" s="36">
        <f>1/M915-(G915/100-(((E915/E795)^(1/10))-1))</f>
        <v>0.10411708620482768</v>
      </c>
      <c r="P915" s="48">
        <v>0.38</v>
      </c>
      <c r="R915" s="30"/>
      <c r="S915" s="30"/>
    </row>
    <row r="916" spans="1:19" ht="13" x14ac:dyDescent="0.3">
      <c r="A916" s="52" t="s">
        <v>932</v>
      </c>
      <c r="B916" s="6">
        <v>15.16</v>
      </c>
      <c r="C916" s="1">
        <v>0.72</v>
      </c>
      <c r="D916" s="6">
        <v>1.27</v>
      </c>
      <c r="E916" s="6">
        <v>21.9</v>
      </c>
      <c r="F916" s="1">
        <f t="shared" si="70"/>
        <v>1947.2083333332641</v>
      </c>
      <c r="G916" s="17">
        <f>G914*10/12+G926*2/12</f>
        <v>2.2816666666666667</v>
      </c>
      <c r="H916" s="1">
        <f>B916*$E$1867/E916</f>
        <v>231.98624611872145</v>
      </c>
      <c r="I916" s="1">
        <f>C916*$E$1867/E916</f>
        <v>11.017816438356165</v>
      </c>
      <c r="J916" s="26">
        <f t="shared" si="71"/>
        <v>12973.58631668556</v>
      </c>
      <c r="K916" s="1">
        <f>D916*$E$1867/E916</f>
        <v>19.434203995433791</v>
      </c>
      <c r="L916" s="26">
        <f t="shared" si="69"/>
        <v>1086.8373761339485</v>
      </c>
      <c r="M916" s="10">
        <f t="shared" si="67"/>
        <v>11.287903096501289</v>
      </c>
      <c r="N916" s="4">
        <f t="shared" si="68"/>
        <v>14.757502576039053</v>
      </c>
      <c r="O916" s="36">
        <f>1/M916-(G916/100-(((E916/E796)^(1/10))-1))</f>
        <v>0.11005042001644605</v>
      </c>
      <c r="P916" s="48">
        <v>0.38</v>
      </c>
      <c r="R916" s="30"/>
      <c r="S916" s="30"/>
    </row>
    <row r="917" spans="1:19" ht="13" x14ac:dyDescent="0.3">
      <c r="A917" s="52" t="s">
        <v>933</v>
      </c>
      <c r="B917" s="6">
        <v>14.6</v>
      </c>
      <c r="C917" s="1">
        <v>0.73333300000000001</v>
      </c>
      <c r="D917" s="6">
        <v>1.32667</v>
      </c>
      <c r="E917" s="6">
        <v>21.9</v>
      </c>
      <c r="F917" s="1">
        <f t="shared" si="70"/>
        <v>1947.2916666665974</v>
      </c>
      <c r="G917" s="17">
        <f>G914*9/12+G926*3/12</f>
        <v>2.2974999999999999</v>
      </c>
      <c r="H917" s="1">
        <f>B917*$E$1867/E917</f>
        <v>223.41683333333333</v>
      </c>
      <c r="I917" s="1">
        <f>C917*$E$1867/E917</f>
        <v>11.221844975262558</v>
      </c>
      <c r="J917" s="26">
        <f t="shared" si="71"/>
        <v>12546.648425998705</v>
      </c>
      <c r="K917" s="1">
        <f>D917*$E$1867/E917</f>
        <v>20.301397964269409</v>
      </c>
      <c r="L917" s="26">
        <f t="shared" si="69"/>
        <v>1140.086442967103</v>
      </c>
      <c r="M917" s="10">
        <f t="shared" si="67"/>
        <v>10.900825126392675</v>
      </c>
      <c r="N917" s="4">
        <f t="shared" si="68"/>
        <v>14.239032702754555</v>
      </c>
      <c r="O917" s="36">
        <f>1/M917-(G917/100-(((E917/E797)^(1/10))-1))</f>
        <v>0.11230527663572897</v>
      </c>
      <c r="P917" s="48">
        <v>0.38</v>
      </c>
      <c r="R917" s="30"/>
      <c r="S917" s="30"/>
    </row>
    <row r="918" spans="1:19" ht="13" x14ac:dyDescent="0.3">
      <c r="A918" s="52" t="s">
        <v>934</v>
      </c>
      <c r="B918" s="6">
        <v>14.34</v>
      </c>
      <c r="C918" s="1">
        <v>0.74666699999999997</v>
      </c>
      <c r="D918" s="6">
        <v>1.3833299999999999</v>
      </c>
      <c r="E918" s="6">
        <v>21.9</v>
      </c>
      <c r="F918" s="1">
        <f t="shared" si="70"/>
        <v>1947.3749999999307</v>
      </c>
      <c r="G918" s="17">
        <f>G914*8/12+G926*4/12</f>
        <v>2.3133333333333335</v>
      </c>
      <c r="H918" s="1">
        <f>B918*$E$1867/E918</f>
        <v>219.43817739726026</v>
      </c>
      <c r="I918" s="1">
        <f>C918*$E$1867/E918</f>
        <v>11.425888814691781</v>
      </c>
      <c r="J918" s="26">
        <f t="shared" si="71"/>
        <v>12376.686241359315</v>
      </c>
      <c r="K918" s="1">
        <f>D918*$E$1867/E918</f>
        <v>21.168438907876713</v>
      </c>
      <c r="L918" s="26">
        <f t="shared" si="69"/>
        <v>1193.9359399065261</v>
      </c>
      <c r="M918" s="10">
        <f t="shared" si="67"/>
        <v>10.733674273688543</v>
      </c>
      <c r="N918" s="4">
        <f t="shared" si="68"/>
        <v>14.008519289638585</v>
      </c>
      <c r="O918" s="36">
        <f>1/M918-(G918/100-(((E918/E798)^(1/10))-1))</f>
        <v>0.11284855290399025</v>
      </c>
      <c r="P918" s="48">
        <v>0.38</v>
      </c>
      <c r="R918" s="30"/>
      <c r="S918" s="30"/>
    </row>
    <row r="919" spans="1:19" ht="13" x14ac:dyDescent="0.3">
      <c r="A919" s="52" t="s">
        <v>935</v>
      </c>
      <c r="B919" s="6">
        <v>14.84</v>
      </c>
      <c r="C919" s="1">
        <v>0.76</v>
      </c>
      <c r="D919" s="6">
        <v>1.44</v>
      </c>
      <c r="E919" s="6">
        <v>22</v>
      </c>
      <c r="F919" s="1">
        <f t="shared" si="70"/>
        <v>1947.4583333332639</v>
      </c>
      <c r="G919" s="17">
        <f>G914*7/12+G926*5/12</f>
        <v>2.3291666666666666</v>
      </c>
      <c r="H919" s="1">
        <f>B919*$E$1867/E919</f>
        <v>226.0572140909091</v>
      </c>
      <c r="I919" s="1">
        <f>C919*$E$1867/E919</f>
        <v>11.57705409090909</v>
      </c>
      <c r="J919" s="26">
        <f t="shared" si="71"/>
        <v>12804.424957251102</v>
      </c>
      <c r="K919" s="1">
        <f>D919*$E$1867/E919</f>
        <v>21.93547090909091</v>
      </c>
      <c r="L919" s="26">
        <f t="shared" si="69"/>
        <v>1242.477893425983</v>
      </c>
      <c r="M919" s="10">
        <f t="shared" si="67"/>
        <v>11.082715855052099</v>
      </c>
      <c r="N919" s="4">
        <f t="shared" si="68"/>
        <v>14.448343003675774</v>
      </c>
      <c r="O919" s="36">
        <f>1/M919-(G919/100-(((E919/E799)^(1/10))-1))</f>
        <v>0.11023126451262734</v>
      </c>
      <c r="P919" s="48">
        <v>0.38</v>
      </c>
      <c r="R919" s="30"/>
      <c r="S919" s="30"/>
    </row>
    <row r="920" spans="1:19" ht="13" x14ac:dyDescent="0.3">
      <c r="A920" s="52" t="s">
        <v>936</v>
      </c>
      <c r="B920" s="6">
        <v>15.77</v>
      </c>
      <c r="C920" s="1">
        <v>0.77</v>
      </c>
      <c r="D920" s="6">
        <v>1.4766699999999999</v>
      </c>
      <c r="E920" s="6">
        <v>22.2</v>
      </c>
      <c r="F920" s="1">
        <f t="shared" si="70"/>
        <v>1947.5416666665972</v>
      </c>
      <c r="G920" s="17">
        <f>G914*6/12+G926*6/12</f>
        <v>2.3449999999999998</v>
      </c>
      <c r="H920" s="1">
        <f>B920*$E$1867/E920</f>
        <v>238.05969335585587</v>
      </c>
      <c r="I920" s="1">
        <f>C920*$E$1867/E920</f>
        <v>11.623713626126127</v>
      </c>
      <c r="J920" s="26">
        <f t="shared" si="71"/>
        <v>13539.140545903098</v>
      </c>
      <c r="K920" s="1">
        <f>D920*$E$1867/E920</f>
        <v>22.29141454583333</v>
      </c>
      <c r="L920" s="26">
        <f t="shared" si="69"/>
        <v>1267.7769606796908</v>
      </c>
      <c r="M920" s="10">
        <f t="shared" si="67"/>
        <v>11.69644655335437</v>
      </c>
      <c r="N920" s="4">
        <f t="shared" si="68"/>
        <v>15.22661058944901</v>
      </c>
      <c r="O920" s="36">
        <f>1/M920-(G920/100-(((E920/E800)^(1/10))-1))</f>
        <v>0.10556057364060722</v>
      </c>
      <c r="P920" s="48">
        <v>0.66</v>
      </c>
      <c r="R920" s="30"/>
      <c r="S920" s="30"/>
    </row>
    <row r="921" spans="1:19" ht="13" x14ac:dyDescent="0.3">
      <c r="A921" s="52" t="s">
        <v>937</v>
      </c>
      <c r="B921" s="6">
        <v>15.46</v>
      </c>
      <c r="C921" s="1">
        <v>0.78</v>
      </c>
      <c r="D921" s="6">
        <v>1.5133300000000001</v>
      </c>
      <c r="E921" s="6">
        <v>22.5</v>
      </c>
      <c r="F921" s="1">
        <f t="shared" si="70"/>
        <v>1947.6249999999304</v>
      </c>
      <c r="G921" s="17">
        <f>G914*5/12+G926*7/12</f>
        <v>2.3608333333333329</v>
      </c>
      <c r="H921" s="1">
        <f>B921*$E$1867/E921</f>
        <v>230.26828288888888</v>
      </c>
      <c r="I921" s="1">
        <f>C921*$E$1867/E921</f>
        <v>11.617675333333333</v>
      </c>
      <c r="J921" s="26">
        <f t="shared" si="71"/>
        <v>13151.081476356601</v>
      </c>
      <c r="K921" s="1">
        <f>D921*$E$1867/E921</f>
        <v>22.540226425888889</v>
      </c>
      <c r="L921" s="26">
        <f t="shared" si="69"/>
        <v>1287.3173435067747</v>
      </c>
      <c r="M921" s="10">
        <f t="shared" si="67"/>
        <v>11.337472355329835</v>
      </c>
      <c r="N921" s="4">
        <f t="shared" si="68"/>
        <v>14.739100764648146</v>
      </c>
      <c r="O921" s="36">
        <f>1/M921-(G921/100-(((E921/E801)^(1/10))-1))</f>
        <v>0.10951092237802156</v>
      </c>
      <c r="P921" s="48">
        <v>0.75</v>
      </c>
      <c r="R921" s="30"/>
      <c r="S921" s="30"/>
    </row>
    <row r="922" spans="1:19" ht="13" x14ac:dyDescent="0.3">
      <c r="A922" s="52" t="s">
        <v>938</v>
      </c>
      <c r="B922" s="6">
        <v>15.06</v>
      </c>
      <c r="C922" s="1">
        <v>0.79</v>
      </c>
      <c r="D922" s="6">
        <v>1.55</v>
      </c>
      <c r="E922" s="6">
        <v>23</v>
      </c>
      <c r="F922" s="1">
        <f t="shared" si="70"/>
        <v>1947.7083333332637</v>
      </c>
      <c r="G922" s="17">
        <f>G914*4/12+G926*8/12</f>
        <v>2.3766666666666669</v>
      </c>
      <c r="H922" s="1">
        <f>B922*$E$1867/E922</f>
        <v>219.43418543478262</v>
      </c>
      <c r="I922" s="1">
        <f>C922*$E$1867/E922</f>
        <v>11.510823804347826</v>
      </c>
      <c r="J922" s="26">
        <f t="shared" si="71"/>
        <v>12587.108379830946</v>
      </c>
      <c r="K922" s="1">
        <f>D922*$E$1867/E922</f>
        <v>22.584527717391303</v>
      </c>
      <c r="L922" s="26">
        <f t="shared" si="69"/>
        <v>1295.4859222269565</v>
      </c>
      <c r="M922" s="10">
        <f t="shared" si="67"/>
        <v>10.827463017228839</v>
      </c>
      <c r="N922" s="4">
        <f t="shared" si="68"/>
        <v>14.058032932818948</v>
      </c>
      <c r="O922" s="36">
        <f>1/M922-(G922/100-(((E922/E802)^(1/10))-1))</f>
        <v>0.1150868921178399</v>
      </c>
      <c r="P922" s="48">
        <v>0.8</v>
      </c>
      <c r="R922" s="30"/>
      <c r="S922" s="30"/>
    </row>
    <row r="923" spans="1:19" ht="13" x14ac:dyDescent="0.3">
      <c r="A923" s="52" t="s">
        <v>939</v>
      </c>
      <c r="B923" s="6">
        <v>15.45</v>
      </c>
      <c r="C923" s="1">
        <v>0.80666700000000002</v>
      </c>
      <c r="D923" s="6">
        <v>1.57</v>
      </c>
      <c r="E923" s="6">
        <v>23</v>
      </c>
      <c r="F923" s="1">
        <f t="shared" si="70"/>
        <v>1947.7916666665969</v>
      </c>
      <c r="G923" s="17">
        <f>G914*3/12+G926*9/12</f>
        <v>2.3925000000000001</v>
      </c>
      <c r="H923" s="1">
        <f>B923*$E$1867/E923</f>
        <v>225.11674402173909</v>
      </c>
      <c r="I923" s="1">
        <f>C923*$E$1867/E923</f>
        <v>11.753673045293478</v>
      </c>
      <c r="J923" s="26">
        <f t="shared" si="71"/>
        <v>12969.253533510901</v>
      </c>
      <c r="K923" s="1">
        <f>D923*$E$1867/E923</f>
        <v>22.875940978260868</v>
      </c>
      <c r="L923" s="26">
        <f t="shared" si="69"/>
        <v>1317.9112004926935</v>
      </c>
      <c r="M923" s="10">
        <f t="shared" si="67"/>
        <v>11.132662042754786</v>
      </c>
      <c r="N923" s="4">
        <f t="shared" si="68"/>
        <v>14.435005794121896</v>
      </c>
      <c r="O923" s="36">
        <f>1/M923-(G923/100-(((E923/E803)^(1/10))-1))</f>
        <v>0.11239659547338417</v>
      </c>
      <c r="P923" s="48">
        <v>0.85</v>
      </c>
      <c r="R923" s="30"/>
      <c r="S923" s="30"/>
    </row>
    <row r="924" spans="1:19" ht="13" x14ac:dyDescent="0.3">
      <c r="A924" s="52" t="s">
        <v>940</v>
      </c>
      <c r="B924" s="6">
        <v>15.27</v>
      </c>
      <c r="C924" s="1">
        <v>0.82333299999999998</v>
      </c>
      <c r="D924" s="6">
        <v>1.59</v>
      </c>
      <c r="E924" s="6">
        <v>23.1</v>
      </c>
      <c r="F924" s="1">
        <f t="shared" si="70"/>
        <v>1947.8749999999302</v>
      </c>
      <c r="G924" s="17">
        <f>G914*2/12+G926*10/12</f>
        <v>2.4083333333333332</v>
      </c>
      <c r="H924" s="1">
        <f>B924*$E$1867/E924</f>
        <v>221.53084707792203</v>
      </c>
      <c r="I924" s="1">
        <f>C924*$E$1867/E924</f>
        <v>11.944574781742421</v>
      </c>
      <c r="J924" s="26">
        <f t="shared" si="71"/>
        <v>12820.010725306931</v>
      </c>
      <c r="K924" s="1">
        <f>D924*$E$1867/E924</f>
        <v>23.067062662337666</v>
      </c>
      <c r="L924" s="26">
        <f t="shared" si="69"/>
        <v>1334.8930617706633</v>
      </c>
      <c r="M924" s="10">
        <f t="shared" si="67"/>
        <v>10.975407324839072</v>
      </c>
      <c r="N924" s="4">
        <f t="shared" si="68"/>
        <v>14.214670910685854</v>
      </c>
      <c r="O924" s="36">
        <f>1/M924-(G924/100-(((E924/E804)^(1/10))-1))</f>
        <v>0.11469919212401682</v>
      </c>
      <c r="P924" s="48">
        <v>0.92</v>
      </c>
      <c r="R924" s="30"/>
      <c r="S924" s="30"/>
    </row>
    <row r="925" spans="1:19" ht="13" x14ac:dyDescent="0.3">
      <c r="A925" s="52" t="s">
        <v>941</v>
      </c>
      <c r="B925" s="6">
        <v>15.03</v>
      </c>
      <c r="C925" s="1">
        <v>0.84</v>
      </c>
      <c r="D925" s="6">
        <v>1.61</v>
      </c>
      <c r="E925" s="6">
        <v>23.4</v>
      </c>
      <c r="F925" s="1">
        <f t="shared" si="70"/>
        <v>1947.9583333332635</v>
      </c>
      <c r="G925" s="17">
        <f>G914*1/12+G926*11/12</f>
        <v>2.4241666666666668</v>
      </c>
      <c r="H925" s="1">
        <f>B925*$E$1867/E925</f>
        <v>215.25352596153846</v>
      </c>
      <c r="I925" s="1">
        <f>C925*$E$1867/E925</f>
        <v>12.030137179487179</v>
      </c>
      <c r="J925" s="26">
        <f t="shared" si="71"/>
        <v>12514.75699823214</v>
      </c>
      <c r="K925" s="1">
        <f>D925*$E$1867/E925</f>
        <v>23.057762927350431</v>
      </c>
      <c r="L925" s="26">
        <f t="shared" si="69"/>
        <v>1340.5694455857451</v>
      </c>
      <c r="M925" s="10">
        <f t="shared" si="67"/>
        <v>10.68091253196919</v>
      </c>
      <c r="N925" s="4">
        <f t="shared" si="68"/>
        <v>13.820049087776757</v>
      </c>
      <c r="O925" s="36">
        <f>1/M925-(G925/100-(((E925/E805)^(1/10))-1))</f>
        <v>0.11913197089243802</v>
      </c>
      <c r="P925" s="48">
        <v>0.95</v>
      </c>
      <c r="R925" s="30"/>
      <c r="S925" s="30"/>
    </row>
    <row r="926" spans="1:19" ht="13" x14ac:dyDescent="0.3">
      <c r="A926" s="52" t="s">
        <v>942</v>
      </c>
      <c r="B926" s="6">
        <v>14.83</v>
      </c>
      <c r="C926" s="1">
        <v>0.843333</v>
      </c>
      <c r="D926" s="6">
        <v>1.64333</v>
      </c>
      <c r="E926" s="6">
        <v>23.7</v>
      </c>
      <c r="F926" s="1">
        <f t="shared" si="70"/>
        <v>1948.0416666665967</v>
      </c>
      <c r="G926" s="17">
        <v>2.44</v>
      </c>
      <c r="H926" s="1">
        <f>B926*$E$1867/E926</f>
        <v>209.7007366033755</v>
      </c>
      <c r="I926" s="1">
        <f>C926*$E$1867/E926</f>
        <v>11.924986601613924</v>
      </c>
      <c r="J926" s="26">
        <f t="shared" si="71"/>
        <v>12249.696142986921</v>
      </c>
      <c r="K926" s="1">
        <f>D926*$E$1867/E926</f>
        <v>23.2371889064346</v>
      </c>
      <c r="L926" s="26">
        <f t="shared" si="69"/>
        <v>1357.4034499430006</v>
      </c>
      <c r="M926" s="10">
        <f t="shared" si="67"/>
        <v>10.419342657320325</v>
      </c>
      <c r="N926" s="4">
        <f t="shared" si="68"/>
        <v>13.470659208036283</v>
      </c>
      <c r="O926" s="36">
        <f>1/M926-(G926/100-(((E926/E806)^(1/10))-1))</f>
        <v>0.12413325641961878</v>
      </c>
      <c r="P926" s="48">
        <v>0.97</v>
      </c>
      <c r="R926" s="30"/>
      <c r="S926" s="30"/>
    </row>
    <row r="927" spans="1:19" ht="13" x14ac:dyDescent="0.3">
      <c r="A927" s="52" t="s">
        <v>943</v>
      </c>
      <c r="B927" s="6">
        <v>14.1</v>
      </c>
      <c r="C927" s="1">
        <v>0.84666699999999995</v>
      </c>
      <c r="D927" s="6">
        <v>1.6766700000000001</v>
      </c>
      <c r="E927" s="6">
        <v>23.5</v>
      </c>
      <c r="F927" s="1">
        <f t="shared" si="70"/>
        <v>1948.12499999993</v>
      </c>
      <c r="G927" s="17">
        <f>G926*11/12+G938*1/12</f>
        <v>2.4291666666666667</v>
      </c>
      <c r="H927" s="1">
        <f>B927*$E$1867/E927</f>
        <v>201.07515000000001</v>
      </c>
      <c r="I927" s="1">
        <f>C927*$E$1867/E927</f>
        <v>12.074020852840425</v>
      </c>
      <c r="J927" s="26">
        <f t="shared" si="71"/>
        <v>11804.606825535993</v>
      </c>
      <c r="K927" s="1">
        <f>D927*$E$1867/E927</f>
        <v>23.910402251808513</v>
      </c>
      <c r="L927" s="26">
        <f t="shared" si="69"/>
        <v>1403.7184486646406</v>
      </c>
      <c r="M927" s="10">
        <f t="shared" si="67"/>
        <v>9.9997611691441843</v>
      </c>
      <c r="N927" s="4">
        <f t="shared" si="68"/>
        <v>12.922123925363094</v>
      </c>
      <c r="O927" s="36">
        <f>1/M927-(G927/100-(((E927/E807)^(1/10))-1))</f>
        <v>0.12812050084785856</v>
      </c>
      <c r="P927" s="48">
        <v>1</v>
      </c>
      <c r="R927" s="30"/>
      <c r="S927" s="30"/>
    </row>
    <row r="928" spans="1:19" ht="13" x14ac:dyDescent="0.3">
      <c r="A928" s="52" t="s">
        <v>944</v>
      </c>
      <c r="B928" s="6">
        <v>14.3</v>
      </c>
      <c r="C928" s="1">
        <v>0.85</v>
      </c>
      <c r="D928" s="6">
        <v>1.71</v>
      </c>
      <c r="E928" s="6">
        <v>23.4</v>
      </c>
      <c r="F928" s="1">
        <f t="shared" si="70"/>
        <v>1948.2083333332632</v>
      </c>
      <c r="G928" s="17">
        <f>G926*10/12+G938*2/12</f>
        <v>2.418333333333333</v>
      </c>
      <c r="H928" s="1">
        <f>B928*$E$1867/E928</f>
        <v>204.79876388888891</v>
      </c>
      <c r="I928" s="1">
        <f>C928*$E$1867/E928</f>
        <v>12.173353098290598</v>
      </c>
      <c r="J928" s="26">
        <f t="shared" si="71"/>
        <v>12082.766186275416</v>
      </c>
      <c r="K928" s="1">
        <f>D928*$E$1867/E928</f>
        <v>24.489922115384619</v>
      </c>
      <c r="L928" s="26">
        <f t="shared" si="69"/>
        <v>1444.8622502469204</v>
      </c>
      <c r="M928" s="10">
        <f t="shared" si="67"/>
        <v>10.186680609489674</v>
      </c>
      <c r="N928" s="4">
        <f t="shared" si="68"/>
        <v>13.157348384869673</v>
      </c>
      <c r="O928" s="36">
        <f>1/M928-(G928/100-(((E928/E808)^(1/10))-1))</f>
        <v>0.12594515689644098</v>
      </c>
      <c r="P928" s="48">
        <v>1</v>
      </c>
      <c r="R928" s="30"/>
      <c r="S928" s="30"/>
    </row>
    <row r="929" spans="1:19" ht="13" x14ac:dyDescent="0.3">
      <c r="A929" s="52" t="s">
        <v>945</v>
      </c>
      <c r="B929" s="6">
        <v>15.4</v>
      </c>
      <c r="C929" s="1">
        <v>0.85</v>
      </c>
      <c r="D929" s="6">
        <v>1.76</v>
      </c>
      <c r="E929" s="6">
        <v>23.8</v>
      </c>
      <c r="F929" s="1">
        <f t="shared" si="70"/>
        <v>1948.2916666665965</v>
      </c>
      <c r="G929" s="17">
        <f>G926*9/12+G938*3/12</f>
        <v>2.4075000000000002</v>
      </c>
      <c r="H929" s="1">
        <f>B929*$E$1867/E929</f>
        <v>216.84575000000001</v>
      </c>
      <c r="I929" s="1">
        <f>C929*$E$1867/E929</f>
        <v>11.968758928571427</v>
      </c>
      <c r="J929" s="26">
        <f t="shared" si="71"/>
        <v>12852.361778926837</v>
      </c>
      <c r="K929" s="1">
        <f>D929*$E$1867/E929</f>
        <v>24.782371428571427</v>
      </c>
      <c r="L929" s="26">
        <f t="shared" si="69"/>
        <v>1468.8413461630671</v>
      </c>
      <c r="M929" s="10">
        <f t="shared" si="67"/>
        <v>10.779484482024619</v>
      </c>
      <c r="N929" s="4">
        <f t="shared" si="68"/>
        <v>13.912519101434738</v>
      </c>
      <c r="O929" s="36">
        <f>1/M929-(G929/100-(((E929/E809)^(1/10))-1))</f>
        <v>0.1216950031054999</v>
      </c>
      <c r="P929" s="48">
        <v>1</v>
      </c>
      <c r="R929" s="30"/>
      <c r="S929" s="30"/>
    </row>
    <row r="930" spans="1:19" ht="13" x14ac:dyDescent="0.3">
      <c r="A930" s="52" t="s">
        <v>946</v>
      </c>
      <c r="B930" s="6">
        <v>16.149999999999999</v>
      </c>
      <c r="C930" s="1">
        <v>0.85</v>
      </c>
      <c r="D930" s="6">
        <v>1.81</v>
      </c>
      <c r="E930" s="6">
        <v>23.9</v>
      </c>
      <c r="F930" s="1">
        <f t="shared" si="70"/>
        <v>1948.3749999999297</v>
      </c>
      <c r="G930" s="17">
        <f>G926*8/12+G938*4/12</f>
        <v>2.3966666666666665</v>
      </c>
      <c r="H930" s="1">
        <f>B930*$E$1867/E930</f>
        <v>226.45492834728032</v>
      </c>
      <c r="I930" s="1">
        <f>C930*$E$1867/E930</f>
        <v>11.918680439330544</v>
      </c>
      <c r="J930" s="26">
        <f t="shared" si="71"/>
        <v>13480.761932470474</v>
      </c>
      <c r="K930" s="1">
        <f>D930*$E$1867/E930</f>
        <v>25.379778347280336</v>
      </c>
      <c r="L930" s="26">
        <f t="shared" si="69"/>
        <v>1510.8470029579914</v>
      </c>
      <c r="M930" s="10">
        <f t="shared" si="67"/>
        <v>11.241032697984437</v>
      </c>
      <c r="N930" s="4">
        <f t="shared" si="68"/>
        <v>14.496634879651312</v>
      </c>
      <c r="O930" s="36">
        <f>1/M930-(G930/100-(((E930/E810)^(1/10))-1))</f>
        <v>0.11918067168503872</v>
      </c>
      <c r="P930" s="48">
        <v>1</v>
      </c>
      <c r="R930" s="30"/>
      <c r="S930" s="30"/>
    </row>
    <row r="931" spans="1:19" ht="13" x14ac:dyDescent="0.3">
      <c r="A931" s="52" t="s">
        <v>947</v>
      </c>
      <c r="B931" s="6">
        <v>16.82</v>
      </c>
      <c r="C931" s="1">
        <v>0.85</v>
      </c>
      <c r="D931" s="6">
        <v>1.86</v>
      </c>
      <c r="E931" s="6">
        <v>24.1</v>
      </c>
      <c r="F931" s="1">
        <f t="shared" si="70"/>
        <v>1948.458333333263</v>
      </c>
      <c r="G931" s="17">
        <f>G926*7/12+G938*5/12</f>
        <v>2.3858333333333333</v>
      </c>
      <c r="H931" s="1">
        <f>B931*$E$1867/E931</f>
        <v>233.89239439834023</v>
      </c>
      <c r="I931" s="1">
        <f>C931*$E$1867/E931</f>
        <v>11.819770228215765</v>
      </c>
      <c r="J931" s="26">
        <f t="shared" si="71"/>
        <v>13982.146479154479</v>
      </c>
      <c r="K931" s="1">
        <f>D931*$E$1867/E931</f>
        <v>25.86443838174274</v>
      </c>
      <c r="L931" s="26">
        <f t="shared" si="69"/>
        <v>1546.1826665414587</v>
      </c>
      <c r="M931" s="10">
        <f t="shared" si="67"/>
        <v>11.583895756523843</v>
      </c>
      <c r="N931" s="4">
        <f t="shared" si="68"/>
        <v>14.925847493337104</v>
      </c>
      <c r="O931" s="36">
        <f>1/M931-(G931/100-(((E931/E811)^(1/10))-1))</f>
        <v>0.11753481139368555</v>
      </c>
      <c r="P931" s="48">
        <v>1</v>
      </c>
      <c r="R931" s="30"/>
      <c r="S931" s="30"/>
    </row>
    <row r="932" spans="1:19" ht="13" x14ac:dyDescent="0.3">
      <c r="A932" s="52" t="s">
        <v>948</v>
      </c>
      <c r="B932" s="6">
        <v>16.420000000000002</v>
      </c>
      <c r="C932" s="1">
        <v>0.85666699999999996</v>
      </c>
      <c r="D932" s="6">
        <v>1.93</v>
      </c>
      <c r="E932" s="6">
        <v>24.4</v>
      </c>
      <c r="F932" s="1">
        <f t="shared" si="70"/>
        <v>1948.5416666665963</v>
      </c>
      <c r="G932" s="17">
        <f>G926*6/12+G938*6/12</f>
        <v>2.375</v>
      </c>
      <c r="H932" s="1">
        <f>B932*$E$1867/E932</f>
        <v>225.52281168032789</v>
      </c>
      <c r="I932" s="1">
        <f>C932*$E$1867/E932</f>
        <v>11.766014038596312</v>
      </c>
      <c r="J932" s="26">
        <f t="shared" si="71"/>
        <v>13540.425315804438</v>
      </c>
      <c r="K932" s="1">
        <f>D932*$E$1867/E932</f>
        <v>26.507857889344262</v>
      </c>
      <c r="L932" s="26">
        <f t="shared" si="69"/>
        <v>1591.535984135357</v>
      </c>
      <c r="M932" s="10">
        <f t="shared" si="67"/>
        <v>11.134621739180934</v>
      </c>
      <c r="N932" s="4">
        <f t="shared" si="68"/>
        <v>14.338438705434088</v>
      </c>
      <c r="O932" s="36">
        <f>1/M932-(G932/100-(((E932/E812)^(1/10))-1))</f>
        <v>0.12243242819353195</v>
      </c>
      <c r="P932" s="48">
        <v>1</v>
      </c>
      <c r="R932" s="30"/>
      <c r="S932" s="30"/>
    </row>
    <row r="933" spans="1:19" ht="13" x14ac:dyDescent="0.3">
      <c r="A933" s="52" t="s">
        <v>949</v>
      </c>
      <c r="B933" s="6">
        <v>15.94</v>
      </c>
      <c r="C933" s="1">
        <v>0.86333300000000002</v>
      </c>
      <c r="D933" s="6">
        <v>2</v>
      </c>
      <c r="E933" s="6">
        <v>24.5</v>
      </c>
      <c r="F933" s="1">
        <f t="shared" si="70"/>
        <v>1948.6249999999295</v>
      </c>
      <c r="G933" s="17">
        <f>G926*5/12+G938*7/12</f>
        <v>2.3641666666666667</v>
      </c>
      <c r="H933" s="1">
        <f>B933*$E$1867/E933</f>
        <v>218.03659122448977</v>
      </c>
      <c r="I933" s="1">
        <f>C933*$E$1867/E933</f>
        <v>11.809170916663266</v>
      </c>
      <c r="J933" s="26">
        <f t="shared" si="71"/>
        <v>13150.036828771179</v>
      </c>
      <c r="K933" s="1">
        <f>D933*$E$1867/E933</f>
        <v>27.357163265306124</v>
      </c>
      <c r="L933" s="26">
        <f t="shared" si="69"/>
        <v>1649.9418856676514</v>
      </c>
      <c r="M933" s="10">
        <f t="shared" si="67"/>
        <v>10.723556662478131</v>
      </c>
      <c r="N933" s="4">
        <f t="shared" si="68"/>
        <v>13.804163636491671</v>
      </c>
      <c r="O933" s="36">
        <f>1/M933-(G933/100-(((E933/E813)^(1/10))-1))</f>
        <v>0.12641558155058846</v>
      </c>
      <c r="P933" s="48">
        <v>1.06</v>
      </c>
      <c r="R933" s="30"/>
      <c r="S933" s="30"/>
    </row>
    <row r="934" spans="1:19" ht="13" x14ac:dyDescent="0.3">
      <c r="A934" s="52" t="s">
        <v>950</v>
      </c>
      <c r="B934" s="6">
        <v>15.76</v>
      </c>
      <c r="C934" s="1">
        <v>0.87</v>
      </c>
      <c r="D934" s="6">
        <v>2.0699999999999998</v>
      </c>
      <c r="E934" s="6">
        <v>24.5</v>
      </c>
      <c r="F934" s="1">
        <f t="shared" si="70"/>
        <v>1948.7083333332628</v>
      </c>
      <c r="G934" s="17">
        <f>G926*4/12+G938*8/12</f>
        <v>2.3533333333333335</v>
      </c>
      <c r="H934" s="1">
        <f>B934*$E$1867/E934</f>
        <v>215.57444653061225</v>
      </c>
      <c r="I934" s="1">
        <f>C934*$E$1867/E934</f>
        <v>11.900366020408162</v>
      </c>
      <c r="J934" s="26">
        <f t="shared" si="71"/>
        <v>13061.352452416546</v>
      </c>
      <c r="K934" s="1">
        <f>D934*$E$1867/E934</f>
        <v>28.314663979591831</v>
      </c>
      <c r="L934" s="26">
        <f t="shared" si="69"/>
        <v>1715.5456584075027</v>
      </c>
      <c r="M934" s="10">
        <f t="shared" si="67"/>
        <v>10.55301368939916</v>
      </c>
      <c r="N934" s="4">
        <f t="shared" si="68"/>
        <v>13.581595172569715</v>
      </c>
      <c r="O934" s="36">
        <f>1/M934-(G934/100-(((E934/E814)^(1/10))-1))</f>
        <v>0.12803093301492222</v>
      </c>
      <c r="P934" s="48">
        <v>1.0900000000000001</v>
      </c>
      <c r="R934" s="30"/>
      <c r="S934" s="30"/>
    </row>
    <row r="935" spans="1:19" ht="13" x14ac:dyDescent="0.3">
      <c r="A935" s="52" t="s">
        <v>951</v>
      </c>
      <c r="B935" s="6">
        <v>16.190000000000001</v>
      </c>
      <c r="C935" s="1">
        <v>0.89</v>
      </c>
      <c r="D935" s="6">
        <v>2.1433300000000002</v>
      </c>
      <c r="E935" s="6">
        <v>24.4</v>
      </c>
      <c r="F935" s="1">
        <f t="shared" si="70"/>
        <v>1948.791666666596</v>
      </c>
      <c r="G935" s="17">
        <f>G926*3/12+G938*9/12</f>
        <v>2.3424999999999998</v>
      </c>
      <c r="H935" s="1">
        <f>B935*$E$1867/E935</f>
        <v>222.36384415983611</v>
      </c>
      <c r="I935" s="1">
        <f>C935*$E$1867/E935</f>
        <v>12.223830840163936</v>
      </c>
      <c r="J935" s="26">
        <f t="shared" si="71"/>
        <v>13534.431229886215</v>
      </c>
      <c r="K935" s="1">
        <f>D935*$E$1867/E935</f>
        <v>29.43786893780738</v>
      </c>
      <c r="L935" s="26">
        <f t="shared" si="69"/>
        <v>1791.7697645430526</v>
      </c>
      <c r="M935" s="10">
        <f t="shared" si="67"/>
        <v>10.825409809169493</v>
      </c>
      <c r="N935" s="4">
        <f t="shared" si="68"/>
        <v>13.929311962219334</v>
      </c>
      <c r="O935" s="36">
        <f>1/M935-(G935/100-(((E935/E815)^(1/10))-1))</f>
        <v>0.1260748552821144</v>
      </c>
      <c r="P935" s="48">
        <v>1.1200000000000001</v>
      </c>
      <c r="R935" s="30"/>
      <c r="S935" s="30"/>
    </row>
    <row r="936" spans="1:19" ht="13" x14ac:dyDescent="0.3">
      <c r="A936" s="52" t="s">
        <v>952</v>
      </c>
      <c r="B936" s="6">
        <v>15.29</v>
      </c>
      <c r="C936" s="1">
        <v>0.91</v>
      </c>
      <c r="D936" s="6">
        <v>2.2166700000000001</v>
      </c>
      <c r="E936" s="6">
        <v>24.2</v>
      </c>
      <c r="F936" s="1">
        <f t="shared" si="70"/>
        <v>1948.8749999999293</v>
      </c>
      <c r="G936" s="17">
        <f>G926*2/12+G938*10/12</f>
        <v>2.3316666666666666</v>
      </c>
      <c r="H936" s="1">
        <f>B936*$E$1867/E936</f>
        <v>211.73822613636364</v>
      </c>
      <c r="I936" s="1">
        <f>C936*$E$1867/E936</f>
        <v>12.601817252066116</v>
      </c>
      <c r="J936" s="26">
        <f t="shared" si="71"/>
        <v>12951.609438469301</v>
      </c>
      <c r="K936" s="1">
        <f>D936*$E$1867/E936</f>
        <v>30.696780492458682</v>
      </c>
      <c r="L936" s="26">
        <f t="shared" si="69"/>
        <v>1877.6614842362164</v>
      </c>
      <c r="M936" s="10">
        <f t="shared" si="67"/>
        <v>10.248096205635568</v>
      </c>
      <c r="N936" s="4">
        <f t="shared" si="68"/>
        <v>13.187035340998534</v>
      </c>
      <c r="O936" s="36">
        <f>1/M936-(G936/100-(((E936/E816)^(1/10))-1))</f>
        <v>0.13051732404994576</v>
      </c>
      <c r="P936" s="48">
        <v>1.1399999999999999</v>
      </c>
      <c r="R936" s="30"/>
      <c r="S936" s="30"/>
    </row>
    <row r="937" spans="1:19" ht="13" x14ac:dyDescent="0.3">
      <c r="A937" s="52" t="s">
        <v>953</v>
      </c>
      <c r="B937" s="6">
        <v>15.19</v>
      </c>
      <c r="C937" s="1">
        <v>0.93</v>
      </c>
      <c r="D937" s="6">
        <v>2.29</v>
      </c>
      <c r="E937" s="6">
        <v>24.1</v>
      </c>
      <c r="F937" s="1">
        <f t="shared" si="70"/>
        <v>1948.9583333332625</v>
      </c>
      <c r="G937" s="17">
        <f>G926*1/12+G938*11/12</f>
        <v>2.3208333333333333</v>
      </c>
      <c r="H937" s="1">
        <f>B937*$E$1867/E937</f>
        <v>211.22624678423233</v>
      </c>
      <c r="I937" s="1">
        <f>C937*$E$1867/E937</f>
        <v>12.93221919087137</v>
      </c>
      <c r="J937" s="26">
        <f t="shared" si="71"/>
        <v>12986.21253243458</v>
      </c>
      <c r="K937" s="1">
        <f>D937*$E$1867/E937</f>
        <v>31.843851556016592</v>
      </c>
      <c r="L937" s="26">
        <f t="shared" si="69"/>
        <v>1957.7634430069247</v>
      </c>
      <c r="M937" s="10">
        <f t="shared" si="67"/>
        <v>10.159652938900912</v>
      </c>
      <c r="N937" s="4">
        <f t="shared" si="68"/>
        <v>13.073862008778574</v>
      </c>
      <c r="O937" s="36">
        <f>1/M937-(G937/100-(((E937/E817)^(1/10))-1))</f>
        <v>0.13103783423521193</v>
      </c>
      <c r="P937" s="48">
        <v>1.1599999999999999</v>
      </c>
      <c r="R937" s="30"/>
      <c r="S937" s="30"/>
    </row>
    <row r="938" spans="1:19" ht="13" x14ac:dyDescent="0.3">
      <c r="A938" s="52" t="s">
        <v>954</v>
      </c>
      <c r="B938" s="6">
        <v>15.36</v>
      </c>
      <c r="C938" s="1">
        <v>0.94666700000000004</v>
      </c>
      <c r="D938" s="6">
        <v>2.3199999999999998</v>
      </c>
      <c r="E938" s="6">
        <v>24</v>
      </c>
      <c r="F938" s="1">
        <f t="shared" si="70"/>
        <v>1949.0416666665958</v>
      </c>
      <c r="G938" s="17">
        <v>2.31</v>
      </c>
      <c r="H938" s="1">
        <f>B938*$E$1867/E938</f>
        <v>214.48015999999998</v>
      </c>
      <c r="I938" s="1">
        <f>C938*$E$1867/E938</f>
        <v>13.218833960072915</v>
      </c>
      <c r="J938" s="26">
        <f t="shared" si="71"/>
        <v>13253.98808138363</v>
      </c>
      <c r="K938" s="1">
        <f>D938*$E$1867/E938</f>
        <v>32.395440833333332</v>
      </c>
      <c r="L938" s="26">
        <f t="shared" si="69"/>
        <v>2001.9044497923192</v>
      </c>
      <c r="M938" s="10">
        <f t="shared" si="67"/>
        <v>10.248285758038978</v>
      </c>
      <c r="N938" s="4">
        <f t="shared" si="68"/>
        <v>13.18739944260073</v>
      </c>
      <c r="O938" s="36">
        <f>1/M938-(G938/100-(((E938/E818)^(1/10))-1))</f>
        <v>0.12985598440762083</v>
      </c>
      <c r="P938" s="48">
        <v>1.17</v>
      </c>
      <c r="R938" s="30"/>
      <c r="S938" s="30"/>
    </row>
    <row r="939" spans="1:19" ht="13" x14ac:dyDescent="0.3">
      <c r="A939" s="52" t="s">
        <v>955</v>
      </c>
      <c r="B939" s="6">
        <v>14.77</v>
      </c>
      <c r="C939" s="1">
        <v>0.96333299999999999</v>
      </c>
      <c r="D939" s="6">
        <v>2.35</v>
      </c>
      <c r="E939" s="6">
        <v>23.8</v>
      </c>
      <c r="F939" s="1">
        <f t="shared" si="70"/>
        <v>1949.1249999999291</v>
      </c>
      <c r="G939" s="17">
        <f>G938*11/12+G950*1/12</f>
        <v>2.3108333333333335</v>
      </c>
      <c r="H939" s="1">
        <f>B939*$E$1867/E939</f>
        <v>207.97478749999999</v>
      </c>
      <c r="I939" s="1">
        <f>C939*$E$1867/E939</f>
        <v>13.56458875875</v>
      </c>
      <c r="J939" s="26">
        <f t="shared" si="71"/>
        <v>12921.835891789426</v>
      </c>
      <c r="K939" s="1">
        <f>D939*$E$1867/E939</f>
        <v>33.09009821428571</v>
      </c>
      <c r="L939" s="26">
        <f t="shared" si="69"/>
        <v>2055.9454533314251</v>
      </c>
      <c r="M939" s="10">
        <f t="shared" si="67"/>
        <v>9.8725171405700554</v>
      </c>
      <c r="N939" s="4">
        <f t="shared" si="68"/>
        <v>12.705981845428807</v>
      </c>
      <c r="O939" s="36">
        <f>1/M939-(G939/100-(((E939/E819)^(1/10))-1))</f>
        <v>0.13343503412765614</v>
      </c>
      <c r="P939" s="48">
        <v>1.17</v>
      </c>
      <c r="R939" s="30"/>
      <c r="S939" s="30"/>
    </row>
    <row r="940" spans="1:19" ht="13" x14ac:dyDescent="0.3">
      <c r="A940" s="52" t="s">
        <v>956</v>
      </c>
      <c r="B940" s="6">
        <v>14.91</v>
      </c>
      <c r="C940" s="1">
        <v>0.98</v>
      </c>
      <c r="D940" s="6">
        <v>2.38</v>
      </c>
      <c r="E940" s="6">
        <v>23.8</v>
      </c>
      <c r="F940" s="1">
        <f t="shared" si="70"/>
        <v>1949.2083333332623</v>
      </c>
      <c r="G940" s="17">
        <f>G938*10/12+G950*2/12</f>
        <v>2.3116666666666665</v>
      </c>
      <c r="H940" s="1">
        <f>B940*$E$1867/E940</f>
        <v>209.9461125</v>
      </c>
      <c r="I940" s="1">
        <f>C940*$E$1867/E940</f>
        <v>13.799274999999998</v>
      </c>
      <c r="J940" s="26">
        <f t="shared" si="71"/>
        <v>13115.765498380262</v>
      </c>
      <c r="K940" s="1">
        <f>D940*$E$1867/E940</f>
        <v>33.512524999999997</v>
      </c>
      <c r="L940" s="26">
        <f t="shared" si="69"/>
        <v>2093.5963706334687</v>
      </c>
      <c r="M940" s="10">
        <f t="shared" si="67"/>
        <v>9.9013324912409182</v>
      </c>
      <c r="N940" s="4">
        <f t="shared" si="68"/>
        <v>12.744166953113311</v>
      </c>
      <c r="O940" s="36">
        <f>1/M940-(G940/100-(((E940/E820)^(1/10))-1))</f>
        <v>0.13313191783925865</v>
      </c>
      <c r="P940" s="48">
        <v>1.17</v>
      </c>
      <c r="R940" s="30"/>
      <c r="S940" s="30"/>
    </row>
    <row r="941" spans="1:19" ht="13" x14ac:dyDescent="0.3">
      <c r="A941" s="52" t="s">
        <v>957</v>
      </c>
      <c r="B941" s="6">
        <v>14.89</v>
      </c>
      <c r="C941" s="1">
        <v>0.99333300000000002</v>
      </c>
      <c r="D941" s="6">
        <v>2.3866700000000001</v>
      </c>
      <c r="E941" s="6">
        <v>23.9</v>
      </c>
      <c r="F941" s="1">
        <f t="shared" si="70"/>
        <v>1949.2916666665956</v>
      </c>
      <c r="G941" s="17">
        <f>G938*9/12+G950*3/12</f>
        <v>2.3125</v>
      </c>
      <c r="H941" s="1">
        <f>B941*$E$1867/E941</f>
        <v>208.78723734309625</v>
      </c>
      <c r="I941" s="1">
        <f>C941*$E$1867/E941</f>
        <v>13.928492466872386</v>
      </c>
      <c r="J941" s="26">
        <f t="shared" si="71"/>
        <v>13115.879981465087</v>
      </c>
      <c r="K941" s="1">
        <f>D941*$E$1867/E941</f>
        <v>33.465831816631805</v>
      </c>
      <c r="L941" s="26">
        <f t="shared" si="69"/>
        <v>2102.3020332681854</v>
      </c>
      <c r="M941" s="10">
        <f t="shared" si="67"/>
        <v>9.783639867544057</v>
      </c>
      <c r="N941" s="4">
        <f t="shared" si="68"/>
        <v>12.593798560825597</v>
      </c>
      <c r="O941" s="36">
        <f>1/M941-(G941/100-(((E941/E821)^(1/10))-1))</f>
        <v>0.13554358543720774</v>
      </c>
      <c r="P941" s="48">
        <v>1.17</v>
      </c>
      <c r="R941" s="30"/>
      <c r="S941" s="30"/>
    </row>
    <row r="942" spans="1:19" ht="13" x14ac:dyDescent="0.3">
      <c r="A942" s="52" t="s">
        <v>958</v>
      </c>
      <c r="B942" s="6">
        <v>14.78</v>
      </c>
      <c r="C942" s="1">
        <v>1.00667</v>
      </c>
      <c r="D942" s="6">
        <v>2.3933300000000002</v>
      </c>
      <c r="E942" s="6">
        <v>23.8</v>
      </c>
      <c r="F942" s="1">
        <f t="shared" si="70"/>
        <v>1949.3749999999288</v>
      </c>
      <c r="G942" s="17">
        <f>G938*8/12+G950*4/12</f>
        <v>2.3133333333333335</v>
      </c>
      <c r="H942" s="1">
        <f>B942*$E$1867/E942</f>
        <v>208.11559642857139</v>
      </c>
      <c r="I942" s="1">
        <f>C942*$E$1867/E942</f>
        <v>14.1748124125</v>
      </c>
      <c r="J942" s="26">
        <f t="shared" si="71"/>
        <v>13147.892314480976</v>
      </c>
      <c r="K942" s="1">
        <f>D942*$E$1867/E942</f>
        <v>33.700223301785712</v>
      </c>
      <c r="L942" s="26">
        <f t="shared" si="69"/>
        <v>2129.0422945207551</v>
      </c>
      <c r="M942" s="10">
        <f t="shared" si="67"/>
        <v>9.6922950863958093</v>
      </c>
      <c r="N942" s="4">
        <f t="shared" si="68"/>
        <v>12.478488236972922</v>
      </c>
      <c r="O942" s="36">
        <f>1/M942-(G942/100-(((E942/E822)^(1/10))-1))</f>
        <v>0.1360556744549116</v>
      </c>
      <c r="P942" s="48">
        <v>1.17</v>
      </c>
      <c r="R942" s="30"/>
      <c r="S942" s="30"/>
    </row>
    <row r="943" spans="1:19" ht="13" x14ac:dyDescent="0.3">
      <c r="A943" s="52" t="s">
        <v>959</v>
      </c>
      <c r="B943" s="6">
        <v>13.97</v>
      </c>
      <c r="C943" s="1">
        <v>1.02</v>
      </c>
      <c r="D943" s="6">
        <v>2.4</v>
      </c>
      <c r="E943" s="6">
        <v>23.9</v>
      </c>
      <c r="F943" s="1">
        <f t="shared" si="70"/>
        <v>1949.4583333332621</v>
      </c>
      <c r="G943" s="17">
        <f>G938*7/12+G950*5/12</f>
        <v>2.3141666666666669</v>
      </c>
      <c r="H943" s="1">
        <f>B943*$E$1867/E943</f>
        <v>195.88701851464435</v>
      </c>
      <c r="I943" s="1">
        <f>C943*$E$1867/E943</f>
        <v>14.302416527196655</v>
      </c>
      <c r="J943" s="26">
        <f t="shared" si="71"/>
        <v>12450.638118413772</v>
      </c>
      <c r="K943" s="1">
        <f>D943*$E$1867/E943</f>
        <v>33.652744769874474</v>
      </c>
      <c r="L943" s="26">
        <f t="shared" si="69"/>
        <v>2138.9786316530458</v>
      </c>
      <c r="M943" s="10">
        <f t="shared" si="67"/>
        <v>9.067718943419532</v>
      </c>
      <c r="N943" s="4">
        <f t="shared" si="68"/>
        <v>11.680724874168519</v>
      </c>
      <c r="O943" s="36">
        <f>1/M943-(G943/100-(((E943/E823)^(1/10))-1))</f>
        <v>0.14359678892669803</v>
      </c>
      <c r="P943" s="48">
        <v>1.17</v>
      </c>
      <c r="R943" s="30"/>
      <c r="S943" s="30"/>
    </row>
    <row r="944" spans="1:19" ht="13" x14ac:dyDescent="0.3">
      <c r="A944" s="52" t="s">
        <v>960</v>
      </c>
      <c r="B944" s="6">
        <v>14.76</v>
      </c>
      <c r="C944" s="1">
        <v>1.02667</v>
      </c>
      <c r="D944" s="6">
        <v>2.3966699999999999</v>
      </c>
      <c r="E944" s="6">
        <v>23.7</v>
      </c>
      <c r="F944" s="1">
        <f t="shared" si="70"/>
        <v>1949.5416666665953</v>
      </c>
      <c r="G944" s="17">
        <f>G938*6/12+G950*6/12</f>
        <v>2.3149999999999999</v>
      </c>
      <c r="H944" s="1">
        <f>B944*$E$1867/E944</f>
        <v>208.71091518987342</v>
      </c>
      <c r="I944" s="1">
        <f>C944*$E$1867/E944</f>
        <v>14.517427865717298</v>
      </c>
      <c r="J944" s="26">
        <f t="shared" si="71"/>
        <v>13342.623210092162</v>
      </c>
      <c r="K944" s="1">
        <f>D944*$E$1867/E944</f>
        <v>33.889646958544304</v>
      </c>
      <c r="L944" s="26">
        <f t="shared" si="69"/>
        <v>2166.5220033151477</v>
      </c>
      <c r="M944" s="10">
        <f t="shared" si="67"/>
        <v>9.6050380933639232</v>
      </c>
      <c r="N944" s="4">
        <f t="shared" si="68"/>
        <v>12.375822887753248</v>
      </c>
      <c r="O944" s="36">
        <f>1/M944-(G944/100-(((E944/E824)^(1/10))-1))</f>
        <v>0.1365317543033211</v>
      </c>
      <c r="P944" s="48">
        <v>1.02</v>
      </c>
      <c r="R944" s="30"/>
      <c r="S944" s="30"/>
    </row>
    <row r="945" spans="1:19" ht="13" x14ac:dyDescent="0.3">
      <c r="A945" s="52" t="s">
        <v>961</v>
      </c>
      <c r="B945" s="6">
        <v>15.29</v>
      </c>
      <c r="C945" s="1">
        <v>1.0333300000000001</v>
      </c>
      <c r="D945" s="6">
        <v>2.3933300000000002</v>
      </c>
      <c r="E945" s="6">
        <v>23.8</v>
      </c>
      <c r="F945" s="1">
        <f t="shared" si="70"/>
        <v>1949.6249999999286</v>
      </c>
      <c r="G945" s="17">
        <f>G938*5/12+G950*7/12</f>
        <v>2.3158333333333334</v>
      </c>
      <c r="H945" s="1">
        <f>B945*$E$1867/E945</f>
        <v>215.29685178571427</v>
      </c>
      <c r="I945" s="1">
        <f>C945*$E$1867/E945</f>
        <v>14.550209016071427</v>
      </c>
      <c r="J945" s="26">
        <f t="shared" si="71"/>
        <v>13841.168451165577</v>
      </c>
      <c r="K945" s="1">
        <f>D945*$E$1867/E945</f>
        <v>33.700223301785712</v>
      </c>
      <c r="L945" s="26">
        <f t="shared" si="69"/>
        <v>2166.545695829177</v>
      </c>
      <c r="M945" s="10">
        <f t="shared" si="67"/>
        <v>9.8513486380792301</v>
      </c>
      <c r="N945" s="4">
        <f t="shared" si="68"/>
        <v>12.693529992002613</v>
      </c>
      <c r="O945" s="36">
        <f>1/M945-(G945/100-(((E945/E825)^(1/10))-1))</f>
        <v>0.1343648813716756</v>
      </c>
      <c r="P945" s="48">
        <v>1.04</v>
      </c>
      <c r="R945" s="30"/>
      <c r="S945" s="30"/>
    </row>
    <row r="946" spans="1:19" ht="13" x14ac:dyDescent="0.3">
      <c r="A946" s="52" t="s">
        <v>962</v>
      </c>
      <c r="B946" s="6">
        <v>15.49</v>
      </c>
      <c r="C946" s="1">
        <v>1.04</v>
      </c>
      <c r="D946" s="6">
        <v>2.39</v>
      </c>
      <c r="E946" s="6">
        <v>23.9</v>
      </c>
      <c r="F946" s="1">
        <f t="shared" si="70"/>
        <v>1949.7083333332619</v>
      </c>
      <c r="G946" s="17">
        <f>G938*4/12+G950*8/12</f>
        <v>2.3166666666666664</v>
      </c>
      <c r="H946" s="1">
        <f>B946*$E$1867/E946</f>
        <v>217.20042353556485</v>
      </c>
      <c r="I946" s="1">
        <f>C946*$E$1867/E946</f>
        <v>14.582856066945608</v>
      </c>
      <c r="J946" s="26">
        <f t="shared" si="71"/>
        <v>14041.672874867054</v>
      </c>
      <c r="K946" s="1">
        <f>D946*$E$1867/E946</f>
        <v>33.512525000000004</v>
      </c>
      <c r="L946" s="26">
        <f t="shared" si="69"/>
        <v>2166.5331291757434</v>
      </c>
      <c r="M946" s="10">
        <f t="shared" si="67"/>
        <v>9.8840483617382855</v>
      </c>
      <c r="N946" s="4">
        <f t="shared" si="68"/>
        <v>12.735568365609868</v>
      </c>
      <c r="O946" s="36">
        <f>1/M946-(G946/100-(((E946/E826)^(1/10))-1))</f>
        <v>0.13219399240647292</v>
      </c>
      <c r="P946" s="48">
        <v>1.07</v>
      </c>
      <c r="R946" s="30"/>
      <c r="S946" s="30"/>
    </row>
    <row r="947" spans="1:19" ht="13" x14ac:dyDescent="0.3">
      <c r="A947" s="52" t="s">
        <v>963</v>
      </c>
      <c r="B947" s="6">
        <v>15.89</v>
      </c>
      <c r="C947" s="1">
        <v>1.0733299999999999</v>
      </c>
      <c r="D947" s="6">
        <v>2.3666700000000001</v>
      </c>
      <c r="E947" s="6">
        <v>23.7</v>
      </c>
      <c r="F947" s="1">
        <f t="shared" si="70"/>
        <v>1949.7916666665951</v>
      </c>
      <c r="G947" s="17">
        <f>G938*3/12+G950*9/12</f>
        <v>2.3174999999999999</v>
      </c>
      <c r="H947" s="1">
        <f>B947*$E$1867/E947</f>
        <v>224.68946086497891</v>
      </c>
      <c r="I947" s="1">
        <f>C947*$E$1867/E947</f>
        <v>15.177214539345989</v>
      </c>
      <c r="J947" s="26">
        <f t="shared" si="71"/>
        <v>14607.592899956711</v>
      </c>
      <c r="K947" s="1">
        <f>D947*$E$1867/E947</f>
        <v>33.465437781329115</v>
      </c>
      <c r="L947" s="26">
        <f t="shared" si="69"/>
        <v>2175.6672050686311</v>
      </c>
      <c r="M947" s="10">
        <f t="shared" si="67"/>
        <v>10.169850844772142</v>
      </c>
      <c r="N947" s="4">
        <f t="shared" si="68"/>
        <v>13.104711241762134</v>
      </c>
      <c r="O947" s="36">
        <f>1/M947-(G947/100-(((E947/E827)^(1/10))-1))</f>
        <v>0.12920684542664876</v>
      </c>
      <c r="P947" s="48">
        <v>1.05</v>
      </c>
      <c r="R947" s="30"/>
      <c r="S947" s="30"/>
    </row>
    <row r="948" spans="1:19" ht="13" x14ac:dyDescent="0.3">
      <c r="A948" s="52" t="s">
        <v>964</v>
      </c>
      <c r="B948" s="6">
        <v>16.11</v>
      </c>
      <c r="C948" s="1">
        <v>1.10667</v>
      </c>
      <c r="D948" s="6">
        <v>2.3433299999999999</v>
      </c>
      <c r="E948" s="6">
        <v>23.8</v>
      </c>
      <c r="F948" s="1">
        <f t="shared" si="70"/>
        <v>1949.8749999999284</v>
      </c>
      <c r="G948" s="17">
        <f>G938*2/12+G950*10/12</f>
        <v>2.3183333333333334</v>
      </c>
      <c r="H948" s="1">
        <f>B948*$E$1867/E948</f>
        <v>226.84318392857142</v>
      </c>
      <c r="I948" s="1">
        <f>C948*$E$1867/E948</f>
        <v>15.582901698214286</v>
      </c>
      <c r="J948" s="26">
        <f t="shared" si="71"/>
        <v>14832.034965709889</v>
      </c>
      <c r="K948" s="1">
        <f>D948*$E$1867/E948</f>
        <v>32.996178658928571</v>
      </c>
      <c r="L948" s="26">
        <f t="shared" si="69"/>
        <v>2157.4396335317788</v>
      </c>
      <c r="M948" s="10">
        <f t="shared" si="67"/>
        <v>10.215861011650643</v>
      </c>
      <c r="N948" s="4">
        <f t="shared" si="68"/>
        <v>13.165319750818012</v>
      </c>
      <c r="O948" s="36">
        <f>1/M948-(G948/100-(((E948/E828)^(1/10))-1))</f>
        <v>0.12919955980889691</v>
      </c>
      <c r="P948" s="48">
        <v>1.08</v>
      </c>
      <c r="R948" s="30"/>
      <c r="S948" s="30"/>
    </row>
    <row r="949" spans="1:19" ht="13" x14ac:dyDescent="0.3">
      <c r="A949" s="52" t="s">
        <v>965</v>
      </c>
      <c r="B949" s="6">
        <v>16.54</v>
      </c>
      <c r="C949" s="1">
        <v>1.1399999999999999</v>
      </c>
      <c r="D949" s="6">
        <v>2.3199999999999998</v>
      </c>
      <c r="E949" s="6">
        <v>23.6</v>
      </c>
      <c r="F949" s="1">
        <f t="shared" si="70"/>
        <v>1949.9583333332616</v>
      </c>
      <c r="G949" s="17">
        <f>G938*1/12+G950*11/12</f>
        <v>2.3191666666666664</v>
      </c>
      <c r="H949" s="1">
        <f>B949*$E$1867/E949</f>
        <v>234.87167944915251</v>
      </c>
      <c r="I949" s="1">
        <f>C949*$E$1867/E949</f>
        <v>16.188253601694914</v>
      </c>
      <c r="J949" s="26">
        <f t="shared" si="71"/>
        <v>15445.179484737078</v>
      </c>
      <c r="K949" s="1">
        <f>D949*$E$1867/E949</f>
        <v>32.944516101694909</v>
      </c>
      <c r="L949" s="26">
        <f t="shared" si="69"/>
        <v>2166.4338817769053</v>
      </c>
      <c r="M949" s="10">
        <f t="shared" si="67"/>
        <v>10.529330904131143</v>
      </c>
      <c r="N949" s="4">
        <f t="shared" si="68"/>
        <v>13.570829980109986</v>
      </c>
      <c r="O949" s="36">
        <f>1/M949-(G949/100-(((E949/E829)^(1/10))-1))</f>
        <v>0.12538752170992382</v>
      </c>
      <c r="P949" s="48">
        <v>1.1000000000000001</v>
      </c>
      <c r="R949" s="30"/>
      <c r="S949" s="30"/>
    </row>
    <row r="950" spans="1:19" ht="13" x14ac:dyDescent="0.3">
      <c r="A950" s="52" t="s">
        <v>966</v>
      </c>
      <c r="B950" s="6">
        <v>16.88</v>
      </c>
      <c r="C950" s="1">
        <v>1.1499999999999999</v>
      </c>
      <c r="D950" s="6">
        <v>2.3366699999999998</v>
      </c>
      <c r="E950" s="6">
        <v>23.5</v>
      </c>
      <c r="F950" s="1">
        <f t="shared" si="70"/>
        <v>1950.0416666665949</v>
      </c>
      <c r="G950" s="17">
        <v>2.3199999999999998</v>
      </c>
      <c r="H950" s="1">
        <f>B950*$E$1867/E950</f>
        <v>240.71975404255318</v>
      </c>
      <c r="I950" s="1">
        <f>C950*$E$1867/E950</f>
        <v>16.399746276595742</v>
      </c>
      <c r="J950" s="26">
        <f t="shared" si="71"/>
        <v>15919.620027726607</v>
      </c>
      <c r="K950" s="1">
        <f>D950*$E$1867/E950</f>
        <v>33.322430549680846</v>
      </c>
      <c r="L950" s="26">
        <f t="shared" si="69"/>
        <v>2203.7262162433603</v>
      </c>
      <c r="M950" s="10">
        <f t="shared" si="67"/>
        <v>10.745733299747908</v>
      </c>
      <c r="N950" s="4">
        <f t="shared" si="68"/>
        <v>13.849682296613805</v>
      </c>
      <c r="O950" s="36">
        <f>1/M950-(G950/100-(((E950/E830)^(1/10))-1))</f>
        <v>0.12377451331835169</v>
      </c>
      <c r="P950" s="48">
        <v>1.07</v>
      </c>
      <c r="R950" s="30"/>
      <c r="S950" s="30"/>
    </row>
    <row r="951" spans="1:19" ht="13" x14ac:dyDescent="0.3">
      <c r="A951" s="52" t="s">
        <v>967</v>
      </c>
      <c r="B951" s="6">
        <v>17.21</v>
      </c>
      <c r="C951" s="1">
        <v>1.1599999999999999</v>
      </c>
      <c r="D951" s="6">
        <v>2.3533300000000001</v>
      </c>
      <c r="E951" s="6">
        <v>23.5</v>
      </c>
      <c r="F951" s="1">
        <f t="shared" si="70"/>
        <v>1950.1249999999281</v>
      </c>
      <c r="G951" s="17">
        <f>G950*11/12+G962*1/12</f>
        <v>2.3408333333333333</v>
      </c>
      <c r="H951" s="1">
        <f>B951*$E$1867/E951</f>
        <v>245.42576819148934</v>
      </c>
      <c r="I951" s="1">
        <f>C951*$E$1867/E951</f>
        <v>16.542352765957446</v>
      </c>
      <c r="J951" s="26">
        <f t="shared" si="71"/>
        <v>16322.011687195209</v>
      </c>
      <c r="K951" s="1">
        <f>D951*$E$1867/E951</f>
        <v>33.560012960957451</v>
      </c>
      <c r="L951" s="26">
        <f t="shared" si="69"/>
        <v>2231.9046928429466</v>
      </c>
      <c r="M951" s="10">
        <f t="shared" si="67"/>
        <v>10.911564066731676</v>
      </c>
      <c r="N951" s="4">
        <f t="shared" si="68"/>
        <v>14.060924925588566</v>
      </c>
      <c r="O951" s="36">
        <f>1/M951-(G951/100-(((E951/E831)^(1/10))-1))</f>
        <v>0.12139665169662331</v>
      </c>
      <c r="P951" s="48">
        <v>1.1200000000000001</v>
      </c>
      <c r="R951" s="30"/>
      <c r="S951" s="30"/>
    </row>
    <row r="952" spans="1:19" ht="13" x14ac:dyDescent="0.3">
      <c r="A952" s="52" t="s">
        <v>968</v>
      </c>
      <c r="B952" s="6">
        <v>17.350000000000001</v>
      </c>
      <c r="C952" s="1">
        <v>1.17</v>
      </c>
      <c r="D952" s="6">
        <v>2.37</v>
      </c>
      <c r="E952" s="6">
        <v>23.6</v>
      </c>
      <c r="F952" s="1">
        <f t="shared" si="70"/>
        <v>1950.2083333332614</v>
      </c>
      <c r="G952" s="17">
        <f>G950*10/12+G962*2/12</f>
        <v>2.3616666666666668</v>
      </c>
      <c r="H952" s="1">
        <f>B952*$E$1867/E952</f>
        <v>246.3738596398305</v>
      </c>
      <c r="I952" s="1">
        <f>C952*$E$1867/E952</f>
        <v>16.614260275423725</v>
      </c>
      <c r="J952" s="26">
        <f t="shared" si="71"/>
        <v>16477.141848058265</v>
      </c>
      <c r="K952" s="1">
        <f>D952*$E$1867/E952</f>
        <v>33.65452722457627</v>
      </c>
      <c r="L952" s="26">
        <f t="shared" si="69"/>
        <v>2250.7680795330311</v>
      </c>
      <c r="M952" s="10">
        <f t="shared" si="67"/>
        <v>10.91094652297625</v>
      </c>
      <c r="N952" s="4">
        <f t="shared" si="68"/>
        <v>14.056777000220666</v>
      </c>
      <c r="O952" s="36">
        <f>1/M952-(G952/100-(((E952/E832)^(1/10))-1))</f>
        <v>0.12164080233493058</v>
      </c>
      <c r="P952" s="48">
        <v>1.1200000000000001</v>
      </c>
      <c r="R952" s="30"/>
      <c r="S952" s="30"/>
    </row>
    <row r="953" spans="1:19" ht="13" x14ac:dyDescent="0.3">
      <c r="A953" s="52" t="s">
        <v>969</v>
      </c>
      <c r="B953" s="6">
        <v>17.84</v>
      </c>
      <c r="C953" s="1">
        <v>1.18</v>
      </c>
      <c r="D953" s="6">
        <v>2.4266700000000001</v>
      </c>
      <c r="E953" s="6">
        <v>23.6</v>
      </c>
      <c r="F953" s="1">
        <f t="shared" si="70"/>
        <v>1950.2916666665947</v>
      </c>
      <c r="G953" s="17">
        <f>G950*9/12+G962*3/12</f>
        <v>2.3824999999999998</v>
      </c>
      <c r="H953" s="1">
        <f>B953*$E$1867/E953</f>
        <v>253.33196864406779</v>
      </c>
      <c r="I953" s="1">
        <f>C953*$E$1867/E953</f>
        <v>16.756262499999998</v>
      </c>
      <c r="J953" s="26">
        <f t="shared" si="71"/>
        <v>17035.876821388196</v>
      </c>
      <c r="K953" s="1">
        <f>D953*$E$1867/E953</f>
        <v>34.459253831249995</v>
      </c>
      <c r="L953" s="26">
        <f t="shared" si="69"/>
        <v>2317.2898658160366</v>
      </c>
      <c r="M953" s="10">
        <f t="shared" si="67"/>
        <v>11.178021600956093</v>
      </c>
      <c r="N953" s="4">
        <f t="shared" si="68"/>
        <v>14.394940886127356</v>
      </c>
      <c r="O953" s="36">
        <f>1/M953-(G953/100-(((E953/E833)^(1/10))-1))</f>
        <v>0.11924266123305868</v>
      </c>
      <c r="P953" s="48">
        <v>1.1499999999999999</v>
      </c>
      <c r="R953" s="30"/>
      <c r="S953" s="30"/>
    </row>
    <row r="954" spans="1:19" ht="13" x14ac:dyDescent="0.3">
      <c r="A954" s="52" t="s">
        <v>970</v>
      </c>
      <c r="B954" s="6">
        <v>18.440000000000001</v>
      </c>
      <c r="C954" s="1">
        <v>1.19</v>
      </c>
      <c r="D954" s="6">
        <v>2.48333</v>
      </c>
      <c r="E954" s="6">
        <v>23.7</v>
      </c>
      <c r="F954" s="1">
        <f t="shared" si="70"/>
        <v>1950.3749999999279</v>
      </c>
      <c r="G954" s="17">
        <f>G950*8/12+G962*4/12</f>
        <v>2.4033333333333333</v>
      </c>
      <c r="H954" s="1">
        <f>B954*$E$1867/E954</f>
        <v>260.74724092827006</v>
      </c>
      <c r="I954" s="1">
        <f>C954*$E$1867/E954</f>
        <v>16.826964029535866</v>
      </c>
      <c r="J954" s="26">
        <f t="shared" si="71"/>
        <v>17628.830696265577</v>
      </c>
      <c r="K954" s="1">
        <f>D954*$E$1867/E954</f>
        <v>35.115045868459916</v>
      </c>
      <c r="L954" s="26">
        <f t="shared" si="69"/>
        <v>2374.0891612232749</v>
      </c>
      <c r="M954" s="10">
        <f t="shared" ref="M954:M1017" si="72">H954/AVERAGE(K834:K953)</f>
        <v>11.461543104586227</v>
      </c>
      <c r="N954" s="4">
        <f t="shared" ref="N954:N1017" si="73">J954/AVERAGE(L834:L953)</f>
        <v>14.750478376961709</v>
      </c>
      <c r="O954" s="36">
        <f>1/M954-(G954/100-(((E954/E834)^(1/10))-1))</f>
        <v>0.11726693985923528</v>
      </c>
      <c r="P954" s="48">
        <v>1.1599999999999999</v>
      </c>
      <c r="R954" s="30"/>
      <c r="S954" s="30"/>
    </row>
    <row r="955" spans="1:19" ht="13" x14ac:dyDescent="0.3">
      <c r="A955" s="52" t="s">
        <v>971</v>
      </c>
      <c r="B955" s="6">
        <v>18.739999999999998</v>
      </c>
      <c r="C955" s="1">
        <v>1.2</v>
      </c>
      <c r="D955" s="6">
        <v>2.54</v>
      </c>
      <c r="E955" s="6">
        <v>23.8</v>
      </c>
      <c r="F955" s="1">
        <f t="shared" si="70"/>
        <v>1950.4583333332612</v>
      </c>
      <c r="G955" s="17">
        <f>G950*7/12+G962*5/12</f>
        <v>2.4241666666666664</v>
      </c>
      <c r="H955" s="1">
        <f>B955*$E$1867/E955</f>
        <v>263.8759321428571</v>
      </c>
      <c r="I955" s="1">
        <f>C955*$E$1867/E955</f>
        <v>16.897071428571426</v>
      </c>
      <c r="J955" s="26">
        <f t="shared" si="71"/>
        <v>17935.557375563145</v>
      </c>
      <c r="K955" s="1">
        <f>D955*$E$1867/E955</f>
        <v>35.765467857142852</v>
      </c>
      <c r="L955" s="26">
        <f t="shared" si="69"/>
        <v>2430.9666880432442</v>
      </c>
      <c r="M955" s="10">
        <f t="shared" si="72"/>
        <v>11.554126144044284</v>
      </c>
      <c r="N955" s="4">
        <f t="shared" si="73"/>
        <v>14.858173852604384</v>
      </c>
      <c r="O955" s="36">
        <f>1/M955-(G955/100-(((E955/E835)^(1/10))-1))</f>
        <v>0.11605312575784085</v>
      </c>
      <c r="P955" s="48">
        <v>1.1499999999999999</v>
      </c>
      <c r="R955" s="30"/>
      <c r="S955" s="30"/>
    </row>
    <row r="956" spans="1:19" ht="13" x14ac:dyDescent="0.3">
      <c r="A956" s="52" t="s">
        <v>972</v>
      </c>
      <c r="B956" s="6">
        <v>17.38</v>
      </c>
      <c r="C956" s="1">
        <v>1.24333</v>
      </c>
      <c r="D956" s="6">
        <v>2.6</v>
      </c>
      <c r="E956" s="6">
        <v>24.1</v>
      </c>
      <c r="F956" s="1">
        <f t="shared" si="70"/>
        <v>1950.5416666665944</v>
      </c>
      <c r="G956" s="17">
        <f>G950*6/12+G962*6/12</f>
        <v>2.4449999999999998</v>
      </c>
      <c r="H956" s="1">
        <f>B956*$E$1867/E956</f>
        <v>241.67953713692941</v>
      </c>
      <c r="I956" s="1">
        <f>C956*$E$1867/E956</f>
        <v>17.289264609232365</v>
      </c>
      <c r="J956" s="26">
        <f t="shared" si="71"/>
        <v>16524.80474134313</v>
      </c>
      <c r="K956" s="1">
        <f>D956*$E$1867/E956</f>
        <v>36.154591286307053</v>
      </c>
      <c r="L956" s="26">
        <f t="shared" si="69"/>
        <v>2472.0651511790647</v>
      </c>
      <c r="M956" s="10">
        <f t="shared" si="72"/>
        <v>10.539745658930986</v>
      </c>
      <c r="N956" s="4">
        <f t="shared" si="73"/>
        <v>13.550950714985751</v>
      </c>
      <c r="O956" s="36">
        <f>1/M956-(G956/100-(((E956/E836)^(1/10))-1))</f>
        <v>0.12624655831063294</v>
      </c>
      <c r="P956" s="48">
        <v>1.1599999999999999</v>
      </c>
      <c r="R956" s="30"/>
      <c r="S956" s="30"/>
    </row>
    <row r="957" spans="1:19" ht="13" x14ac:dyDescent="0.3">
      <c r="A957" s="52" t="s">
        <v>973</v>
      </c>
      <c r="B957" s="6">
        <v>18.43</v>
      </c>
      <c r="C957" s="1">
        <v>1.28667</v>
      </c>
      <c r="D957" s="6">
        <v>2.66</v>
      </c>
      <c r="E957" s="6">
        <v>24.3</v>
      </c>
      <c r="F957" s="1">
        <f t="shared" si="70"/>
        <v>1950.6249999999277</v>
      </c>
      <c r="G957" s="17">
        <f>G950*5/12+G962*7/12</f>
        <v>2.4658333333333333</v>
      </c>
      <c r="H957" s="1">
        <f>B957*$E$1867/E957</f>
        <v>254.17112582304526</v>
      </c>
      <c r="I957" s="1">
        <f>C957*$E$1867/E957</f>
        <v>17.744675120061725</v>
      </c>
      <c r="J957" s="26">
        <f t="shared" si="71"/>
        <v>17480.022855015028</v>
      </c>
      <c r="K957" s="1">
        <f>D957*$E$1867/E957</f>
        <v>36.684492386831273</v>
      </c>
      <c r="L957" s="26">
        <f t="shared" si="69"/>
        <v>2522.889896600107</v>
      </c>
      <c r="M957" s="10">
        <f t="shared" si="72"/>
        <v>11.040611670261535</v>
      </c>
      <c r="N957" s="4">
        <f t="shared" si="73"/>
        <v>14.189059134964523</v>
      </c>
      <c r="O957" s="36">
        <f>1/M957-(G957/100-(((E957/E837)^(1/10))-1))</f>
        <v>0.12260690914540671</v>
      </c>
      <c r="P957" s="48">
        <v>1.2</v>
      </c>
      <c r="R957" s="30"/>
      <c r="S957" s="30"/>
    </row>
    <row r="958" spans="1:19" ht="13" x14ac:dyDescent="0.3">
      <c r="A958" s="52" t="s">
        <v>974</v>
      </c>
      <c r="B958" s="6">
        <v>19.079999999999998</v>
      </c>
      <c r="C958" s="1">
        <v>1.33</v>
      </c>
      <c r="D958" s="6">
        <v>2.72</v>
      </c>
      <c r="E958" s="6">
        <v>24.4</v>
      </c>
      <c r="F958" s="1">
        <f t="shared" si="70"/>
        <v>1950.708333333261</v>
      </c>
      <c r="G958" s="17">
        <f>G950*4/12+G962*8/12</f>
        <v>2.4866666666666664</v>
      </c>
      <c r="H958" s="1">
        <f>B958*$E$1867/E958</f>
        <v>262.05695778688522</v>
      </c>
      <c r="I958" s="1">
        <f>C958*$E$1867/E958</f>
        <v>18.26707305327869</v>
      </c>
      <c r="J958" s="26">
        <f t="shared" si="71"/>
        <v>18127.042037983454</v>
      </c>
      <c r="K958" s="1">
        <f>D958*$E$1867/E958</f>
        <v>37.358224590163942</v>
      </c>
      <c r="L958" s="26">
        <f t="shared" si="69"/>
        <v>2584.148550488208</v>
      </c>
      <c r="M958" s="10">
        <f t="shared" si="72"/>
        <v>11.337391102277298</v>
      </c>
      <c r="N958" s="4">
        <f t="shared" si="73"/>
        <v>14.563472220744726</v>
      </c>
      <c r="O958" s="36">
        <f>1/M958-(G958/100-(((E958/E838)^(1/10))-1))</f>
        <v>0.12046164663752622</v>
      </c>
      <c r="P958" s="48">
        <v>1.3</v>
      </c>
      <c r="R958" s="30"/>
      <c r="S958" s="30"/>
    </row>
    <row r="959" spans="1:19" ht="13" x14ac:dyDescent="0.3">
      <c r="A959" s="52" t="s">
        <v>975</v>
      </c>
      <c r="B959" s="6">
        <v>19.87</v>
      </c>
      <c r="C959" s="1">
        <v>1.3766700000000001</v>
      </c>
      <c r="D959" s="6">
        <v>2.76</v>
      </c>
      <c r="E959" s="6">
        <v>24.6</v>
      </c>
      <c r="F959" s="1">
        <f t="shared" si="70"/>
        <v>1950.7916666665942</v>
      </c>
      <c r="G959" s="17">
        <f>G950*3/12+G962*9/12</f>
        <v>2.5074999999999998</v>
      </c>
      <c r="H959" s="1">
        <f>B959*$E$1867/E959</f>
        <v>270.6885657520325</v>
      </c>
      <c r="I959" s="1">
        <f>C959*$E$1867/E959</f>
        <v>18.754344630792684</v>
      </c>
      <c r="J959" s="26">
        <f t="shared" si="71"/>
        <v>18832.215402303489</v>
      </c>
      <c r="K959" s="1">
        <f>D959*$E$1867/E959</f>
        <v>37.59941829268292</v>
      </c>
      <c r="L959" s="26">
        <f t="shared" si="69"/>
        <v>2615.8487423431111</v>
      </c>
      <c r="M959" s="10">
        <f t="shared" si="72"/>
        <v>11.662444039105257</v>
      </c>
      <c r="N959" s="4">
        <f t="shared" si="73"/>
        <v>14.972212563986428</v>
      </c>
      <c r="O959" s="36">
        <f>1/M959-(G959/100-(((E959/E839)^(1/10))-1))</f>
        <v>0.11865823581629902</v>
      </c>
      <c r="P959" s="48">
        <v>1.31</v>
      </c>
      <c r="R959" s="30"/>
      <c r="S959" s="30"/>
    </row>
    <row r="960" spans="1:19" ht="13" x14ac:dyDescent="0.3">
      <c r="A960" s="52" t="s">
        <v>976</v>
      </c>
      <c r="B960" s="6">
        <v>19.829999999999998</v>
      </c>
      <c r="C960" s="1">
        <v>1.42333</v>
      </c>
      <c r="D960" s="6">
        <v>2.8</v>
      </c>
      <c r="E960" s="6">
        <v>24.7</v>
      </c>
      <c r="F960" s="1">
        <f t="shared" si="70"/>
        <v>1950.8749999999275</v>
      </c>
      <c r="G960" s="17">
        <f>G950*2/12+G962*10/12</f>
        <v>2.5283333333333333</v>
      </c>
      <c r="H960" s="1">
        <f>B960*$E$1867/E960</f>
        <v>269.04994767206477</v>
      </c>
      <c r="I960" s="1">
        <f>C960*$E$1867/E960</f>
        <v>19.311490772570849</v>
      </c>
      <c r="J960" s="26">
        <f t="shared" si="71"/>
        <v>18830.175065609525</v>
      </c>
      <c r="K960" s="1">
        <f>D960*$E$1867/E960</f>
        <v>37.989906882591093</v>
      </c>
      <c r="L960" s="26">
        <f t="shared" si="69"/>
        <v>2658.8245175848047</v>
      </c>
      <c r="M960" s="10">
        <f t="shared" si="72"/>
        <v>11.542173388716297</v>
      </c>
      <c r="N960" s="4">
        <f t="shared" si="73"/>
        <v>14.812579571593142</v>
      </c>
      <c r="O960" s="36">
        <f>1/M960-(G960/100-(((E960/E840)^(1/10))-1))</f>
        <v>0.11977266934561014</v>
      </c>
      <c r="P960" s="48">
        <v>1.36</v>
      </c>
      <c r="R960" s="30"/>
      <c r="S960" s="30"/>
    </row>
    <row r="961" spans="1:19" ht="13" x14ac:dyDescent="0.3">
      <c r="A961" s="52" t="s">
        <v>977</v>
      </c>
      <c r="B961" s="6">
        <v>19.75</v>
      </c>
      <c r="C961" s="1">
        <v>1.47</v>
      </c>
      <c r="D961" s="6">
        <v>2.84</v>
      </c>
      <c r="E961" s="6">
        <v>25</v>
      </c>
      <c r="F961" s="1">
        <f t="shared" si="70"/>
        <v>1950.9583333332607</v>
      </c>
      <c r="G961" s="17">
        <f>G950*1/12+G962*11/12</f>
        <v>2.5491666666666668</v>
      </c>
      <c r="H961" s="1">
        <f>B961*$E$1867/E961</f>
        <v>264.74894749999999</v>
      </c>
      <c r="I961" s="1">
        <f>C961*$E$1867/E961</f>
        <v>19.705364700000001</v>
      </c>
      <c r="J961" s="26">
        <f t="shared" si="71"/>
        <v>18644.085836784132</v>
      </c>
      <c r="K961" s="1">
        <f>D961*$E$1867/E961</f>
        <v>38.070228399999998</v>
      </c>
      <c r="L961" s="26">
        <f t="shared" si="69"/>
        <v>2680.9723431122497</v>
      </c>
      <c r="M961" s="10">
        <f t="shared" si="72"/>
        <v>11.30666578889076</v>
      </c>
      <c r="N961" s="4">
        <f t="shared" si="73"/>
        <v>14.508560511396032</v>
      </c>
      <c r="O961" s="36">
        <f>1/M961-(G961/100-(((E961/E841)^(1/10))-1))</f>
        <v>0.12189353128627992</v>
      </c>
      <c r="P961" s="48">
        <v>1.34</v>
      </c>
      <c r="R961" s="30"/>
      <c r="S961" s="30"/>
    </row>
    <row r="962" spans="1:19" ht="13" x14ac:dyDescent="0.3">
      <c r="A962" s="52" t="s">
        <v>978</v>
      </c>
      <c r="B962" s="6">
        <v>21.21</v>
      </c>
      <c r="C962" s="1">
        <v>1.4866699999999999</v>
      </c>
      <c r="D962" s="6">
        <v>2.8366699999999998</v>
      </c>
      <c r="E962" s="6">
        <v>25.4</v>
      </c>
      <c r="F962" s="1">
        <f t="shared" si="70"/>
        <v>1951.041666666594</v>
      </c>
      <c r="G962" s="17">
        <v>2.57</v>
      </c>
      <c r="H962" s="1">
        <f>B962*$E$1867/E962</f>
        <v>279.84277765748033</v>
      </c>
      <c r="I962" s="1">
        <f>C962*$E$1867/E962</f>
        <v>19.614986433759842</v>
      </c>
      <c r="J962" s="26">
        <f t="shared" si="71"/>
        <v>19822.13001374327</v>
      </c>
      <c r="K962" s="1">
        <f>D962*$E$1867/E962</f>
        <v>37.42676153218504</v>
      </c>
      <c r="L962" s="26">
        <f t="shared" si="69"/>
        <v>2651.0533496504067</v>
      </c>
      <c r="M962" s="10">
        <f t="shared" si="72"/>
        <v>11.895759839437064</v>
      </c>
      <c r="N962" s="4">
        <f t="shared" si="73"/>
        <v>15.257997535425217</v>
      </c>
      <c r="O962" s="36">
        <f>1/M962-(G962/100-(((E962/E842)^(1/10))-1))</f>
        <v>0.11898759156334363</v>
      </c>
      <c r="P962" s="48">
        <v>1.34</v>
      </c>
      <c r="R962" s="30"/>
      <c r="S962" s="30"/>
    </row>
    <row r="963" spans="1:19" ht="13" x14ac:dyDescent="0.3">
      <c r="A963" s="52" t="s">
        <v>979</v>
      </c>
      <c r="B963" s="6">
        <v>22</v>
      </c>
      <c r="C963" s="1">
        <v>1.5033300000000001</v>
      </c>
      <c r="D963" s="6">
        <v>2.8333300000000001</v>
      </c>
      <c r="E963" s="6">
        <v>25.7</v>
      </c>
      <c r="F963" s="1">
        <f t="shared" si="70"/>
        <v>1951.1249999999272</v>
      </c>
      <c r="G963" s="17">
        <f>G962*11/12+G974*1/12</f>
        <v>2.5791666666666666</v>
      </c>
      <c r="H963" s="1">
        <f>B963*$E$1867/E963</f>
        <v>286.87764591439691</v>
      </c>
      <c r="I963" s="1">
        <f>C963*$E$1867/E963</f>
        <v>19.603262337840469</v>
      </c>
      <c r="J963" s="26">
        <f t="shared" si="71"/>
        <v>20436.14481598097</v>
      </c>
      <c r="K963" s="1">
        <f>D963*$E$1867/E963</f>
        <v>36.946320022665368</v>
      </c>
      <c r="L963" s="26">
        <f t="shared" ref="L963:L1026" si="74">K963*(J963/H963)</f>
        <v>2631.924645066516</v>
      </c>
      <c r="M963" s="10">
        <f t="shared" si="72"/>
        <v>12.141507370682691</v>
      </c>
      <c r="N963" s="4">
        <f t="shared" si="73"/>
        <v>15.565638866147735</v>
      </c>
      <c r="O963" s="36">
        <f>1/M963-(G963/100-(((E963/E843)^(1/10))-1))</f>
        <v>0.11844055145727524</v>
      </c>
      <c r="P963" s="48">
        <v>1.36</v>
      </c>
      <c r="R963" s="30"/>
      <c r="S963" s="30"/>
    </row>
    <row r="964" spans="1:19" ht="13" x14ac:dyDescent="0.3">
      <c r="A964" s="52" t="s">
        <v>980</v>
      </c>
      <c r="B964" s="6">
        <v>21.63</v>
      </c>
      <c r="C964" s="1">
        <v>1.52</v>
      </c>
      <c r="D964" s="6">
        <v>2.83</v>
      </c>
      <c r="E964" s="6">
        <v>25.8</v>
      </c>
      <c r="F964" s="1">
        <f t="shared" ref="F964:F1027" si="75">F963+1/12</f>
        <v>1951.2083333332605</v>
      </c>
      <c r="G964" s="17">
        <f>G962*10/12+G974*2/12</f>
        <v>2.5883333333333334</v>
      </c>
      <c r="H964" s="1">
        <f>B964*$E$1867/E964</f>
        <v>280.95965726744186</v>
      </c>
      <c r="I964" s="1">
        <f>C964*$E$1867/E964</f>
        <v>19.743813178294573</v>
      </c>
      <c r="J964" s="26">
        <f t="shared" ref="J964:J1027" si="76">J963*((H964+(I964/12))/H963)</f>
        <v>20131.774914243775</v>
      </c>
      <c r="K964" s="1">
        <f>D964*$E$1867/E964</f>
        <v>36.759862693798453</v>
      </c>
      <c r="L964" s="26">
        <f t="shared" si="74"/>
        <v>2633.9770229916735</v>
      </c>
      <c r="M964" s="10">
        <f t="shared" si="72"/>
        <v>11.841626487283095</v>
      </c>
      <c r="N964" s="4">
        <f t="shared" si="73"/>
        <v>15.177316546374959</v>
      </c>
      <c r="O964" s="36">
        <f>1/M964-(G964/100-(((E964/E844)^(1/10))-1))</f>
        <v>0.120096636801555</v>
      </c>
      <c r="P964" s="48">
        <v>1.4</v>
      </c>
      <c r="R964" s="30"/>
      <c r="S964" s="30"/>
    </row>
    <row r="965" spans="1:19" ht="13" x14ac:dyDescent="0.3">
      <c r="A965" s="52" t="s">
        <v>981</v>
      </c>
      <c r="B965" s="6">
        <v>21.92</v>
      </c>
      <c r="C965" s="1">
        <v>1.5333300000000001</v>
      </c>
      <c r="D965" s="6">
        <v>2.7933300000000001</v>
      </c>
      <c r="E965" s="6">
        <v>25.8</v>
      </c>
      <c r="F965" s="1">
        <f t="shared" si="75"/>
        <v>1951.2916666665938</v>
      </c>
      <c r="G965" s="17">
        <f>G962*9/12+G974*3/12</f>
        <v>2.5975000000000001</v>
      </c>
      <c r="H965" s="1">
        <f>B965*$E$1867/E965</f>
        <v>284.72656899224808</v>
      </c>
      <c r="I965" s="1">
        <f>C965*$E$1867/E965</f>
        <v>19.916961224127906</v>
      </c>
      <c r="J965" s="26">
        <f t="shared" si="76"/>
        <v>20520.61460884551</v>
      </c>
      <c r="K965" s="1">
        <f>D965*$E$1867/E965</f>
        <v>36.283543200872089</v>
      </c>
      <c r="L965" s="26">
        <f t="shared" si="74"/>
        <v>2615.0022082721907</v>
      </c>
      <c r="M965" s="10">
        <f t="shared" si="72"/>
        <v>11.951097197083955</v>
      </c>
      <c r="N965" s="4">
        <f t="shared" si="73"/>
        <v>15.314143757332683</v>
      </c>
      <c r="O965" s="36">
        <f>1/M965-(G965/100-(((E965/E845)^(1/10))-1))</f>
        <v>0.1184867606712708</v>
      </c>
      <c r="P965" s="48">
        <v>1.47</v>
      </c>
      <c r="R965" s="30"/>
      <c r="S965" s="30"/>
    </row>
    <row r="966" spans="1:19" ht="13" x14ac:dyDescent="0.3">
      <c r="A966" s="52" t="s">
        <v>982</v>
      </c>
      <c r="B966" s="6">
        <v>21.93</v>
      </c>
      <c r="C966" s="1">
        <v>1.54667</v>
      </c>
      <c r="D966" s="6">
        <v>2.7566700000000002</v>
      </c>
      <c r="E966" s="6">
        <v>25.9</v>
      </c>
      <c r="F966" s="1">
        <f t="shared" si="75"/>
        <v>1951.374999999927</v>
      </c>
      <c r="G966" s="17">
        <f>G962*8/12+G974*4/12</f>
        <v>2.6066666666666665</v>
      </c>
      <c r="H966" s="1">
        <f>B966*$E$1867/E966</f>
        <v>283.75663059845562</v>
      </c>
      <c r="I966" s="1">
        <f>C966*$E$1867/E966</f>
        <v>20.012670672490348</v>
      </c>
      <c r="J966" s="26">
        <f t="shared" si="76"/>
        <v>20570.904822099354</v>
      </c>
      <c r="K966" s="1">
        <f>D966*$E$1867/E966</f>
        <v>35.669101270945951</v>
      </c>
      <c r="L966" s="26">
        <f t="shared" si="74"/>
        <v>2585.8274599150309</v>
      </c>
      <c r="M966" s="10">
        <f t="shared" si="72"/>
        <v>11.863875406269175</v>
      </c>
      <c r="N966" s="4">
        <f t="shared" si="73"/>
        <v>15.200667239383646</v>
      </c>
      <c r="O966" s="36">
        <f>1/M966-(G966/100-(((E966/E846)^(1/10))-1))</f>
        <v>0.118681444067088</v>
      </c>
      <c r="P966" s="48">
        <v>1.55</v>
      </c>
      <c r="R966" s="30"/>
      <c r="S966" s="30"/>
    </row>
    <row r="967" spans="1:19" ht="13" x14ac:dyDescent="0.3">
      <c r="A967" s="52" t="s">
        <v>983</v>
      </c>
      <c r="B967" s="6">
        <v>21.55</v>
      </c>
      <c r="C967" s="1">
        <v>1.56</v>
      </c>
      <c r="D967" s="6">
        <v>2.72</v>
      </c>
      <c r="E967" s="6">
        <v>25.9</v>
      </c>
      <c r="F967" s="1">
        <f t="shared" si="75"/>
        <v>1951.4583333332603</v>
      </c>
      <c r="G967" s="17">
        <f>G962*7/12+G974*5/12</f>
        <v>2.6158333333333332</v>
      </c>
      <c r="H967" s="1">
        <f>B967*$E$1867/E967</f>
        <v>278.83973503861006</v>
      </c>
      <c r="I967" s="1">
        <f>C967*$E$1867/E967</f>
        <v>20.185150193050195</v>
      </c>
      <c r="J967" s="26">
        <f t="shared" si="76"/>
        <v>20336.398383178934</v>
      </c>
      <c r="K967" s="1">
        <f>D967*$E$1867/E967</f>
        <v>35.194620849420851</v>
      </c>
      <c r="L967" s="26">
        <f t="shared" si="74"/>
        <v>2566.821512865276</v>
      </c>
      <c r="M967" s="10">
        <f t="shared" si="72"/>
        <v>11.615664857025175</v>
      </c>
      <c r="N967" s="4">
        <f t="shared" si="73"/>
        <v>14.884429187428129</v>
      </c>
      <c r="O967" s="36">
        <f>1/M967-(G967/100-(((E967/E847)^(1/10))-1))</f>
        <v>0.1182065888287861</v>
      </c>
      <c r="P967" s="48">
        <v>1.45</v>
      </c>
      <c r="R967" s="30"/>
      <c r="S967" s="30"/>
    </row>
    <row r="968" spans="1:19" ht="13" x14ac:dyDescent="0.3">
      <c r="A968" s="52" t="s">
        <v>984</v>
      </c>
      <c r="B968" s="6">
        <v>21.93</v>
      </c>
      <c r="C968" s="1">
        <v>1.54667</v>
      </c>
      <c r="D968" s="6">
        <v>2.65</v>
      </c>
      <c r="E968" s="6">
        <v>25.9</v>
      </c>
      <c r="F968" s="1">
        <f t="shared" si="75"/>
        <v>1951.5416666665935</v>
      </c>
      <c r="G968" s="17">
        <f>G962*6/12+G974*6/12</f>
        <v>2.625</v>
      </c>
      <c r="H968" s="1">
        <f>B968*$E$1867/E968</f>
        <v>283.75663059845562</v>
      </c>
      <c r="I968" s="1">
        <f>C968*$E$1867/E968</f>
        <v>20.012670672490348</v>
      </c>
      <c r="J968" s="26">
        <f t="shared" si="76"/>
        <v>20816.629140776025</v>
      </c>
      <c r="K968" s="1">
        <f>D968*$E$1867/E968</f>
        <v>34.288876930501928</v>
      </c>
      <c r="L968" s="26">
        <f t="shared" si="74"/>
        <v>2515.461341680641</v>
      </c>
      <c r="M968" s="10">
        <f t="shared" si="72"/>
        <v>11.778190092457804</v>
      </c>
      <c r="N968" s="4">
        <f t="shared" si="73"/>
        <v>15.093562700583259</v>
      </c>
      <c r="O968" s="36">
        <f>1/M968-(G968/100-(((E968/E848)^(1/10))-1))</f>
        <v>0.11692697213559161</v>
      </c>
      <c r="P968" s="48">
        <v>1.56</v>
      </c>
      <c r="R968" s="30"/>
      <c r="S968" s="30"/>
    </row>
    <row r="969" spans="1:19" ht="13" x14ac:dyDescent="0.3">
      <c r="A969" s="52" t="s">
        <v>985</v>
      </c>
      <c r="B969" s="6">
        <v>22.89</v>
      </c>
      <c r="C969" s="1">
        <v>1.5333300000000001</v>
      </c>
      <c r="D969" s="6">
        <v>2.58</v>
      </c>
      <c r="E969" s="6">
        <v>25.9</v>
      </c>
      <c r="F969" s="1">
        <f t="shared" si="75"/>
        <v>1951.6249999999268</v>
      </c>
      <c r="G969" s="17">
        <f>G962*5/12+G974*7/12</f>
        <v>2.6341666666666668</v>
      </c>
      <c r="H969" s="1">
        <f>B969*$E$1867/E969</f>
        <v>296.17826148648646</v>
      </c>
      <c r="I969" s="1">
        <f>C969*$E$1867/E969</f>
        <v>19.840061759942088</v>
      </c>
      <c r="J969" s="26">
        <f t="shared" si="76"/>
        <v>21849.180933077914</v>
      </c>
      <c r="K969" s="1">
        <f>D969*$E$1867/E969</f>
        <v>33.383133011583013</v>
      </c>
      <c r="L969" s="26">
        <f t="shared" si="74"/>
        <v>2462.6861864281796</v>
      </c>
      <c r="M969" s="10">
        <f t="shared" si="72"/>
        <v>12.256989084145138</v>
      </c>
      <c r="N969" s="4">
        <f t="shared" si="73"/>
        <v>15.703908734990362</v>
      </c>
      <c r="O969" s="36">
        <f>1/M969-(G969/100-(((E969/E849)^(1/10))-1))</f>
        <v>0.11208956621321101</v>
      </c>
      <c r="P969" s="48">
        <v>1.62</v>
      </c>
      <c r="R969" s="30"/>
      <c r="S969" s="30"/>
    </row>
    <row r="970" spans="1:19" ht="13" x14ac:dyDescent="0.3">
      <c r="A970" s="52" t="s">
        <v>986</v>
      </c>
      <c r="B970" s="6">
        <v>23.48</v>
      </c>
      <c r="C970" s="1">
        <v>1.52</v>
      </c>
      <c r="D970" s="6">
        <v>2.5099999999999998</v>
      </c>
      <c r="E970" s="6">
        <v>26.1</v>
      </c>
      <c r="F970" s="1">
        <f t="shared" si="75"/>
        <v>1951.70833333326</v>
      </c>
      <c r="G970" s="17">
        <f>G962*4/12+G974*8/12</f>
        <v>2.6433333333333335</v>
      </c>
      <c r="H970" s="1">
        <f>B970*$E$1867/E970</f>
        <v>301.48432452107278</v>
      </c>
      <c r="I970" s="1">
        <f>C970*$E$1867/E970</f>
        <v>19.516872796934866</v>
      </c>
      <c r="J970" s="26">
        <f t="shared" si="76"/>
        <v>22360.591767014415</v>
      </c>
      <c r="K970" s="1">
        <f>D970*$E$1867/E970</f>
        <v>32.228520210727964</v>
      </c>
      <c r="L970" s="26">
        <f t="shared" si="74"/>
        <v>2390.3358319934491</v>
      </c>
      <c r="M970" s="10">
        <f t="shared" si="72"/>
        <v>12.444953157150033</v>
      </c>
      <c r="N970" s="4">
        <f t="shared" si="73"/>
        <v>15.939525555027892</v>
      </c>
      <c r="O970" s="36">
        <f>1/M970-(G970/100-(((E970/E850)^(1/10))-1))</f>
        <v>0.11016963472607764</v>
      </c>
      <c r="P970" s="48">
        <v>1.63</v>
      </c>
      <c r="R970" s="30"/>
      <c r="S970" s="30"/>
    </row>
    <row r="971" spans="1:19" ht="13" x14ac:dyDescent="0.3">
      <c r="A971" s="52" t="s">
        <v>987</v>
      </c>
      <c r="B971" s="6">
        <v>23.36</v>
      </c>
      <c r="C971" s="1">
        <v>1.48333</v>
      </c>
      <c r="D971" s="6">
        <v>2.4866700000000002</v>
      </c>
      <c r="E971" s="6">
        <v>26.2</v>
      </c>
      <c r="F971" s="1">
        <f t="shared" si="75"/>
        <v>1951.7916666665933</v>
      </c>
      <c r="G971" s="17">
        <f>G962*3/12+G974*9/12</f>
        <v>2.6525000000000003</v>
      </c>
      <c r="H971" s="1">
        <f>B971*$E$1867/E971</f>
        <v>298.79869618320606</v>
      </c>
      <c r="I971" s="1">
        <f>C971*$E$1867/E971</f>
        <v>18.973333476431296</v>
      </c>
      <c r="J971" s="26">
        <f t="shared" si="76"/>
        <v>22278.671559123992</v>
      </c>
      <c r="K971" s="1">
        <f>D971*$E$1867/E971</f>
        <v>31.807095626622139</v>
      </c>
      <c r="L971" s="26">
        <f t="shared" si="74"/>
        <v>2371.5626800482391</v>
      </c>
      <c r="M971" s="10">
        <f t="shared" si="72"/>
        <v>12.309457904118686</v>
      </c>
      <c r="N971" s="4">
        <f t="shared" si="73"/>
        <v>15.760621840301775</v>
      </c>
      <c r="O971" s="36">
        <f>1/M971-(G971/100-(((E971/E851)^(1/10))-1))</f>
        <v>0.10997701425032115</v>
      </c>
      <c r="P971" s="48">
        <v>1.54</v>
      </c>
      <c r="R971" s="30"/>
      <c r="S971" s="30"/>
    </row>
    <row r="972" spans="1:19" ht="13" x14ac:dyDescent="0.3">
      <c r="A972" s="52" t="s">
        <v>988</v>
      </c>
      <c r="B972" s="6">
        <v>22.71</v>
      </c>
      <c r="C972" s="1">
        <v>1.4466699999999999</v>
      </c>
      <c r="D972" s="6">
        <v>2.46333</v>
      </c>
      <c r="E972" s="6">
        <v>26.4</v>
      </c>
      <c r="F972" s="1">
        <f t="shared" si="75"/>
        <v>1951.8749999999266</v>
      </c>
      <c r="G972" s="17">
        <f>G962*2/12+G974*10/12</f>
        <v>2.6616666666666666</v>
      </c>
      <c r="H972" s="1">
        <f>B972*$E$1867/E972</f>
        <v>288.28387982954547</v>
      </c>
      <c r="I972" s="1">
        <f>C972*$E$1867/E972</f>
        <v>18.364228993087121</v>
      </c>
      <c r="J972" s="26">
        <f t="shared" si="76"/>
        <v>21608.782688266307</v>
      </c>
      <c r="K972" s="1">
        <f>D972*$E$1867/E972</f>
        <v>31.26985159403409</v>
      </c>
      <c r="L972" s="26">
        <f t="shared" si="74"/>
        <v>2343.8821074190682</v>
      </c>
      <c r="M972" s="10">
        <f t="shared" si="72"/>
        <v>11.852030617771041</v>
      </c>
      <c r="N972" s="4">
        <f t="shared" si="73"/>
        <v>15.171743623530062</v>
      </c>
      <c r="O972" s="36">
        <f>1/M972-(G972/100-(((E972/E852)^(1/10))-1))</f>
        <v>0.11313575035964318</v>
      </c>
      <c r="P972" s="48">
        <v>1.56</v>
      </c>
      <c r="R972" s="30"/>
      <c r="S972" s="30"/>
    </row>
    <row r="973" spans="1:19" ht="13" x14ac:dyDescent="0.3">
      <c r="A973" s="52" t="s">
        <v>989</v>
      </c>
      <c r="B973" s="6">
        <v>23.41</v>
      </c>
      <c r="C973" s="1">
        <v>1.41</v>
      </c>
      <c r="D973" s="6">
        <v>2.44</v>
      </c>
      <c r="E973" s="6">
        <v>26.5</v>
      </c>
      <c r="F973" s="1">
        <f t="shared" si="75"/>
        <v>1951.9583333332598</v>
      </c>
      <c r="G973" s="17">
        <f>G962*1/12+G974*11/12</f>
        <v>2.6708333333333334</v>
      </c>
      <c r="H973" s="1">
        <f>B973*$E$1867/E973</f>
        <v>296.04838122641513</v>
      </c>
      <c r="I973" s="1">
        <f>C973*$E$1867/E973</f>
        <v>17.83119254716981</v>
      </c>
      <c r="J973" s="26">
        <f t="shared" si="76"/>
        <v>22302.163880980199</v>
      </c>
      <c r="K973" s="1">
        <f>D973*$E$1867/E973</f>
        <v>30.856815471698113</v>
      </c>
      <c r="L973" s="26">
        <f t="shared" si="74"/>
        <v>2324.5313912683328</v>
      </c>
      <c r="M973" s="10">
        <f t="shared" si="72"/>
        <v>12.147072568106779</v>
      </c>
      <c r="N973" s="4">
        <f t="shared" si="73"/>
        <v>15.543321334370384</v>
      </c>
      <c r="O973" s="36">
        <f>1/M973-(G973/100-(((E973/E853)^(1/10))-1))</f>
        <v>0.11071067066355053</v>
      </c>
      <c r="P973" s="48">
        <v>1.73</v>
      </c>
      <c r="R973" s="30"/>
      <c r="S973" s="30"/>
    </row>
    <row r="974" spans="1:19" ht="13" x14ac:dyDescent="0.3">
      <c r="A974" s="52" t="s">
        <v>990</v>
      </c>
      <c r="B974" s="6">
        <v>24.19</v>
      </c>
      <c r="C974" s="1">
        <v>1.41333</v>
      </c>
      <c r="D974" s="6">
        <v>2.4266700000000001</v>
      </c>
      <c r="E974" s="6">
        <v>26.5</v>
      </c>
      <c r="F974" s="1">
        <f t="shared" si="75"/>
        <v>1952.0416666665931</v>
      </c>
      <c r="G974" s="17">
        <v>2.68</v>
      </c>
      <c r="H974" s="1">
        <f>B974*$E$1867/E974</f>
        <v>305.91244518867927</v>
      </c>
      <c r="I974" s="1">
        <f>C974*$E$1867/E974</f>
        <v>17.873304512547168</v>
      </c>
      <c r="J974" s="26">
        <f t="shared" si="76"/>
        <v>23157.455676522986</v>
      </c>
      <c r="K974" s="1">
        <f>D974*$E$1867/E974</f>
        <v>30.68824114783019</v>
      </c>
      <c r="L974" s="26">
        <f t="shared" si="74"/>
        <v>2323.0881755497326</v>
      </c>
      <c r="M974" s="10">
        <f t="shared" si="72"/>
        <v>12.527059748172295</v>
      </c>
      <c r="N974" s="4">
        <f t="shared" si="73"/>
        <v>16.022450086521854</v>
      </c>
      <c r="O974" s="36">
        <f>1/M974-(G974/100-(((E974/E854)^(1/10))-1))</f>
        <v>0.106769996438525</v>
      </c>
      <c r="P974" s="48">
        <v>1.57</v>
      </c>
      <c r="R974" s="30"/>
      <c r="S974" s="30"/>
    </row>
    <row r="975" spans="1:19" ht="13" x14ac:dyDescent="0.3">
      <c r="A975" s="52" t="s">
        <v>991</v>
      </c>
      <c r="B975" s="6">
        <v>23.75</v>
      </c>
      <c r="C975" s="1">
        <v>1.4166700000000001</v>
      </c>
      <c r="D975" s="6">
        <v>2.4133300000000002</v>
      </c>
      <c r="E975" s="6">
        <v>26.3</v>
      </c>
      <c r="F975" s="1">
        <f t="shared" si="75"/>
        <v>1952.1249999999263</v>
      </c>
      <c r="G975" s="17">
        <f>G974*11/12+G986*1/12</f>
        <v>2.6924999999999999</v>
      </c>
      <c r="H975" s="1">
        <f>B975*$E$1867/E975</f>
        <v>302.63211739543726</v>
      </c>
      <c r="I975" s="1">
        <f>C975*$E$1867/E975</f>
        <v>18.05178281055133</v>
      </c>
      <c r="J975" s="26">
        <f t="shared" si="76"/>
        <v>23023.01220171991</v>
      </c>
      <c r="K975" s="1">
        <f>D975*$E$1867/E975</f>
        <v>30.751628121007606</v>
      </c>
      <c r="L975" s="26">
        <f t="shared" si="74"/>
        <v>2339.4579383905984</v>
      </c>
      <c r="M975" s="10">
        <f t="shared" si="72"/>
        <v>12.364119350461092</v>
      </c>
      <c r="N975" s="4">
        <f t="shared" si="73"/>
        <v>15.811036351158723</v>
      </c>
      <c r="O975" s="36">
        <f>1/M975-(G975/100-(((E975/E855)^(1/10))-1))</f>
        <v>0.10623068016404311</v>
      </c>
      <c r="P975" s="48">
        <v>1.54</v>
      </c>
      <c r="R975" s="30"/>
      <c r="S975" s="30"/>
    </row>
    <row r="976" spans="1:19" ht="13" x14ac:dyDescent="0.3">
      <c r="A976" s="52" t="s">
        <v>992</v>
      </c>
      <c r="B976" s="6">
        <v>23.81</v>
      </c>
      <c r="C976" s="1">
        <v>1.42</v>
      </c>
      <c r="D976" s="6">
        <v>2.4</v>
      </c>
      <c r="E976" s="6">
        <v>26.3</v>
      </c>
      <c r="F976" s="1">
        <f t="shared" si="75"/>
        <v>1952.2083333332596</v>
      </c>
      <c r="G976" s="17">
        <f>G974*10/12+G986*2/12</f>
        <v>2.7050000000000001</v>
      </c>
      <c r="H976" s="1">
        <f>B976*$E$1867/E976</f>
        <v>303.39666169201519</v>
      </c>
      <c r="I976" s="1">
        <f>C976*$E$1867/E976</f>
        <v>18.094215019011404</v>
      </c>
      <c r="J976" s="26">
        <f t="shared" si="76"/>
        <v>23195.886749480189</v>
      </c>
      <c r="K976" s="1">
        <f>D976*$E$1867/E976</f>
        <v>30.581771863117865</v>
      </c>
      <c r="L976" s="26">
        <f t="shared" si="74"/>
        <v>2338.0986223751552</v>
      </c>
      <c r="M976" s="10">
        <f t="shared" si="72"/>
        <v>12.362339087390364</v>
      </c>
      <c r="N976" s="4">
        <f t="shared" si="73"/>
        <v>15.807510372330905</v>
      </c>
      <c r="O976" s="36">
        <f>1/M976-(G976/100-(((E976/E856)^(1/10))-1))</f>
        <v>0.10479452379456074</v>
      </c>
      <c r="P976" s="48">
        <v>1.59</v>
      </c>
      <c r="R976" s="30"/>
      <c r="S976" s="30"/>
    </row>
    <row r="977" spans="1:19" ht="13" x14ac:dyDescent="0.3">
      <c r="A977" s="52" t="s">
        <v>993</v>
      </c>
      <c r="B977" s="6">
        <v>23.74</v>
      </c>
      <c r="C977" s="1">
        <v>1.43</v>
      </c>
      <c r="D977" s="6">
        <v>2.38</v>
      </c>
      <c r="E977" s="6">
        <v>26.4</v>
      </c>
      <c r="F977" s="1">
        <f t="shared" si="75"/>
        <v>1952.2916666665928</v>
      </c>
      <c r="G977" s="17">
        <f>G974*9/12+G986*3/12</f>
        <v>2.7175000000000002</v>
      </c>
      <c r="H977" s="1">
        <f>B977*$E$1867/E977</f>
        <v>301.35884223484851</v>
      </c>
      <c r="I977" s="1">
        <f>C977*$E$1867/E977</f>
        <v>18.152617708333334</v>
      </c>
      <c r="J977" s="26">
        <f t="shared" si="76"/>
        <v>23155.74065636794</v>
      </c>
      <c r="K977" s="1">
        <f>D977*$E$1867/E977</f>
        <v>30.212049053030302</v>
      </c>
      <c r="L977" s="26">
        <f t="shared" si="74"/>
        <v>2321.4264011017563</v>
      </c>
      <c r="M977" s="10">
        <f t="shared" si="72"/>
        <v>12.242728683266881</v>
      </c>
      <c r="N977" s="4">
        <f t="shared" si="73"/>
        <v>15.656398613772161</v>
      </c>
      <c r="O977" s="36">
        <f>1/M977-(G977/100-(((E977/E857)^(1/10))-1))</f>
        <v>0.10520389396216312</v>
      </c>
      <c r="P977" s="48">
        <v>1.57</v>
      </c>
      <c r="R977" s="30"/>
      <c r="S977" s="30"/>
    </row>
    <row r="978" spans="1:19" ht="13" x14ac:dyDescent="0.3">
      <c r="A978" s="52" t="s">
        <v>994</v>
      </c>
      <c r="B978" s="6">
        <v>23.73</v>
      </c>
      <c r="C978" s="1">
        <v>1.44</v>
      </c>
      <c r="D978" s="6">
        <v>2.36</v>
      </c>
      <c r="E978" s="6">
        <v>26.4</v>
      </c>
      <c r="F978" s="1">
        <f t="shared" si="75"/>
        <v>1952.3749999999261</v>
      </c>
      <c r="G978" s="17">
        <f>G974*8/12+G986*4/12</f>
        <v>2.7300000000000004</v>
      </c>
      <c r="H978" s="1">
        <f>B978*$E$1867/E978</f>
        <v>301.23190085227276</v>
      </c>
      <c r="I978" s="1">
        <f>C978*$E$1867/E978</f>
        <v>18.279559090909093</v>
      </c>
      <c r="J978" s="26">
        <f t="shared" si="76"/>
        <v>23263.033473225587</v>
      </c>
      <c r="K978" s="1">
        <f>D978*$E$1867/E978</f>
        <v>29.95816628787879</v>
      </c>
      <c r="L978" s="26">
        <f t="shared" si="74"/>
        <v>2313.5591654788191</v>
      </c>
      <c r="M978" s="10">
        <f t="shared" si="72"/>
        <v>12.200478761945838</v>
      </c>
      <c r="N978" s="4">
        <f t="shared" si="73"/>
        <v>15.606497043627144</v>
      </c>
      <c r="O978" s="36">
        <f>1/M978-(G978/100-(((E978/E858)^(1/10))-1))</f>
        <v>0.10406537969125469</v>
      </c>
      <c r="P978" s="48">
        <v>1.67</v>
      </c>
      <c r="R978" s="30"/>
      <c r="S978" s="30"/>
    </row>
    <row r="979" spans="1:19" ht="13" x14ac:dyDescent="0.3">
      <c r="A979" s="52" t="s">
        <v>995</v>
      </c>
      <c r="B979" s="6">
        <v>24.38</v>
      </c>
      <c r="C979" s="1">
        <v>1.45</v>
      </c>
      <c r="D979" s="6">
        <v>2.34</v>
      </c>
      <c r="E979" s="6">
        <v>26.5</v>
      </c>
      <c r="F979" s="1">
        <f t="shared" si="75"/>
        <v>1952.4583333332594</v>
      </c>
      <c r="G979" s="17">
        <f>G974*7/12+G986*5/12</f>
        <v>2.7425000000000002</v>
      </c>
      <c r="H979" s="1">
        <f>B979*$E$1867/E979</f>
        <v>308.31522999999999</v>
      </c>
      <c r="I979" s="1">
        <f>C979*$E$1867/E979</f>
        <v>18.337041981132074</v>
      </c>
      <c r="J979" s="26">
        <f t="shared" si="76"/>
        <v>23928.061505170146</v>
      </c>
      <c r="K979" s="1">
        <f>D979*$E$1867/E979</f>
        <v>29.592191886792449</v>
      </c>
      <c r="L979" s="26">
        <f t="shared" si="74"/>
        <v>2296.6228023830245</v>
      </c>
      <c r="M979" s="10">
        <f t="shared" si="72"/>
        <v>12.447881581789368</v>
      </c>
      <c r="N979" s="4">
        <f t="shared" si="73"/>
        <v>15.927302555632707</v>
      </c>
      <c r="O979" s="36">
        <f>1/M979-(G979/100-(((E979/E859)^(1/10))-1))</f>
        <v>0.10270816211925102</v>
      </c>
      <c r="P979" s="48">
        <v>1.7</v>
      </c>
      <c r="R979" s="30"/>
      <c r="S979" s="30"/>
    </row>
    <row r="980" spans="1:19" ht="13" x14ac:dyDescent="0.3">
      <c r="A980" s="52" t="s">
        <v>996</v>
      </c>
      <c r="B980" s="6">
        <v>25.08</v>
      </c>
      <c r="C980" s="1">
        <v>1.45</v>
      </c>
      <c r="D980" s="6">
        <v>2.34667</v>
      </c>
      <c r="E980" s="6">
        <v>26.7</v>
      </c>
      <c r="F980" s="1">
        <f t="shared" si="75"/>
        <v>1952.5416666665926</v>
      </c>
      <c r="G980" s="17">
        <f>G974*6/12+G986*6/12</f>
        <v>2.7549999999999999</v>
      </c>
      <c r="H980" s="1">
        <f>B980*$E$1867/E980</f>
        <v>314.79180786516855</v>
      </c>
      <c r="I980" s="1">
        <f>C980*$E$1867/E980</f>
        <v>18.19968586142322</v>
      </c>
      <c r="J980" s="26">
        <f t="shared" si="76"/>
        <v>24548.40783184913</v>
      </c>
      <c r="K980" s="1">
        <f>D980*$E$1867/E980</f>
        <v>29.454246083052436</v>
      </c>
      <c r="L980" s="26">
        <f t="shared" si="74"/>
        <v>2296.9303112745374</v>
      </c>
      <c r="M980" s="10">
        <f t="shared" si="72"/>
        <v>12.669112889622481</v>
      </c>
      <c r="N980" s="4">
        <f t="shared" si="73"/>
        <v>16.214043524370474</v>
      </c>
      <c r="O980" s="36">
        <f>1/M980-(G980/100-(((E980/E860)^(1/10))-1))</f>
        <v>0.10132758807191539</v>
      </c>
      <c r="P980" s="48">
        <v>1.81</v>
      </c>
      <c r="R980" s="30"/>
      <c r="S980" s="30"/>
    </row>
    <row r="981" spans="1:19" ht="13" x14ac:dyDescent="0.3">
      <c r="A981" s="52" t="s">
        <v>997</v>
      </c>
      <c r="B981" s="6">
        <v>25.18</v>
      </c>
      <c r="C981" s="1">
        <v>1.45</v>
      </c>
      <c r="D981" s="6">
        <v>2.3533300000000001</v>
      </c>
      <c r="E981" s="6">
        <v>26.7</v>
      </c>
      <c r="F981" s="1">
        <f t="shared" si="75"/>
        <v>1952.6249999999259</v>
      </c>
      <c r="G981" s="17">
        <f>G974*5/12+G986*7/12</f>
        <v>2.7675000000000001</v>
      </c>
      <c r="H981" s="1">
        <f>B981*$E$1867/E981</f>
        <v>316.04695861423221</v>
      </c>
      <c r="I981" s="1">
        <f>C981*$E$1867/E981</f>
        <v>18.19968586142322</v>
      </c>
      <c r="J981" s="26">
        <f t="shared" si="76"/>
        <v>24764.560412771509</v>
      </c>
      <c r="K981" s="1">
        <f>D981*$E$1867/E981</f>
        <v>29.537839122940078</v>
      </c>
      <c r="L981" s="26">
        <f t="shared" si="74"/>
        <v>2314.5028973863218</v>
      </c>
      <c r="M981" s="10">
        <f t="shared" si="72"/>
        <v>12.678378236328623</v>
      </c>
      <c r="N981" s="4">
        <f t="shared" si="73"/>
        <v>16.230371537881858</v>
      </c>
      <c r="O981" s="36">
        <f>1/M981-(G981/100-(((E981/E861)^(1/10))-1))</f>
        <v>0.10050683182892761</v>
      </c>
      <c r="P981" s="48">
        <v>1.83</v>
      </c>
      <c r="R981" s="30"/>
      <c r="S981" s="30"/>
    </row>
    <row r="982" spans="1:19" ht="13" x14ac:dyDescent="0.3">
      <c r="A982" s="52" t="s">
        <v>998</v>
      </c>
      <c r="B982" s="6">
        <v>24.78</v>
      </c>
      <c r="C982" s="1">
        <v>1.45</v>
      </c>
      <c r="D982" s="6">
        <v>2.36</v>
      </c>
      <c r="E982" s="6">
        <v>26.7</v>
      </c>
      <c r="F982" s="1">
        <f t="shared" si="75"/>
        <v>1952.7083333332591</v>
      </c>
      <c r="G982" s="17">
        <f>G974*4/12+G986*8/12</f>
        <v>2.7800000000000002</v>
      </c>
      <c r="H982" s="1">
        <f>B982*$E$1867/E982</f>
        <v>311.02635561797757</v>
      </c>
      <c r="I982" s="1">
        <f>C982*$E$1867/E982</f>
        <v>18.19968586142322</v>
      </c>
      <c r="J982" s="26">
        <f t="shared" si="76"/>
        <v>24489.999658923269</v>
      </c>
      <c r="K982" s="1">
        <f>D982*$E$1867/E982</f>
        <v>29.621557677902622</v>
      </c>
      <c r="L982" s="26">
        <f t="shared" si="74"/>
        <v>2332.3809198974536</v>
      </c>
      <c r="M982" s="10">
        <f t="shared" si="72"/>
        <v>12.434678020425508</v>
      </c>
      <c r="N982" s="4">
        <f t="shared" si="73"/>
        <v>15.924746204626695</v>
      </c>
      <c r="O982" s="36">
        <f>1/M982-(G982/100-(((E982/E862)^(1/10))-1))</f>
        <v>0.10192764735731108</v>
      </c>
      <c r="P982" s="48">
        <v>1.71</v>
      </c>
      <c r="R982" s="30"/>
      <c r="S982" s="30"/>
    </row>
    <row r="983" spans="1:19" ht="13" x14ac:dyDescent="0.3">
      <c r="A983" s="52" t="s">
        <v>999</v>
      </c>
      <c r="B983" s="6">
        <v>24.26</v>
      </c>
      <c r="C983" s="1">
        <v>1.4366699999999999</v>
      </c>
      <c r="D983" s="6">
        <v>2.3733300000000002</v>
      </c>
      <c r="E983" s="6">
        <v>26.7</v>
      </c>
      <c r="F983" s="1">
        <f t="shared" si="75"/>
        <v>1952.7916666665924</v>
      </c>
      <c r="G983" s="17">
        <f>G974*3/12+G986*9/12</f>
        <v>2.7925</v>
      </c>
      <c r="H983" s="1">
        <f>B983*$E$1867/E983</f>
        <v>304.49957172284644</v>
      </c>
      <c r="I983" s="1">
        <f>C983*$E$1867/E983</f>
        <v>18.032374266573033</v>
      </c>
      <c r="J983" s="26">
        <f t="shared" si="76"/>
        <v>24094.40660652316</v>
      </c>
      <c r="K983" s="1">
        <f>D983*$E$1867/E983</f>
        <v>29.788869272752812</v>
      </c>
      <c r="L983" s="26">
        <f t="shared" si="74"/>
        <v>2357.1301744212537</v>
      </c>
      <c r="M983" s="10">
        <f t="shared" si="72"/>
        <v>12.131183558686873</v>
      </c>
      <c r="N983" s="4">
        <f t="shared" si="73"/>
        <v>15.543695751343815</v>
      </c>
      <c r="O983" s="36">
        <f>1/M983-(G983/100-(((E983/E863)^(1/10))-1))</f>
        <v>0.10255109844602087</v>
      </c>
      <c r="P983" s="48">
        <v>1.74</v>
      </c>
      <c r="R983" s="30"/>
      <c r="S983" s="30"/>
    </row>
    <row r="984" spans="1:19" ht="13" x14ac:dyDescent="0.3">
      <c r="A984" s="52" t="s">
        <v>1000</v>
      </c>
      <c r="B984" s="6">
        <v>25.03</v>
      </c>
      <c r="C984" s="1">
        <v>1.42333</v>
      </c>
      <c r="D984" s="6">
        <v>2.3866700000000001</v>
      </c>
      <c r="E984" s="6">
        <v>26.7</v>
      </c>
      <c r="F984" s="1">
        <f t="shared" si="75"/>
        <v>1952.8749999999256</v>
      </c>
      <c r="G984" s="17">
        <f>G974*2/12+G986*10/12</f>
        <v>2.8050000000000002</v>
      </c>
      <c r="H984" s="1">
        <f>B984*$E$1867/E984</f>
        <v>314.16423249063672</v>
      </c>
      <c r="I984" s="1">
        <f>C984*$E$1867/E984</f>
        <v>17.86493715664794</v>
      </c>
      <c r="J984" s="26">
        <f t="shared" si="76"/>
        <v>24976.951978876616</v>
      </c>
      <c r="K984" s="1">
        <f>D984*$E$1867/E984</f>
        <v>29.956306382677905</v>
      </c>
      <c r="L984" s="26">
        <f t="shared" si="74"/>
        <v>2381.6117450829183</v>
      </c>
      <c r="M984" s="10">
        <f t="shared" si="72"/>
        <v>12.47346976551531</v>
      </c>
      <c r="N984" s="4">
        <f t="shared" si="73"/>
        <v>15.986440360881495</v>
      </c>
      <c r="O984" s="36">
        <f>1/M984-(G984/100-(((E984/E864)^(1/10))-1))</f>
        <v>9.9538552420856796E-2</v>
      </c>
      <c r="P984" s="48">
        <v>1.85</v>
      </c>
      <c r="R984" s="30"/>
      <c r="S984" s="30"/>
    </row>
    <row r="985" spans="1:19" ht="13" x14ac:dyDescent="0.3">
      <c r="A985" s="52" t="s">
        <v>1001</v>
      </c>
      <c r="B985" s="6">
        <v>26.04</v>
      </c>
      <c r="C985" s="1">
        <v>1.41</v>
      </c>
      <c r="D985" s="6">
        <v>2.4</v>
      </c>
      <c r="E985" s="6">
        <v>26.7</v>
      </c>
      <c r="F985" s="1">
        <f t="shared" si="75"/>
        <v>1952.9583333332589</v>
      </c>
      <c r="G985" s="17">
        <f>G974*1/12+G986*11/12</f>
        <v>2.8174999999999999</v>
      </c>
      <c r="H985" s="1">
        <f>B985*$E$1867/E985</f>
        <v>326.84125505617976</v>
      </c>
      <c r="I985" s="1">
        <f>C985*$E$1867/E985</f>
        <v>17.697625561797754</v>
      </c>
      <c r="J985" s="26">
        <f t="shared" si="76"/>
        <v>26102.062380641833</v>
      </c>
      <c r="K985" s="1">
        <f>D985*$E$1867/E985</f>
        <v>30.123617977528088</v>
      </c>
      <c r="L985" s="26">
        <f t="shared" si="74"/>
        <v>2405.7200350821963</v>
      </c>
      <c r="M985" s="10">
        <f t="shared" si="72"/>
        <v>12.93396430616137</v>
      </c>
      <c r="N985" s="4">
        <f t="shared" si="73"/>
        <v>16.57651945241723</v>
      </c>
      <c r="O985" s="36">
        <f>1/M985-(G985/100-(((E985/E865)^(1/10))-1))</f>
        <v>9.5937782739668298E-2</v>
      </c>
      <c r="P985" s="48">
        <v>2.09</v>
      </c>
      <c r="R985" s="30"/>
      <c r="S985" s="30"/>
    </row>
    <row r="986" spans="1:19" ht="13" x14ac:dyDescent="0.3">
      <c r="A986" s="52" t="s">
        <v>1002</v>
      </c>
      <c r="B986" s="6">
        <v>26.18</v>
      </c>
      <c r="C986" s="1">
        <v>1.41</v>
      </c>
      <c r="D986" s="6">
        <v>2.41</v>
      </c>
      <c r="E986" s="6">
        <v>26.6</v>
      </c>
      <c r="F986" s="1">
        <f t="shared" si="75"/>
        <v>1953.0416666665922</v>
      </c>
      <c r="G986" s="17">
        <v>2.83</v>
      </c>
      <c r="H986" s="1">
        <f>B986*$E$1867/E986</f>
        <v>329.83379868421054</v>
      </c>
      <c r="I986" s="1">
        <f>C986*$E$1867/E986</f>
        <v>17.764157988721802</v>
      </c>
      <c r="J986" s="26">
        <f t="shared" si="76"/>
        <v>26459.274499102878</v>
      </c>
      <c r="K986" s="1">
        <f>D986*$E$1867/E986</f>
        <v>30.36285159774436</v>
      </c>
      <c r="L986" s="26">
        <f t="shared" si="74"/>
        <v>2435.7086150816631</v>
      </c>
      <c r="M986" s="10">
        <f t="shared" si="72"/>
        <v>13.010773447995184</v>
      </c>
      <c r="N986" s="4">
        <f t="shared" si="73"/>
        <v>16.673801176941982</v>
      </c>
      <c r="O986" s="36">
        <f>1/M986-(G986/100-(((E986/E866)^(1/10))-1))</f>
        <v>9.4963627445531759E-2</v>
      </c>
      <c r="P986" s="48">
        <v>1.96</v>
      </c>
      <c r="R986" s="30"/>
      <c r="S986" s="30"/>
    </row>
    <row r="987" spans="1:19" ht="13" x14ac:dyDescent="0.3">
      <c r="A987" s="52" t="s">
        <v>1003</v>
      </c>
      <c r="B987" s="6">
        <v>25.86</v>
      </c>
      <c r="C987" s="1">
        <v>1.41</v>
      </c>
      <c r="D987" s="6">
        <v>2.42</v>
      </c>
      <c r="E987" s="6">
        <v>26.5</v>
      </c>
      <c r="F987" s="1">
        <f t="shared" si="75"/>
        <v>1953.1249999999254</v>
      </c>
      <c r="G987" s="17">
        <v>2.8008333333333333</v>
      </c>
      <c r="H987" s="1">
        <f>B987*$E$1867/E987</f>
        <v>327.03165905660376</v>
      </c>
      <c r="I987" s="1">
        <f>C987*$E$1867/E987</f>
        <v>17.83119254716981</v>
      </c>
      <c r="J987" s="26">
        <f t="shared" si="76"/>
        <v>26353.688351747463</v>
      </c>
      <c r="K987" s="1">
        <f>D987*$E$1867/E987</f>
        <v>30.603890754716982</v>
      </c>
      <c r="L987" s="26">
        <f t="shared" si="74"/>
        <v>2466.199760681704</v>
      </c>
      <c r="M987" s="10">
        <f t="shared" si="72"/>
        <v>12.8593468806879</v>
      </c>
      <c r="N987" s="4">
        <f t="shared" si="73"/>
        <v>16.479048621864909</v>
      </c>
      <c r="O987" s="36">
        <f>1/M987-(G987/100-(((E987/E867)^(1/10))-1))</f>
        <v>9.5766307552287641E-2</v>
      </c>
      <c r="P987" s="48">
        <v>1.97</v>
      </c>
      <c r="R987" s="30"/>
      <c r="S987" s="30"/>
    </row>
    <row r="988" spans="1:19" ht="13" x14ac:dyDescent="0.3">
      <c r="A988" s="52" t="s">
        <v>1004</v>
      </c>
      <c r="B988" s="6">
        <v>25.99</v>
      </c>
      <c r="C988" s="1">
        <v>1.41</v>
      </c>
      <c r="D988" s="6">
        <v>2.4300000000000002</v>
      </c>
      <c r="E988" s="6">
        <v>26.6</v>
      </c>
      <c r="F988" s="1">
        <f t="shared" si="75"/>
        <v>1953.2083333332587</v>
      </c>
      <c r="G988" s="17">
        <v>2.7716666666666665</v>
      </c>
      <c r="H988" s="1">
        <f>B988*$E$1867/E988</f>
        <v>327.44004689849618</v>
      </c>
      <c r="I988" s="1">
        <f>C988*$E$1867/E988</f>
        <v>17.764157988721802</v>
      </c>
      <c r="J988" s="26">
        <f t="shared" si="76"/>
        <v>26505.891096718071</v>
      </c>
      <c r="K988" s="1">
        <f>D988*$E$1867/E988</f>
        <v>30.61482546992481</v>
      </c>
      <c r="L988" s="26">
        <f t="shared" si="74"/>
        <v>2478.2345273191581</v>
      </c>
      <c r="M988" s="10">
        <f t="shared" si="72"/>
        <v>12.834819340092492</v>
      </c>
      <c r="N988" s="4">
        <f t="shared" si="73"/>
        <v>16.446063827451091</v>
      </c>
      <c r="O988" s="36">
        <f>1/M988-(G988/100-(((E988/E868)^(1/10))-1))</f>
        <v>9.4761026384425712E-2</v>
      </c>
      <c r="P988" s="48">
        <v>2.0099999999999998</v>
      </c>
      <c r="R988" s="30"/>
      <c r="S988" s="30"/>
    </row>
    <row r="989" spans="1:19" ht="13" x14ac:dyDescent="0.3">
      <c r="A989" s="52" t="s">
        <v>1005</v>
      </c>
      <c r="B989" s="6">
        <v>24.71</v>
      </c>
      <c r="C989" s="1">
        <v>1.41333</v>
      </c>
      <c r="D989" s="6">
        <v>2.4566699999999999</v>
      </c>
      <c r="E989" s="6">
        <v>26.6</v>
      </c>
      <c r="F989" s="1">
        <f t="shared" si="75"/>
        <v>1953.2916666665919</v>
      </c>
      <c r="G989" s="17">
        <v>2.83</v>
      </c>
      <c r="H989" s="1">
        <f>B989*$E$1867/E989</f>
        <v>311.31371907894737</v>
      </c>
      <c r="I989" s="1">
        <f>C989*$E$1867/E989</f>
        <v>17.806111638439848</v>
      </c>
      <c r="J989" s="26">
        <f t="shared" si="76"/>
        <v>25320.598945307713</v>
      </c>
      <c r="K989" s="1">
        <f>D989*$E$1867/E989</f>
        <v>30.950832628477439</v>
      </c>
      <c r="L989" s="26">
        <f t="shared" si="74"/>
        <v>2517.3757916215741</v>
      </c>
      <c r="M989" s="10">
        <f t="shared" si="72"/>
        <v>12.163901454006801</v>
      </c>
      <c r="N989" s="4">
        <f t="shared" si="73"/>
        <v>15.58906838019614</v>
      </c>
      <c r="O989" s="36">
        <f>1/M989-(G989/100-(((E989/E869)^(1/10))-1))</f>
        <v>9.7268197476296253E-2</v>
      </c>
      <c r="P989" s="48">
        <v>2.19</v>
      </c>
      <c r="R989" s="30"/>
      <c r="S989" s="30"/>
    </row>
    <row r="990" spans="1:19" ht="13" x14ac:dyDescent="0.3">
      <c r="A990" s="52" t="s">
        <v>1006</v>
      </c>
      <c r="B990" s="6">
        <v>24.84</v>
      </c>
      <c r="C990" s="1">
        <v>1.4166700000000001</v>
      </c>
      <c r="D990" s="6">
        <v>2.48333</v>
      </c>
      <c r="E990" s="6">
        <v>26.7</v>
      </c>
      <c r="F990" s="1">
        <f t="shared" si="75"/>
        <v>1953.3749999999252</v>
      </c>
      <c r="G990" s="17">
        <v>3.05</v>
      </c>
      <c r="H990" s="1">
        <f>B990*$E$1867/E990</f>
        <v>311.77944606741573</v>
      </c>
      <c r="I990" s="1">
        <f>C990*$E$1867/E990</f>
        <v>17.781344116760302</v>
      </c>
      <c r="J990" s="26">
        <f t="shared" si="76"/>
        <v>25478.998677994266</v>
      </c>
      <c r="K990" s="1">
        <f>D990*$E$1867/E990</f>
        <v>31.16953509672285</v>
      </c>
      <c r="L990" s="26">
        <f t="shared" si="74"/>
        <v>2547.2126323278385</v>
      </c>
      <c r="M990" s="10">
        <f t="shared" si="72"/>
        <v>12.141970791867781</v>
      </c>
      <c r="N990" s="4">
        <f t="shared" si="73"/>
        <v>15.563203387107301</v>
      </c>
      <c r="O990" s="36">
        <f>1/M990-(G990/100-(((E990/E870)^(1/10))-1))</f>
        <v>9.5010295236366657E-2</v>
      </c>
      <c r="P990" s="48">
        <v>2.16</v>
      </c>
      <c r="R990" s="30"/>
      <c r="S990" s="30"/>
    </row>
    <row r="991" spans="1:19" ht="13" x14ac:dyDescent="0.3">
      <c r="A991" s="52" t="s">
        <v>1007</v>
      </c>
      <c r="B991" s="6">
        <v>23.95</v>
      </c>
      <c r="C991" s="1">
        <v>1.42</v>
      </c>
      <c r="D991" s="6">
        <v>2.5099999999999998</v>
      </c>
      <c r="E991" s="6">
        <v>26.8</v>
      </c>
      <c r="F991" s="1">
        <f t="shared" si="75"/>
        <v>1953.4583333332585</v>
      </c>
      <c r="G991" s="17">
        <v>3.11</v>
      </c>
      <c r="H991" s="1">
        <f>B991*$E$1867/E991</f>
        <v>299.48693050373129</v>
      </c>
      <c r="I991" s="1">
        <f>C991*$E$1867/E991</f>
        <v>17.756636380597012</v>
      </c>
      <c r="J991" s="26">
        <f t="shared" si="76"/>
        <v>24595.36373979547</v>
      </c>
      <c r="K991" s="1">
        <f>D991*$E$1867/E991</f>
        <v>31.386730503731339</v>
      </c>
      <c r="L991" s="26">
        <f t="shared" si="74"/>
        <v>2577.6351977823228</v>
      </c>
      <c r="M991" s="10">
        <f t="shared" si="72"/>
        <v>11.624407885470081</v>
      </c>
      <c r="N991" s="4">
        <f t="shared" si="73"/>
        <v>14.904522212477081</v>
      </c>
      <c r="O991" s="36">
        <f>1/M991-(G991/100-(((E991/E871)^(1/10))-1))</f>
        <v>9.8467265923936162E-2</v>
      </c>
      <c r="P991" s="48">
        <v>2.11</v>
      </c>
      <c r="R991" s="30"/>
      <c r="S991" s="30"/>
    </row>
    <row r="992" spans="1:19" ht="13" x14ac:dyDescent="0.3">
      <c r="A992" s="52" t="s">
        <v>1008</v>
      </c>
      <c r="B992" s="6">
        <v>24.29</v>
      </c>
      <c r="C992" s="1">
        <v>1.42</v>
      </c>
      <c r="D992" s="6">
        <v>2.5233300000000001</v>
      </c>
      <c r="E992" s="6">
        <v>26.8</v>
      </c>
      <c r="F992" s="1">
        <f t="shared" si="75"/>
        <v>1953.5416666665917</v>
      </c>
      <c r="G992" s="17">
        <v>2.93</v>
      </c>
      <c r="H992" s="1">
        <f>B992*$E$1867/E992</f>
        <v>303.73851949626862</v>
      </c>
      <c r="I992" s="1">
        <f>C992*$E$1867/E992</f>
        <v>17.756636380597012</v>
      </c>
      <c r="J992" s="26">
        <f t="shared" si="76"/>
        <v>25066.047457850011</v>
      </c>
      <c r="K992" s="1">
        <f>D992*$E$1867/E992</f>
        <v>31.55341780158582</v>
      </c>
      <c r="L992" s="26">
        <f t="shared" si="74"/>
        <v>2603.9485192184716</v>
      </c>
      <c r="M992" s="10">
        <f t="shared" si="72"/>
        <v>11.75020164531</v>
      </c>
      <c r="N992" s="4">
        <f t="shared" si="73"/>
        <v>15.069129207230215</v>
      </c>
      <c r="O992" s="36">
        <f>1/M992-(G992/100-(((E992/E872)^(1/10))-1))</f>
        <v>9.9944492326542622E-2</v>
      </c>
      <c r="P992" s="48">
        <v>2.04</v>
      </c>
      <c r="R992" s="30"/>
      <c r="S992" s="30"/>
    </row>
    <row r="993" spans="1:19" ht="13" x14ac:dyDescent="0.3">
      <c r="A993" s="52" t="s">
        <v>1009</v>
      </c>
      <c r="B993" s="6">
        <v>24.39</v>
      </c>
      <c r="C993" s="1">
        <v>1.42</v>
      </c>
      <c r="D993" s="6">
        <v>2.53667</v>
      </c>
      <c r="E993" s="6">
        <v>26.9</v>
      </c>
      <c r="F993" s="1">
        <f t="shared" si="75"/>
        <v>1953.624999999925</v>
      </c>
      <c r="G993" s="17">
        <v>2.95</v>
      </c>
      <c r="H993" s="1">
        <f>B993*$E$1867/E993</f>
        <v>303.85519879182158</v>
      </c>
      <c r="I993" s="1">
        <f>C993*$E$1867/E993</f>
        <v>17.690626579925649</v>
      </c>
      <c r="J993" s="26">
        <f t="shared" si="76"/>
        <v>25197.336466819877</v>
      </c>
      <c r="K993" s="1">
        <f>D993*$E$1867/E993</f>
        <v>31.602311074999999</v>
      </c>
      <c r="L993" s="26">
        <f t="shared" si="74"/>
        <v>2620.6366336731435</v>
      </c>
      <c r="M993" s="10">
        <f t="shared" si="72"/>
        <v>11.715076201734002</v>
      </c>
      <c r="N993" s="4">
        <f t="shared" si="73"/>
        <v>15.027019046734068</v>
      </c>
      <c r="O993" s="36">
        <f>1/M993-(G993/100-(((E993/E873)^(1/10))-1))</f>
        <v>0.10099082396456592</v>
      </c>
      <c r="P993" s="48">
        <v>2.04</v>
      </c>
      <c r="R993" s="30"/>
      <c r="S993" s="30"/>
    </row>
    <row r="994" spans="1:19" ht="13" x14ac:dyDescent="0.3">
      <c r="A994" s="52" t="s">
        <v>1010</v>
      </c>
      <c r="B994" s="6">
        <v>23.27</v>
      </c>
      <c r="C994" s="1">
        <v>1.42</v>
      </c>
      <c r="D994" s="6">
        <v>2.5499999999999998</v>
      </c>
      <c r="E994" s="6">
        <v>26.9</v>
      </c>
      <c r="F994" s="1">
        <f t="shared" si="75"/>
        <v>1953.7083333332582</v>
      </c>
      <c r="G994" s="17">
        <v>2.87</v>
      </c>
      <c r="H994" s="1">
        <f>B994*$E$1867/E994</f>
        <v>289.90202853159855</v>
      </c>
      <c r="I994" s="1">
        <f>C994*$E$1867/E994</f>
        <v>17.690626579925649</v>
      </c>
      <c r="J994" s="26">
        <f t="shared" si="76"/>
        <v>24162.513505458752</v>
      </c>
      <c r="K994" s="1">
        <f>D994*$E$1867/E994</f>
        <v>31.768378717472118</v>
      </c>
      <c r="L994" s="26">
        <f t="shared" si="74"/>
        <v>2647.804445162003</v>
      </c>
      <c r="M994" s="10">
        <f t="shared" si="72"/>
        <v>11.139349357262921</v>
      </c>
      <c r="N994" s="4">
        <f t="shared" si="73"/>
        <v>14.29474795419708</v>
      </c>
      <c r="O994" s="36">
        <f>1/M994-(G994/100-(((E994/E874)^(1/10))-1))</f>
        <v>0.10560037156783564</v>
      </c>
      <c r="P994" s="48">
        <v>1.79</v>
      </c>
      <c r="R994" s="30"/>
      <c r="S994" s="30"/>
    </row>
    <row r="995" spans="1:19" ht="13" x14ac:dyDescent="0.3">
      <c r="A995" s="52" t="s">
        <v>1011</v>
      </c>
      <c r="B995" s="6">
        <v>23.97</v>
      </c>
      <c r="C995" s="1">
        <v>1.43</v>
      </c>
      <c r="D995" s="6">
        <v>2.53667</v>
      </c>
      <c r="E995" s="6">
        <v>27</v>
      </c>
      <c r="F995" s="1">
        <f t="shared" si="75"/>
        <v>1953.7916666665915</v>
      </c>
      <c r="G995" s="17">
        <v>2.66</v>
      </c>
      <c r="H995" s="1">
        <f>B995*$E$1867/E995</f>
        <v>297.51674972222219</v>
      </c>
      <c r="I995" s="1">
        <f>C995*$E$1867/E995</f>
        <v>17.749226203703703</v>
      </c>
      <c r="J995" s="26">
        <f t="shared" si="76"/>
        <v>24920.4579434812</v>
      </c>
      <c r="K995" s="1">
        <f>D995*$E$1867/E995</f>
        <v>31.485265478425926</v>
      </c>
      <c r="L995" s="26">
        <f t="shared" si="74"/>
        <v>2637.2539862949716</v>
      </c>
      <c r="M995" s="10">
        <f t="shared" si="72"/>
        <v>11.391934765421409</v>
      </c>
      <c r="N995" s="4">
        <f t="shared" si="73"/>
        <v>14.623798898879688</v>
      </c>
      <c r="O995" s="36">
        <f>1/M995-(G995/100-(((E995/E875)^(1/10))-1))</f>
        <v>0.10609757559259157</v>
      </c>
      <c r="P995" s="48">
        <v>1.38</v>
      </c>
      <c r="R995" s="30"/>
      <c r="S995" s="30"/>
    </row>
    <row r="996" spans="1:19" ht="13" x14ac:dyDescent="0.3">
      <c r="A996" s="52" t="s">
        <v>1012</v>
      </c>
      <c r="B996" s="6">
        <v>24.5</v>
      </c>
      <c r="C996" s="1">
        <v>1.44</v>
      </c>
      <c r="D996" s="6">
        <v>2.5233300000000001</v>
      </c>
      <c r="E996" s="6">
        <v>26.9</v>
      </c>
      <c r="F996" s="1">
        <f t="shared" si="75"/>
        <v>1953.8749999999247</v>
      </c>
      <c r="G996" s="17">
        <v>2.68</v>
      </c>
      <c r="H996" s="1">
        <f>B996*$E$1867/E996</f>
        <v>305.22559944237918</v>
      </c>
      <c r="I996" s="1">
        <f>C996*$E$1867/E996</f>
        <v>17.939790334572493</v>
      </c>
      <c r="J996" s="26">
        <f t="shared" si="76"/>
        <v>25691.385007823745</v>
      </c>
      <c r="K996" s="1">
        <f>D996*$E$1867/E996</f>
        <v>31.436118850650558</v>
      </c>
      <c r="L996" s="26">
        <f t="shared" si="74"/>
        <v>2646.0343890527301</v>
      </c>
      <c r="M996" s="10">
        <f t="shared" si="72"/>
        <v>11.644070268505768</v>
      </c>
      <c r="N996" s="4">
        <f t="shared" si="73"/>
        <v>14.953068513374761</v>
      </c>
      <c r="O996" s="36">
        <f>1/M996-(G996/100-(((E996/E876)^(1/10))-1))</f>
        <v>0.10360914376609943</v>
      </c>
      <c r="P996" s="48">
        <v>1.44</v>
      </c>
      <c r="R996" s="30"/>
      <c r="S996" s="30"/>
    </row>
    <row r="997" spans="1:19" ht="13" x14ac:dyDescent="0.3">
      <c r="A997" s="52" t="s">
        <v>1013</v>
      </c>
      <c r="B997" s="6">
        <v>24.83</v>
      </c>
      <c r="C997" s="1">
        <v>1.45</v>
      </c>
      <c r="D997" s="6">
        <v>2.5099999999999998</v>
      </c>
      <c r="E997" s="6">
        <v>26.9</v>
      </c>
      <c r="F997" s="1">
        <f t="shared" si="75"/>
        <v>1953.958333333258</v>
      </c>
      <c r="G997" s="17">
        <v>2.59</v>
      </c>
      <c r="H997" s="1">
        <f>B997*$E$1867/E997</f>
        <v>309.33680139405209</v>
      </c>
      <c r="I997" s="1">
        <f>C997*$E$1867/E997</f>
        <v>18.064372211895911</v>
      </c>
      <c r="J997" s="26">
        <f t="shared" si="76"/>
        <v>26164.141446233025</v>
      </c>
      <c r="K997" s="1">
        <f>D997*$E$1867/E997</f>
        <v>31.270051208178437</v>
      </c>
      <c r="L997" s="26">
        <f t="shared" si="74"/>
        <v>2644.8648824021298</v>
      </c>
      <c r="M997" s="10">
        <f t="shared" si="72"/>
        <v>11.754449184027294</v>
      </c>
      <c r="N997" s="4">
        <f t="shared" si="73"/>
        <v>15.101395257015973</v>
      </c>
      <c r="O997" s="36">
        <f>1/M997-(G997/100-(((E997/E877)^(1/10))-1))</f>
        <v>0.10370269083937064</v>
      </c>
      <c r="P997" s="48">
        <v>1.6</v>
      </c>
      <c r="R997" s="30"/>
      <c r="S997" s="30"/>
    </row>
    <row r="998" spans="1:19" ht="13" x14ac:dyDescent="0.3">
      <c r="A998" s="52" t="s">
        <v>1014</v>
      </c>
      <c r="B998" s="6">
        <v>25.46</v>
      </c>
      <c r="C998" s="1">
        <v>1.4566699999999999</v>
      </c>
      <c r="D998" s="6">
        <v>2.5233300000000001</v>
      </c>
      <c r="E998" s="6">
        <v>26.9</v>
      </c>
      <c r="F998" s="1">
        <f t="shared" si="75"/>
        <v>1954.0416666665913</v>
      </c>
      <c r="G998" s="17">
        <v>2.48</v>
      </c>
      <c r="H998" s="1">
        <f>B998*$E$1867/E998</f>
        <v>317.18545966542752</v>
      </c>
      <c r="I998" s="1">
        <f>C998*$E$1867/E998</f>
        <v>18.147468324070633</v>
      </c>
      <c r="J998" s="26">
        <f t="shared" si="76"/>
        <v>26955.903525888029</v>
      </c>
      <c r="K998" s="1">
        <f>D998*$E$1867/E998</f>
        <v>31.436118850650558</v>
      </c>
      <c r="L998" s="26">
        <f t="shared" si="74"/>
        <v>2671.5883756472522</v>
      </c>
      <c r="M998" s="10">
        <f t="shared" si="72"/>
        <v>12.002650554927824</v>
      </c>
      <c r="N998" s="4">
        <f t="shared" si="73"/>
        <v>15.427061391002454</v>
      </c>
      <c r="O998" s="36">
        <f>1/M998-(G998/100-(((E998/E878)^(1/10))-1))</f>
        <v>0.10304345229837096</v>
      </c>
      <c r="P998" s="48">
        <v>1.18</v>
      </c>
      <c r="R998" s="30"/>
      <c r="S998" s="30"/>
    </row>
    <row r="999" spans="1:19" ht="13" x14ac:dyDescent="0.3">
      <c r="A999" s="52" t="s">
        <v>1015</v>
      </c>
      <c r="B999" s="6">
        <v>26.02</v>
      </c>
      <c r="C999" s="1">
        <v>1.46333</v>
      </c>
      <c r="D999" s="6">
        <v>2.53667</v>
      </c>
      <c r="E999" s="6">
        <v>26.9</v>
      </c>
      <c r="F999" s="1">
        <f t="shared" si="75"/>
        <v>1954.1249999999245</v>
      </c>
      <c r="G999" s="17">
        <v>2.4700000000000002</v>
      </c>
      <c r="H999" s="1">
        <f>B999*$E$1867/E999</f>
        <v>324.16204479553903</v>
      </c>
      <c r="I999" s="1">
        <f>C999*$E$1867/E999</f>
        <v>18.230439854368029</v>
      </c>
      <c r="J999" s="26">
        <f t="shared" si="76"/>
        <v>27677.915354902514</v>
      </c>
      <c r="K999" s="1">
        <f>D999*$E$1867/E999</f>
        <v>31.602311074999999</v>
      </c>
      <c r="L999" s="26">
        <f t="shared" si="74"/>
        <v>2698.2989063535956</v>
      </c>
      <c r="M999" s="10">
        <f t="shared" si="72"/>
        <v>12.215052485432837</v>
      </c>
      <c r="N999" s="4">
        <f t="shared" si="73"/>
        <v>15.705755365444608</v>
      </c>
      <c r="O999" s="36">
        <f>1/M999-(G999/100-(((E999/E879)^(1/10))-1))</f>
        <v>0.10169472728013385</v>
      </c>
      <c r="P999" s="48">
        <v>0.97</v>
      </c>
      <c r="R999" s="30"/>
      <c r="S999" s="30"/>
    </row>
    <row r="1000" spans="1:19" ht="13" x14ac:dyDescent="0.3">
      <c r="A1000" s="52" t="s">
        <v>1016</v>
      </c>
      <c r="B1000" s="6">
        <v>26.57</v>
      </c>
      <c r="C1000" s="1">
        <v>1.47</v>
      </c>
      <c r="D1000" s="6">
        <v>2.5499999999999998</v>
      </c>
      <c r="E1000" s="6">
        <v>26.9</v>
      </c>
      <c r="F1000" s="1">
        <f t="shared" si="75"/>
        <v>1954.2083333332578</v>
      </c>
      <c r="G1000" s="17">
        <v>2.37</v>
      </c>
      <c r="H1000" s="1">
        <f>B1000*$E$1867/E1000</f>
        <v>331.01404804832714</v>
      </c>
      <c r="I1000" s="1">
        <f>C1000*$E$1867/E1000</f>
        <v>18.313535966542752</v>
      </c>
      <c r="J1000" s="26">
        <f t="shared" si="76"/>
        <v>28393.265011942174</v>
      </c>
      <c r="K1000" s="1">
        <f>D1000*$E$1867/E1000</f>
        <v>31.768378717472118</v>
      </c>
      <c r="L1000" s="26">
        <f t="shared" si="74"/>
        <v>2724.9840338898207</v>
      </c>
      <c r="M1000" s="10">
        <f t="shared" si="72"/>
        <v>12.420105295189972</v>
      </c>
      <c r="N1000" s="4">
        <f t="shared" si="73"/>
        <v>15.974058403613151</v>
      </c>
      <c r="O1000" s="36">
        <f>1/M1000-(G1000/100-(((E1000/E880)^(1/10))-1))</f>
        <v>0.10134313684560128</v>
      </c>
      <c r="P1000" s="48">
        <v>1.03</v>
      </c>
      <c r="R1000" s="30"/>
      <c r="S1000" s="30"/>
    </row>
    <row r="1001" spans="1:19" ht="13" x14ac:dyDescent="0.3">
      <c r="A1001" s="52" t="s">
        <v>1017</v>
      </c>
      <c r="B1001" s="6">
        <v>27.63</v>
      </c>
      <c r="C1001" s="1">
        <v>1.46333</v>
      </c>
      <c r="D1001" s="6">
        <v>2.5733299999999999</v>
      </c>
      <c r="E1001" s="6">
        <v>26.8</v>
      </c>
      <c r="F1001" s="1">
        <f t="shared" si="75"/>
        <v>1954.291666666591</v>
      </c>
      <c r="G1001" s="17">
        <v>2.29</v>
      </c>
      <c r="H1001" s="1">
        <f>B1001*$E$1867/E1001</f>
        <v>345.50412901119398</v>
      </c>
      <c r="I1001" s="1">
        <f>C1001*$E$1867/E1001</f>
        <v>18.298463883675375</v>
      </c>
      <c r="J1001" s="26">
        <f t="shared" si="76"/>
        <v>29766.973487562045</v>
      </c>
      <c r="K1001" s="1">
        <f>D1001*$E$1867/E1001</f>
        <v>32.178651476958954</v>
      </c>
      <c r="L1001" s="26">
        <f t="shared" si="74"/>
        <v>2772.3577953220429</v>
      </c>
      <c r="M1001" s="10">
        <f t="shared" si="72"/>
        <v>12.907868184060916</v>
      </c>
      <c r="N1001" s="4">
        <f t="shared" si="73"/>
        <v>16.60305929186946</v>
      </c>
      <c r="O1001" s="36">
        <f>1/M1001-(G1001/100-(((E1001/E881)^(1/10))-1))</f>
        <v>9.8113505602729828E-2</v>
      </c>
      <c r="P1001" s="48">
        <v>0.97</v>
      </c>
      <c r="R1001" s="30"/>
      <c r="S1001" s="30"/>
    </row>
    <row r="1002" spans="1:19" ht="13" x14ac:dyDescent="0.3">
      <c r="A1002" s="52" t="s">
        <v>1018</v>
      </c>
      <c r="B1002" s="6">
        <v>28.73</v>
      </c>
      <c r="C1002" s="1">
        <v>1.4566699999999999</v>
      </c>
      <c r="D1002" s="6">
        <v>2.59667</v>
      </c>
      <c r="E1002" s="6">
        <v>26.9</v>
      </c>
      <c r="F1002" s="1">
        <f t="shared" si="75"/>
        <v>1954.3749999999243</v>
      </c>
      <c r="G1002" s="17">
        <v>2.37</v>
      </c>
      <c r="H1002" s="1">
        <f>B1002*$E$1867/E1002</f>
        <v>357.92373355018589</v>
      </c>
      <c r="I1002" s="1">
        <f>C1002*$E$1867/E1002</f>
        <v>18.147468324070633</v>
      </c>
      <c r="J1002" s="26">
        <f t="shared" si="76"/>
        <v>30967.278408945938</v>
      </c>
      <c r="K1002" s="1">
        <f>D1002*$E$1867/E1002</f>
        <v>32.34980233894052</v>
      </c>
      <c r="L1002" s="26">
        <f t="shared" si="74"/>
        <v>2798.8793186967505</v>
      </c>
      <c r="M1002" s="10">
        <f t="shared" si="72"/>
        <v>13.312042238025859</v>
      </c>
      <c r="N1002" s="4">
        <f t="shared" si="73"/>
        <v>17.121370897689339</v>
      </c>
      <c r="O1002" s="36">
        <f>1/M1002-(G1002/100-(((E1002/E882)^(1/10))-1))</f>
        <v>9.5350061653182869E-2</v>
      </c>
      <c r="P1002" s="48">
        <v>0.76</v>
      </c>
      <c r="R1002" s="30"/>
      <c r="S1002" s="30"/>
    </row>
    <row r="1003" spans="1:19" ht="13" x14ac:dyDescent="0.3">
      <c r="A1003" s="52" t="s">
        <v>1019</v>
      </c>
      <c r="B1003" s="6">
        <v>28.96</v>
      </c>
      <c r="C1003" s="1">
        <v>1.45</v>
      </c>
      <c r="D1003" s="6">
        <v>2.62</v>
      </c>
      <c r="E1003" s="6">
        <v>26.9</v>
      </c>
      <c r="F1003" s="1">
        <f t="shared" si="75"/>
        <v>1954.4583333332575</v>
      </c>
      <c r="G1003" s="17">
        <v>2.38</v>
      </c>
      <c r="H1003" s="1">
        <f>B1003*$E$1867/E1003</f>
        <v>360.78911672862455</v>
      </c>
      <c r="I1003" s="1">
        <f>C1003*$E$1867/E1003</f>
        <v>18.064372211895911</v>
      </c>
      <c r="J1003" s="26">
        <f t="shared" si="76"/>
        <v>31345.432029150321</v>
      </c>
      <c r="K1003" s="1">
        <f>D1003*$E$1867/E1003</f>
        <v>32.640451858736057</v>
      </c>
      <c r="L1003" s="26">
        <f t="shared" si="74"/>
        <v>2835.8091131344554</v>
      </c>
      <c r="M1003" s="10">
        <f t="shared" si="72"/>
        <v>13.357885903659</v>
      </c>
      <c r="N1003" s="4">
        <f t="shared" si="73"/>
        <v>17.178043503737328</v>
      </c>
      <c r="O1003" s="36">
        <f>1/M1003-(G1003/100-(((E1003/E883)^(1/10))-1))</f>
        <v>9.439758919551676E-2</v>
      </c>
      <c r="P1003" s="48">
        <v>0.64</v>
      </c>
      <c r="R1003" s="30"/>
      <c r="S1003" s="30"/>
    </row>
    <row r="1004" spans="1:19" ht="13" x14ac:dyDescent="0.3">
      <c r="A1004" s="52" t="s">
        <v>1020</v>
      </c>
      <c r="B1004" s="6">
        <v>30.13</v>
      </c>
      <c r="C1004" s="1">
        <v>1.4566699999999999</v>
      </c>
      <c r="D1004" s="6">
        <v>2.6233300000000002</v>
      </c>
      <c r="E1004" s="6">
        <v>26.9</v>
      </c>
      <c r="F1004" s="1">
        <f t="shared" si="75"/>
        <v>1954.5416666665908</v>
      </c>
      <c r="G1004" s="17">
        <v>2.2999999999999998</v>
      </c>
      <c r="H1004" s="1">
        <f>B1004*$E$1867/E1004</f>
        <v>375.36519637546468</v>
      </c>
      <c r="I1004" s="1">
        <f>C1004*$E$1867/E1004</f>
        <v>18.147468324070633</v>
      </c>
      <c r="J1004" s="26">
        <f t="shared" si="76"/>
        <v>32743.192780080255</v>
      </c>
      <c r="K1004" s="1">
        <f>D1004*$E$1867/E1004</f>
        <v>32.681937623884764</v>
      </c>
      <c r="L1004" s="26">
        <f t="shared" si="74"/>
        <v>2850.8529676657135</v>
      </c>
      <c r="M1004" s="10">
        <f t="shared" si="72"/>
        <v>13.833009564245327</v>
      </c>
      <c r="N1004" s="4">
        <f t="shared" si="73"/>
        <v>17.784289655101254</v>
      </c>
      <c r="O1004" s="36">
        <f>1/M1004-(G1004/100-(((E1004/E884)^(1/10))-1))</f>
        <v>9.2035333094363542E-2</v>
      </c>
      <c r="P1004" s="48">
        <v>0.72</v>
      </c>
      <c r="R1004" s="30"/>
      <c r="S1004" s="30"/>
    </row>
    <row r="1005" spans="1:19" ht="13" x14ac:dyDescent="0.3">
      <c r="A1005" s="52" t="s">
        <v>1021</v>
      </c>
      <c r="B1005" s="6">
        <v>30.73</v>
      </c>
      <c r="C1005" s="1">
        <v>1.46333</v>
      </c>
      <c r="D1005" s="6">
        <v>2.6266699999999998</v>
      </c>
      <c r="E1005" s="6">
        <v>26.9</v>
      </c>
      <c r="F1005" s="1">
        <f t="shared" si="75"/>
        <v>1954.6249999999241</v>
      </c>
      <c r="G1005" s="17">
        <v>2.36</v>
      </c>
      <c r="H1005" s="1">
        <f>B1005*$E$1867/E1005</f>
        <v>382.84010901486994</v>
      </c>
      <c r="I1005" s="1">
        <f>C1005*$E$1867/E1005</f>
        <v>18.230439854368029</v>
      </c>
      <c r="J1005" s="26">
        <f t="shared" si="76"/>
        <v>33527.751592746077</v>
      </c>
      <c r="K1005" s="1">
        <f>D1005*$E$1867/E1005</f>
        <v>32.723547970910779</v>
      </c>
      <c r="L1005" s="26">
        <f t="shared" si="74"/>
        <v>2865.8099341398738</v>
      </c>
      <c r="M1005" s="10">
        <f t="shared" si="72"/>
        <v>14.042112347320577</v>
      </c>
      <c r="N1005" s="4">
        <f t="shared" si="73"/>
        <v>18.047877301272543</v>
      </c>
      <c r="O1005" s="36">
        <f>1/M1005-(G1005/100-(((E1005/E885)^(1/10))-1))</f>
        <v>9.0358841377315202E-2</v>
      </c>
      <c r="P1005" s="48">
        <v>0.92</v>
      </c>
      <c r="R1005" s="30"/>
      <c r="S1005" s="30"/>
    </row>
    <row r="1006" spans="1:19" ht="13" x14ac:dyDescent="0.3">
      <c r="A1006" s="52" t="s">
        <v>1022</v>
      </c>
      <c r="B1006" s="6">
        <v>31.45</v>
      </c>
      <c r="C1006" s="1">
        <v>1.47</v>
      </c>
      <c r="D1006" s="6">
        <v>2.63</v>
      </c>
      <c r="E1006" s="6">
        <v>26.8</v>
      </c>
      <c r="F1006" s="1">
        <f t="shared" si="75"/>
        <v>1954.7083333332573</v>
      </c>
      <c r="G1006" s="17">
        <v>2.38</v>
      </c>
      <c r="H1006" s="1">
        <f>B1006*$E$1867/E1006</f>
        <v>393.27198180970151</v>
      </c>
      <c r="I1006" s="1">
        <f>C1006*$E$1867/E1006</f>
        <v>18.38187005597015</v>
      </c>
      <c r="J1006" s="26">
        <f t="shared" si="76"/>
        <v>34575.488741199399</v>
      </c>
      <c r="K1006" s="1">
        <f>D1006*$E$1867/E1006</f>
        <v>32.887291324626865</v>
      </c>
      <c r="L1006" s="26">
        <f t="shared" si="74"/>
        <v>2891.3683748602357</v>
      </c>
      <c r="M1006" s="10">
        <f t="shared" si="72"/>
        <v>14.356474143296976</v>
      </c>
      <c r="N1006" s="4">
        <f t="shared" si="73"/>
        <v>18.445764153358336</v>
      </c>
      <c r="O1006" s="36">
        <f>1/M1006-(G1006/100-(((E1006/E886)^(1/10))-1))</f>
        <v>8.8211182770912153E-2</v>
      </c>
      <c r="P1006" s="48">
        <v>1.01</v>
      </c>
      <c r="R1006" s="30"/>
      <c r="S1006" s="30"/>
    </row>
    <row r="1007" spans="1:19" ht="13" x14ac:dyDescent="0.3">
      <c r="A1007" s="52" t="s">
        <v>1023</v>
      </c>
      <c r="B1007" s="6">
        <v>32.18</v>
      </c>
      <c r="C1007" s="1">
        <v>1.49333</v>
      </c>
      <c r="D1007" s="6">
        <v>2.6766700000000001</v>
      </c>
      <c r="E1007" s="6">
        <v>26.8</v>
      </c>
      <c r="F1007" s="1">
        <f t="shared" si="75"/>
        <v>1954.7916666665906</v>
      </c>
      <c r="G1007" s="17">
        <v>2.4300000000000002</v>
      </c>
      <c r="H1007" s="1">
        <f>B1007*$E$1867/E1007</f>
        <v>402.4003934701492</v>
      </c>
      <c r="I1007" s="1">
        <f>C1007*$E$1867/E1007</f>
        <v>18.673604088899253</v>
      </c>
      <c r="J1007" s="26">
        <f t="shared" si="76"/>
        <v>35514.847236098176</v>
      </c>
      <c r="K1007" s="1">
        <f>D1007*$E$1867/E1007</f>
        <v>33.47088443722015</v>
      </c>
      <c r="L1007" s="26">
        <f t="shared" si="74"/>
        <v>2954.0561265210354</v>
      </c>
      <c r="M1007" s="10">
        <f t="shared" si="72"/>
        <v>14.619231935730562</v>
      </c>
      <c r="N1007" s="4">
        <f t="shared" si="73"/>
        <v>18.77696547410471</v>
      </c>
      <c r="O1007" s="36">
        <f>1/M1007-(G1007/100-(((E1007/E887)^(1/10))-1))</f>
        <v>8.6459243521718368E-2</v>
      </c>
      <c r="P1007" s="48">
        <v>0.98</v>
      </c>
      <c r="R1007" s="30"/>
      <c r="S1007" s="30"/>
    </row>
    <row r="1008" spans="1:19" ht="13" x14ac:dyDescent="0.3">
      <c r="A1008" s="52" t="s">
        <v>1024</v>
      </c>
      <c r="B1008" s="6">
        <v>33.44</v>
      </c>
      <c r="C1008" s="1">
        <v>1.51667</v>
      </c>
      <c r="D1008" s="6">
        <v>2.7233299999999998</v>
      </c>
      <c r="E1008" s="6">
        <v>26.8</v>
      </c>
      <c r="F1008" s="1">
        <f t="shared" si="75"/>
        <v>1954.8749999999238</v>
      </c>
      <c r="G1008" s="17">
        <v>2.48</v>
      </c>
      <c r="H1008" s="1">
        <f>B1008*$E$1867/E1008</f>
        <v>418.15628208955223</v>
      </c>
      <c r="I1008" s="1">
        <f>C1008*$E$1867/E1008</f>
        <v>18.965463168563431</v>
      </c>
      <c r="J1008" s="26">
        <f t="shared" si="76"/>
        <v>37044.909369844245</v>
      </c>
      <c r="K1008" s="1">
        <f>D1008*$E$1867/E1008</f>
        <v>34.054352503078356</v>
      </c>
      <c r="L1008" s="26">
        <f t="shared" si="74"/>
        <v>3016.9112749455121</v>
      </c>
      <c r="M1008" s="10">
        <f t="shared" si="72"/>
        <v>15.117311697434392</v>
      </c>
      <c r="N1008" s="4">
        <f t="shared" si="73"/>
        <v>19.407607457588707</v>
      </c>
      <c r="O1008" s="36">
        <f>1/M1008-(G1008/100-(((E1008/E888)^(1/10))-1))</f>
        <v>8.3705524492971542E-2</v>
      </c>
      <c r="P1008" s="48">
        <v>0.93</v>
      </c>
      <c r="R1008" s="30"/>
      <c r="S1008" s="30"/>
    </row>
    <row r="1009" spans="1:19" ht="13" x14ac:dyDescent="0.3">
      <c r="A1009" s="52" t="s">
        <v>1025</v>
      </c>
      <c r="B1009" s="6">
        <v>34.97</v>
      </c>
      <c r="C1009" s="1">
        <v>1.54</v>
      </c>
      <c r="D1009" s="6">
        <v>2.77</v>
      </c>
      <c r="E1009" s="6">
        <v>26.7</v>
      </c>
      <c r="F1009" s="1">
        <f t="shared" si="75"/>
        <v>1954.9583333332571</v>
      </c>
      <c r="G1009" s="17">
        <v>2.5099999999999998</v>
      </c>
      <c r="H1009" s="1">
        <f>B1009*$E$1867/E1009</f>
        <v>438.92621694756554</v>
      </c>
      <c r="I1009" s="1">
        <f>C1009*$E$1867/E1009</f>
        <v>19.329321535580526</v>
      </c>
      <c r="J1009" s="26">
        <f t="shared" si="76"/>
        <v>39027.640397253024</v>
      </c>
      <c r="K1009" s="1">
        <f>D1009*$E$1867/E1009</f>
        <v>34.76767574906367</v>
      </c>
      <c r="L1009" s="26">
        <f t="shared" si="74"/>
        <v>3091.4087475090328</v>
      </c>
      <c r="M1009" s="10">
        <f t="shared" si="72"/>
        <v>15.789062002327087</v>
      </c>
      <c r="N1009" s="4">
        <f t="shared" si="73"/>
        <v>20.25752919244249</v>
      </c>
      <c r="O1009" s="36">
        <f>1/M1009-(G1009/100-(((E1009/E889)^(1/10))-1))</f>
        <v>7.9614728670576687E-2</v>
      </c>
      <c r="P1009" s="48">
        <v>1.1499999999999999</v>
      </c>
      <c r="R1009" s="30"/>
      <c r="S1009" s="30"/>
    </row>
    <row r="1010" spans="1:19" ht="13" x14ac:dyDescent="0.3">
      <c r="A1010" s="52" t="s">
        <v>1026</v>
      </c>
      <c r="B1010" s="6">
        <v>35.6</v>
      </c>
      <c r="C1010" s="1">
        <v>1.54667</v>
      </c>
      <c r="D1010" s="6">
        <v>2.8333300000000001</v>
      </c>
      <c r="E1010" s="6">
        <v>26.7</v>
      </c>
      <c r="F1010" s="1">
        <f t="shared" si="75"/>
        <v>1955.0416666665903</v>
      </c>
      <c r="G1010" s="17">
        <v>2.61</v>
      </c>
      <c r="H1010" s="1">
        <f>B1010*$E$1867/E1010</f>
        <v>446.83366666666666</v>
      </c>
      <c r="I1010" s="1">
        <f>C1010*$E$1867/E1010</f>
        <v>19.413040090543074</v>
      </c>
      <c r="J1010" s="26">
        <f t="shared" si="76"/>
        <v>39874.58502116031</v>
      </c>
      <c r="K1010" s="1">
        <f>D1010*$E$1867/E1010</f>
        <v>35.562562718445697</v>
      </c>
      <c r="L1010" s="26">
        <f t="shared" si="74"/>
        <v>3173.5353364607909</v>
      </c>
      <c r="M1010" s="10">
        <f t="shared" si="72"/>
        <v>15.990781062969837</v>
      </c>
      <c r="N1010" s="4">
        <f t="shared" si="73"/>
        <v>20.501927865048515</v>
      </c>
      <c r="O1010" s="36">
        <f>1/M1010-(G1010/100-(((E1010/E890)^(1/10))-1))</f>
        <v>7.7815776226365693E-2</v>
      </c>
      <c r="P1010" s="48">
        <v>1.22</v>
      </c>
      <c r="R1010" s="30"/>
      <c r="S1010" s="30"/>
    </row>
    <row r="1011" spans="1:19" ht="13" x14ac:dyDescent="0.3">
      <c r="A1011" s="52" t="s">
        <v>1027</v>
      </c>
      <c r="B1011" s="6">
        <v>36.79</v>
      </c>
      <c r="C1011" s="1">
        <v>1.5533300000000001</v>
      </c>
      <c r="D1011" s="6">
        <v>2.8966699999999999</v>
      </c>
      <c r="E1011" s="6">
        <v>26.7</v>
      </c>
      <c r="F1011" s="1">
        <f t="shared" si="75"/>
        <v>1955.1249999999236</v>
      </c>
      <c r="G1011" s="17">
        <v>2.65</v>
      </c>
      <c r="H1011" s="1">
        <f>B1011*$E$1867/E1011</f>
        <v>461.76996058052436</v>
      </c>
      <c r="I1011" s="1">
        <f>C1011*$E$1867/E1011</f>
        <v>19.496633130430713</v>
      </c>
      <c r="J1011" s="26">
        <f t="shared" si="76"/>
        <v>41352.458296565484</v>
      </c>
      <c r="K1011" s="1">
        <f>D1011*$E$1867/E1011</f>
        <v>36.357575202902623</v>
      </c>
      <c r="L1011" s="26">
        <f t="shared" si="74"/>
        <v>3255.8963135067233</v>
      </c>
      <c r="M1011" s="10">
        <f t="shared" si="72"/>
        <v>16.437728215987121</v>
      </c>
      <c r="N1011" s="4">
        <f t="shared" si="73"/>
        <v>21.056961301473908</v>
      </c>
      <c r="O1011" s="36">
        <f>1/M1011-(G1011/100-(((E1011/E891)^(1/10))-1))</f>
        <v>7.5715401259660781E-2</v>
      </c>
      <c r="P1011" s="48">
        <v>1.17</v>
      </c>
      <c r="R1011" s="30"/>
      <c r="S1011" s="30"/>
    </row>
    <row r="1012" spans="1:19" ht="13" x14ac:dyDescent="0.3">
      <c r="A1012" s="52" t="s">
        <v>1028</v>
      </c>
      <c r="B1012" s="6">
        <v>36.5</v>
      </c>
      <c r="C1012" s="1">
        <v>1.56</v>
      </c>
      <c r="D1012" s="6">
        <v>2.96</v>
      </c>
      <c r="E1012" s="6">
        <v>26.7</v>
      </c>
      <c r="F1012" s="1">
        <f t="shared" si="75"/>
        <v>1955.2083333332569</v>
      </c>
      <c r="G1012" s="17">
        <v>2.68</v>
      </c>
      <c r="H1012" s="1">
        <f>B1012*$E$1867/E1012</f>
        <v>458.13002340823971</v>
      </c>
      <c r="I1012" s="1">
        <f>C1012*$E$1867/E1012</f>
        <v>19.580351685393257</v>
      </c>
      <c r="J1012" s="26">
        <f t="shared" si="76"/>
        <v>41172.616129469796</v>
      </c>
      <c r="K1012" s="1">
        <f>D1012*$E$1867/E1012</f>
        <v>37.152462172284643</v>
      </c>
      <c r="L1012" s="26">
        <f t="shared" si="74"/>
        <v>3338.9299655679615</v>
      </c>
      <c r="M1012" s="10">
        <f t="shared" si="72"/>
        <v>16.219282945537799</v>
      </c>
      <c r="N1012" s="4">
        <f t="shared" si="73"/>
        <v>20.759297152464619</v>
      </c>
      <c r="O1012" s="36">
        <f>1/M1012-(G1012/100-(((E1012/E892)^(1/10))-1))</f>
        <v>7.6234750774021587E-2</v>
      </c>
      <c r="P1012" s="48">
        <v>1.28</v>
      </c>
      <c r="R1012" s="30"/>
      <c r="S1012" s="30"/>
    </row>
    <row r="1013" spans="1:19" ht="13" x14ac:dyDescent="0.3">
      <c r="A1013" s="52" t="s">
        <v>1029</v>
      </c>
      <c r="B1013" s="6">
        <v>37.76</v>
      </c>
      <c r="C1013" s="1">
        <v>1.5633300000000001</v>
      </c>
      <c r="D1013" s="6">
        <v>3.0466700000000002</v>
      </c>
      <c r="E1013" s="6">
        <v>26.7</v>
      </c>
      <c r="F1013" s="1">
        <f t="shared" si="75"/>
        <v>1955.2916666665901</v>
      </c>
      <c r="G1013" s="17">
        <v>2.75</v>
      </c>
      <c r="H1013" s="1">
        <f>B1013*$E$1867/E1013</f>
        <v>473.94492284644195</v>
      </c>
      <c r="I1013" s="1">
        <f>C1013*$E$1867/E1013</f>
        <v>19.62214820533708</v>
      </c>
      <c r="J1013" s="26">
        <f t="shared" si="76"/>
        <v>42740.872617714696</v>
      </c>
      <c r="K1013" s="1">
        <f>D1013*$E$1867/E1013</f>
        <v>38.240301326498134</v>
      </c>
      <c r="L1013" s="26">
        <f t="shared" si="74"/>
        <v>3448.5522875586034</v>
      </c>
      <c r="M1013" s="10">
        <f t="shared" si="72"/>
        <v>16.685266628063509</v>
      </c>
      <c r="N1013" s="4">
        <f t="shared" si="73"/>
        <v>21.33404774609108</v>
      </c>
      <c r="O1013" s="36">
        <f>1/M1013-(G1013/100-(((E1013/E893)^(1/10))-1))</f>
        <v>7.3812858775129553E-2</v>
      </c>
      <c r="P1013" s="48">
        <v>1.59</v>
      </c>
      <c r="R1013" s="30"/>
      <c r="S1013" s="30"/>
    </row>
    <row r="1014" spans="1:19" ht="13" x14ac:dyDescent="0.3">
      <c r="A1014" s="52" t="s">
        <v>1030</v>
      </c>
      <c r="B1014" s="6">
        <v>37.6</v>
      </c>
      <c r="C1014" s="1">
        <v>1.56667</v>
      </c>
      <c r="D1014" s="6">
        <v>3.1333299999999999</v>
      </c>
      <c r="E1014" s="6">
        <v>26.7</v>
      </c>
      <c r="F1014" s="1">
        <f t="shared" si="75"/>
        <v>1955.3749999999234</v>
      </c>
      <c r="G1014" s="17">
        <v>2.76</v>
      </c>
      <c r="H1014" s="1">
        <f>B1014*$E$1867/E1014</f>
        <v>471.93668164794008</v>
      </c>
      <c r="I1014" s="1">
        <f>C1014*$E$1867/E1014</f>
        <v>19.664070240355805</v>
      </c>
      <c r="J1014" s="26">
        <f t="shared" si="76"/>
        <v>42707.544509218016</v>
      </c>
      <c r="K1014" s="1">
        <f>D1014*$E$1867/E1014</f>
        <v>39.328014965636697</v>
      </c>
      <c r="L1014" s="26">
        <f t="shared" si="74"/>
        <v>3558.9582563050017</v>
      </c>
      <c r="M1014" s="10">
        <f t="shared" si="72"/>
        <v>16.518057827257802</v>
      </c>
      <c r="N1014" s="4">
        <f t="shared" si="73"/>
        <v>21.097803794241617</v>
      </c>
      <c r="O1014" s="36">
        <f>1/M1014-(G1014/100-(((E1014/E894)^(1/10))-1))</f>
        <v>7.3736304846531139E-2</v>
      </c>
      <c r="P1014" s="48">
        <v>1.45</v>
      </c>
      <c r="R1014" s="30"/>
      <c r="S1014" s="30"/>
    </row>
    <row r="1015" spans="1:19" ht="13" x14ac:dyDescent="0.3">
      <c r="A1015" s="52" t="s">
        <v>1031</v>
      </c>
      <c r="B1015" s="6">
        <v>39.78</v>
      </c>
      <c r="C1015" s="1">
        <v>1.57</v>
      </c>
      <c r="D1015" s="6">
        <v>3.22</v>
      </c>
      <c r="E1015" s="6">
        <v>26.7</v>
      </c>
      <c r="F1015" s="1">
        <f t="shared" si="75"/>
        <v>1955.4583333332566</v>
      </c>
      <c r="G1015" s="17">
        <v>2.78</v>
      </c>
      <c r="H1015" s="1">
        <f>B1015*$E$1867/E1015</f>
        <v>499.29896797752815</v>
      </c>
      <c r="I1015" s="1">
        <f>C1015*$E$1867/E1015</f>
        <v>19.705866760299624</v>
      </c>
      <c r="J1015" s="26">
        <f t="shared" si="76"/>
        <v>45332.279015513712</v>
      </c>
      <c r="K1015" s="1">
        <f>D1015*$E$1867/E1015</f>
        <v>40.415854119850195</v>
      </c>
      <c r="L1015" s="26">
        <f t="shared" si="74"/>
        <v>3669.4303275503812</v>
      </c>
      <c r="M1015" s="10">
        <f t="shared" si="72"/>
        <v>17.370091963405315</v>
      </c>
      <c r="N1015" s="4">
        <f t="shared" si="73"/>
        <v>22.157121672370558</v>
      </c>
      <c r="O1015" s="36">
        <f>1/M1015-(G1015/100-(((E1015/E895)^(1/10))-1))</f>
        <v>6.9410908719140643E-2</v>
      </c>
      <c r="P1015" s="48">
        <v>1.41</v>
      </c>
      <c r="R1015" s="30"/>
      <c r="S1015" s="30"/>
    </row>
    <row r="1016" spans="1:19" ht="13" x14ac:dyDescent="0.3">
      <c r="A1016" s="52" t="s">
        <v>1032</v>
      </c>
      <c r="B1016" s="6">
        <v>42.69</v>
      </c>
      <c r="C1016" s="1">
        <v>1.58667</v>
      </c>
      <c r="D1016" s="6">
        <v>3.2933300000000001</v>
      </c>
      <c r="E1016" s="6">
        <v>26.8</v>
      </c>
      <c r="F1016" s="1">
        <f t="shared" si="75"/>
        <v>1955.5416666665899</v>
      </c>
      <c r="G1016" s="17">
        <v>2.9</v>
      </c>
      <c r="H1016" s="1">
        <f>B1016*$E$1867/E1016</f>
        <v>533.82451203358198</v>
      </c>
      <c r="I1016" s="1">
        <f>C1016*$E$1867/E1016</f>
        <v>19.840790314085819</v>
      </c>
      <c r="J1016" s="26">
        <f t="shared" si="76"/>
        <v>48617.032349750785</v>
      </c>
      <c r="K1016" s="1">
        <f>D1016*$E$1867/E1016</f>
        <v>41.182016402332096</v>
      </c>
      <c r="L1016" s="26">
        <f t="shared" si="74"/>
        <v>3750.572292068513</v>
      </c>
      <c r="M1016" s="10">
        <f t="shared" si="72"/>
        <v>18.454031906632878</v>
      </c>
      <c r="N1016" s="4">
        <f t="shared" si="73"/>
        <v>23.503510201463104</v>
      </c>
      <c r="O1016" s="36">
        <f>1/M1016-(G1016/100-(((E1016/E896)^(1/10))-1))</f>
        <v>6.5218113524167773E-2</v>
      </c>
      <c r="P1016" s="48">
        <v>1.6</v>
      </c>
      <c r="R1016" s="30"/>
      <c r="S1016" s="30"/>
    </row>
    <row r="1017" spans="1:19" ht="13" x14ac:dyDescent="0.3">
      <c r="A1017" s="52" t="s">
        <v>1033</v>
      </c>
      <c r="B1017" s="6">
        <v>42.43</v>
      </c>
      <c r="C1017" s="1">
        <v>1.6033299999999999</v>
      </c>
      <c r="D1017" s="6">
        <v>3.3666700000000001</v>
      </c>
      <c r="E1017" s="6">
        <v>26.8</v>
      </c>
      <c r="F1017" s="1">
        <f t="shared" si="75"/>
        <v>1955.6249999999231</v>
      </c>
      <c r="G1017" s="17">
        <v>2.97</v>
      </c>
      <c r="H1017" s="1">
        <f>B1017*$E$1867/E1017</f>
        <v>530.57329692164183</v>
      </c>
      <c r="I1017" s="1">
        <f>C1017*$E$1867/E1017</f>
        <v>20.049118174720146</v>
      </c>
      <c r="J1017" s="26">
        <f t="shared" si="76"/>
        <v>48473.095451074492</v>
      </c>
      <c r="K1017" s="1">
        <f>D1017*$E$1867/E1017</f>
        <v>42.099109157369405</v>
      </c>
      <c r="L1017" s="26">
        <f t="shared" si="74"/>
        <v>3846.16818907068</v>
      </c>
      <c r="M1017" s="10">
        <f t="shared" si="72"/>
        <v>18.222326463047761</v>
      </c>
      <c r="N1017" s="4">
        <f t="shared" si="73"/>
        <v>23.17369665448264</v>
      </c>
      <c r="O1017" s="36">
        <f>1/M1017-(G1017/100-(((E1017/E897)^(1/10))-1))</f>
        <v>6.5207148308589688E-2</v>
      </c>
      <c r="P1017" s="48">
        <v>1.9</v>
      </c>
      <c r="R1017" s="30"/>
      <c r="S1017" s="30"/>
    </row>
    <row r="1018" spans="1:19" ht="13" x14ac:dyDescent="0.3">
      <c r="A1018" s="52" t="s">
        <v>1034</v>
      </c>
      <c r="B1018" s="6">
        <v>44.34</v>
      </c>
      <c r="C1018" s="1">
        <v>1.62</v>
      </c>
      <c r="D1018" s="6">
        <v>3.44</v>
      </c>
      <c r="E1018" s="6">
        <v>26.9</v>
      </c>
      <c r="F1018" s="1">
        <f t="shared" si="75"/>
        <v>1955.7083333332564</v>
      </c>
      <c r="G1018" s="17">
        <v>2.97</v>
      </c>
      <c r="H1018" s="1">
        <f>B1018*$E$1867/E1018</f>
        <v>552.39604405204466</v>
      </c>
      <c r="I1018" s="1">
        <f>C1018*$E$1867/E1018</f>
        <v>20.182264126394056</v>
      </c>
      <c r="J1018" s="26">
        <f t="shared" si="76"/>
        <v>50620.472346755443</v>
      </c>
      <c r="K1018" s="1">
        <f>D1018*$E$1867/E1018</f>
        <v>42.856165799256509</v>
      </c>
      <c r="L1018" s="26">
        <f t="shared" si="74"/>
        <v>3927.2536056120598</v>
      </c>
      <c r="M1018" s="10">
        <f t="shared" ref="M1018:M1081" si="77">H1018/AVERAGE(K898:K1017)</f>
        <v>18.843960654261316</v>
      </c>
      <c r="N1018" s="4">
        <f t="shared" ref="N1018:N1081" si="78">J1018/AVERAGE(L898:L1017)</f>
        <v>23.925531307723052</v>
      </c>
      <c r="O1018" s="36">
        <f>1/M1018-(G1018/100-(((E1018/E898)^(1/10))-1))</f>
        <v>6.378423418526824E-2</v>
      </c>
      <c r="P1018" s="48">
        <v>2.0699999999999998</v>
      </c>
      <c r="R1018" s="30"/>
      <c r="S1018" s="30"/>
    </row>
    <row r="1019" spans="1:19" ht="13" x14ac:dyDescent="0.3">
      <c r="A1019" s="52" t="s">
        <v>1035</v>
      </c>
      <c r="B1019" s="6">
        <v>42.11</v>
      </c>
      <c r="C1019" s="1">
        <v>1.6266700000000001</v>
      </c>
      <c r="D1019" s="6">
        <v>3.5</v>
      </c>
      <c r="E1019" s="6">
        <v>26.9</v>
      </c>
      <c r="F1019" s="1">
        <f t="shared" si="75"/>
        <v>1955.7916666665897</v>
      </c>
      <c r="G1019" s="17">
        <v>2.88</v>
      </c>
      <c r="H1019" s="1">
        <f>B1019*$E$1867/E1019</f>
        <v>524.61428540892189</v>
      </c>
      <c r="I1019" s="1">
        <f>C1019*$E$1867/E1019</f>
        <v>20.265360238568775</v>
      </c>
      <c r="J1019" s="26">
        <f t="shared" si="76"/>
        <v>48229.363798704617</v>
      </c>
      <c r="K1019" s="1">
        <f>D1019*$E$1867/E1019</f>
        <v>43.603657063197026</v>
      </c>
      <c r="L1019" s="26">
        <f t="shared" si="74"/>
        <v>4008.6148965914549</v>
      </c>
      <c r="M1019" s="10">
        <f t="shared" si="77"/>
        <v>17.772325789386098</v>
      </c>
      <c r="N1019" s="4">
        <f t="shared" si="78"/>
        <v>22.53236630332378</v>
      </c>
      <c r="O1019" s="36">
        <f>1/M1019-(G1019/100-(((E1019/E899)^(1/10))-1))</f>
        <v>6.7884089783085688E-2</v>
      </c>
      <c r="P1019" s="48">
        <v>2.23</v>
      </c>
      <c r="R1019" s="30"/>
      <c r="S1019" s="30"/>
    </row>
    <row r="1020" spans="1:19" ht="13" x14ac:dyDescent="0.3">
      <c r="A1020" s="52" t="s">
        <v>1036</v>
      </c>
      <c r="B1020" s="6">
        <v>44.95</v>
      </c>
      <c r="C1020" s="1">
        <v>1.6333299999999999</v>
      </c>
      <c r="D1020" s="6">
        <v>3.56</v>
      </c>
      <c r="E1020" s="6">
        <v>26.9</v>
      </c>
      <c r="F1020" s="1">
        <f t="shared" si="75"/>
        <v>1955.8749999999229</v>
      </c>
      <c r="G1020" s="17">
        <v>2.89</v>
      </c>
      <c r="H1020" s="1">
        <f>B1020*$E$1867/E1020</f>
        <v>559.99553856877333</v>
      </c>
      <c r="I1020" s="1">
        <f>C1020*$E$1867/E1020</f>
        <v>20.348331768866174</v>
      </c>
      <c r="J1020" s="26">
        <f t="shared" si="76"/>
        <v>51637.958718820977</v>
      </c>
      <c r="K1020" s="1">
        <f>D1020*$E$1867/E1020</f>
        <v>44.351148327137551</v>
      </c>
      <c r="L1020" s="26">
        <f t="shared" si="74"/>
        <v>4089.6803790656877</v>
      </c>
      <c r="M1020" s="10">
        <f t="shared" si="77"/>
        <v>18.835559288273906</v>
      </c>
      <c r="N1020" s="4">
        <f t="shared" si="78"/>
        <v>23.841583744997831</v>
      </c>
      <c r="O1020" s="36">
        <f>1/M1020-(G1020/100-(((E1020/E900)^(1/10))-1))</f>
        <v>6.4607904236347491E-2</v>
      </c>
      <c r="P1020" s="48">
        <v>2.2400000000000002</v>
      </c>
      <c r="R1020" s="30"/>
      <c r="S1020" s="30"/>
    </row>
    <row r="1021" spans="1:19" ht="13" x14ac:dyDescent="0.3">
      <c r="A1021" s="52" t="s">
        <v>1037</v>
      </c>
      <c r="B1021" s="6">
        <v>45.37</v>
      </c>
      <c r="C1021" s="1">
        <v>1.64</v>
      </c>
      <c r="D1021" s="6">
        <v>3.62</v>
      </c>
      <c r="E1021" s="6">
        <v>26.8</v>
      </c>
      <c r="F1021" s="1">
        <f t="shared" si="75"/>
        <v>1955.9583333332562</v>
      </c>
      <c r="G1021" s="17">
        <v>2.96</v>
      </c>
      <c r="H1021" s="1">
        <f>B1021*$E$1867/E1021</f>
        <v>567.33703703358196</v>
      </c>
      <c r="I1021" s="1">
        <f>C1021*$E$1867/E1021</f>
        <v>20.507664552238804</v>
      </c>
      <c r="J1021" s="26">
        <f t="shared" si="76"/>
        <v>52472.515050856251</v>
      </c>
      <c r="K1021" s="1">
        <f>D1021*$E$1867/E1021</f>
        <v>45.266918097014923</v>
      </c>
      <c r="L1021" s="26">
        <f t="shared" si="74"/>
        <v>4186.69835759532</v>
      </c>
      <c r="M1021" s="10">
        <f t="shared" si="77"/>
        <v>18.942369035813577</v>
      </c>
      <c r="N1021" s="4">
        <f t="shared" si="78"/>
        <v>23.937765745387576</v>
      </c>
      <c r="O1021" s="36">
        <f>1/M1021-(G1021/100-(((E1021/E901)^(1/10))-1))</f>
        <v>6.2648258086002703E-2</v>
      </c>
      <c r="P1021" s="48">
        <v>2.54</v>
      </c>
      <c r="R1021" s="30"/>
      <c r="S1021" s="30"/>
    </row>
    <row r="1022" spans="1:19" ht="13" x14ac:dyDescent="0.3">
      <c r="A1022" s="52" t="s">
        <v>1038</v>
      </c>
      <c r="B1022" s="6">
        <v>44.15</v>
      </c>
      <c r="C1022" s="1">
        <v>1.67</v>
      </c>
      <c r="D1022" s="6">
        <v>3.6433300000000002</v>
      </c>
      <c r="E1022" s="6">
        <v>26.8</v>
      </c>
      <c r="F1022" s="1">
        <f t="shared" si="75"/>
        <v>1956.0416666665894</v>
      </c>
      <c r="G1022" s="17">
        <v>2.9</v>
      </c>
      <c r="H1022" s="1">
        <f>B1022*$E$1867/E1022</f>
        <v>552.08133535447757</v>
      </c>
      <c r="I1022" s="1">
        <f>C1022*$E$1867/E1022</f>
        <v>20.882804757462686</v>
      </c>
      <c r="J1022" s="26">
        <f t="shared" si="76"/>
        <v>51222.481033867043</v>
      </c>
      <c r="K1022" s="1">
        <f>D1022*$E$1867/E1022</f>
        <v>45.558652129944029</v>
      </c>
      <c r="L1022" s="26">
        <f t="shared" si="74"/>
        <v>4226.962668745613</v>
      </c>
      <c r="M1022" s="10">
        <f t="shared" si="77"/>
        <v>18.292585385418896</v>
      </c>
      <c r="N1022" s="4">
        <f t="shared" si="78"/>
        <v>23.082459084217543</v>
      </c>
      <c r="O1022" s="36">
        <f>1/M1022-(G1022/100-(((E1022/E902)^(1/10))-1))</f>
        <v>6.5123509041438488E-2</v>
      </c>
      <c r="P1022" s="48">
        <v>2.41</v>
      </c>
      <c r="R1022" s="30"/>
      <c r="S1022" s="30"/>
    </row>
    <row r="1023" spans="1:19" ht="13" x14ac:dyDescent="0.3">
      <c r="A1023" s="52" t="s">
        <v>1039</v>
      </c>
      <c r="B1023" s="6">
        <v>44.43</v>
      </c>
      <c r="C1023" s="1">
        <v>1.7</v>
      </c>
      <c r="D1023" s="6">
        <v>3.6666699999999999</v>
      </c>
      <c r="E1023" s="6">
        <v>26.8</v>
      </c>
      <c r="F1023" s="1">
        <f t="shared" si="75"/>
        <v>1956.1249999999227</v>
      </c>
      <c r="G1023" s="17">
        <v>2.84</v>
      </c>
      <c r="H1023" s="1">
        <f>B1023*$E$1867/E1023</f>
        <v>555.58264393656714</v>
      </c>
      <c r="I1023" s="1">
        <f>C1023*$E$1867/E1023</f>
        <v>21.257944962686565</v>
      </c>
      <c r="J1023" s="26">
        <f t="shared" si="76"/>
        <v>51711.695367637083</v>
      </c>
      <c r="K1023" s="1">
        <f>D1023*$E$1867/E1023</f>
        <v>45.8505112096082</v>
      </c>
      <c r="L1023" s="26">
        <f t="shared" si="74"/>
        <v>4267.6057180655826</v>
      </c>
      <c r="M1023" s="10">
        <f t="shared" si="77"/>
        <v>18.266116815127788</v>
      </c>
      <c r="N1023" s="4">
        <f t="shared" si="78"/>
        <v>23.017216418743033</v>
      </c>
      <c r="O1023" s="36">
        <f>1/M1023-(G1023/100-(((E1023/E903)^(1/10))-1))</f>
        <v>6.6375586939811451E-2</v>
      </c>
      <c r="P1023" s="48">
        <v>2.3199999999999998</v>
      </c>
      <c r="R1023" s="30"/>
      <c r="S1023" s="30"/>
    </row>
    <row r="1024" spans="1:19" ht="13" x14ac:dyDescent="0.3">
      <c r="A1024" s="52" t="s">
        <v>1040</v>
      </c>
      <c r="B1024" s="6">
        <v>47.49</v>
      </c>
      <c r="C1024" s="1">
        <v>1.73</v>
      </c>
      <c r="D1024" s="6">
        <v>3.69</v>
      </c>
      <c r="E1024" s="6">
        <v>26.8</v>
      </c>
      <c r="F1024" s="1">
        <f t="shared" si="75"/>
        <v>1956.208333333256</v>
      </c>
      <c r="G1024" s="17">
        <v>2.96</v>
      </c>
      <c r="H1024" s="1">
        <f>B1024*$E$1867/E1024</f>
        <v>593.84694486940293</v>
      </c>
      <c r="I1024" s="1">
        <f>C1024*$E$1867/E1024</f>
        <v>21.633085167910448</v>
      </c>
      <c r="J1024" s="26">
        <f t="shared" si="76"/>
        <v>55440.997428717521</v>
      </c>
      <c r="K1024" s="1">
        <f>D1024*$E$1867/E1024</f>
        <v>46.142245242537314</v>
      </c>
      <c r="L1024" s="26">
        <f t="shared" si="74"/>
        <v>4307.7970206773562</v>
      </c>
      <c r="M1024" s="10">
        <f t="shared" si="77"/>
        <v>19.371210099299969</v>
      </c>
      <c r="N1024" s="4">
        <f t="shared" si="78"/>
        <v>24.373586635398759</v>
      </c>
      <c r="O1024" s="36">
        <f>1/M1024-(G1024/100-(((E1024/E904)^(1/10))-1))</f>
        <v>6.0910141321596029E-2</v>
      </c>
      <c r="P1024" s="48">
        <v>2.25</v>
      </c>
      <c r="R1024" s="30"/>
      <c r="S1024" s="30"/>
    </row>
    <row r="1025" spans="1:19" ht="13" x14ac:dyDescent="0.3">
      <c r="A1025" s="52" t="s">
        <v>1041</v>
      </c>
      <c r="B1025" s="6">
        <v>48.05</v>
      </c>
      <c r="C1025" s="1">
        <v>1.7533300000000001</v>
      </c>
      <c r="D1025" s="6">
        <v>3.66</v>
      </c>
      <c r="E1025" s="6">
        <v>26.9</v>
      </c>
      <c r="F1025" s="1">
        <f t="shared" si="75"/>
        <v>1956.2916666665892</v>
      </c>
      <c r="G1025" s="17">
        <v>3.18</v>
      </c>
      <c r="H1025" s="1">
        <f>B1025*$E$1867/E1025</f>
        <v>598.61592053903337</v>
      </c>
      <c r="I1025" s="1">
        <f>C1025*$E$1867/E1025</f>
        <v>21.843314296747213</v>
      </c>
      <c r="J1025" s="26">
        <f t="shared" si="76"/>
        <v>56056.163842623471</v>
      </c>
      <c r="K1025" s="1">
        <f>D1025*$E$1867/E1025</f>
        <v>45.596967100371749</v>
      </c>
      <c r="L1025" s="26">
        <f t="shared" si="74"/>
        <v>4269.8347484703845</v>
      </c>
      <c r="M1025" s="10">
        <f t="shared" si="77"/>
        <v>19.370593634578501</v>
      </c>
      <c r="N1025" s="4">
        <f t="shared" si="78"/>
        <v>24.338669114170266</v>
      </c>
      <c r="O1025" s="36">
        <f>1/M1025-(G1025/100-(((E1025/E905)^(1/10))-1))</f>
        <v>5.8532570272147331E-2</v>
      </c>
      <c r="P1025" s="48">
        <v>2.6</v>
      </c>
      <c r="R1025" s="30"/>
      <c r="S1025" s="30"/>
    </row>
    <row r="1026" spans="1:19" ht="13" x14ac:dyDescent="0.3">
      <c r="A1026" s="52" t="s">
        <v>1042</v>
      </c>
      <c r="B1026" s="6">
        <v>46.54</v>
      </c>
      <c r="C1026" s="1">
        <v>1.77667</v>
      </c>
      <c r="D1026" s="6">
        <v>3.63</v>
      </c>
      <c r="E1026" s="6">
        <v>27</v>
      </c>
      <c r="F1026" s="1">
        <f t="shared" si="75"/>
        <v>1956.3749999999225</v>
      </c>
      <c r="G1026" s="17">
        <v>3.07</v>
      </c>
      <c r="H1026" s="1">
        <f>B1026*$E$1867/E1026</f>
        <v>577.65663462962959</v>
      </c>
      <c r="I1026" s="1">
        <f>C1026*$E$1867/E1026</f>
        <v>22.052110293240737</v>
      </c>
      <c r="J1026" s="26">
        <f t="shared" si="76"/>
        <v>54265.559768772669</v>
      </c>
      <c r="K1026" s="1">
        <f>D1026*$E$1867/E1026</f>
        <v>45.055728055555555</v>
      </c>
      <c r="L1026" s="26">
        <f t="shared" si="74"/>
        <v>4232.5737421711392</v>
      </c>
      <c r="M1026" s="10">
        <f t="shared" si="77"/>
        <v>18.544506591754438</v>
      </c>
      <c r="N1026" s="4">
        <f t="shared" si="78"/>
        <v>23.274196470664442</v>
      </c>
      <c r="O1026" s="36">
        <f>1/M1026-(G1026/100-(((E1026/E906)^(1/10))-1))</f>
        <v>6.1754700568371242E-2</v>
      </c>
      <c r="P1026" s="48">
        <v>2.61</v>
      </c>
      <c r="R1026" s="30"/>
      <c r="S1026" s="30"/>
    </row>
    <row r="1027" spans="1:19" ht="13" x14ac:dyDescent="0.3">
      <c r="A1027" s="52" t="s">
        <v>1043</v>
      </c>
      <c r="B1027" s="6">
        <v>46.27</v>
      </c>
      <c r="C1027" s="1">
        <v>1.8</v>
      </c>
      <c r="D1027" s="6">
        <v>3.6</v>
      </c>
      <c r="E1027" s="6">
        <v>27.2</v>
      </c>
      <c r="F1027" s="1">
        <f t="shared" si="75"/>
        <v>1956.4583333332557</v>
      </c>
      <c r="G1027" s="17">
        <v>3</v>
      </c>
      <c r="H1027" s="1">
        <f>B1027*$E$1867/E1027</f>
        <v>570.08254843750001</v>
      </c>
      <c r="I1027" s="1">
        <f>C1027*$E$1867/E1027</f>
        <v>22.177406250000001</v>
      </c>
      <c r="J1027" s="26">
        <f t="shared" si="76"/>
        <v>53727.657328763315</v>
      </c>
      <c r="K1027" s="1">
        <f>D1027*$E$1867/E1027</f>
        <v>44.354812500000001</v>
      </c>
      <c r="L1027" s="26">
        <f t="shared" ref="L1027:L1090" si="79">K1027*(J1027/H1027)</f>
        <v>4180.2370085054672</v>
      </c>
      <c r="M1027" s="10">
        <f t="shared" si="77"/>
        <v>18.158163846958701</v>
      </c>
      <c r="N1027" s="4">
        <f t="shared" si="78"/>
        <v>22.767416558558146</v>
      </c>
      <c r="O1027" s="36">
        <f>1/M1027-(G1027/100-(((E1027/E907)^(1/10))-1))</f>
        <v>6.3251818698492793E-2</v>
      </c>
      <c r="P1027" s="48">
        <v>2.4900000000000002</v>
      </c>
      <c r="R1027" s="30"/>
      <c r="S1027" s="30"/>
    </row>
    <row r="1028" spans="1:19" ht="13" x14ac:dyDescent="0.3">
      <c r="A1028" s="52" t="s">
        <v>1044</v>
      </c>
      <c r="B1028" s="6">
        <v>48.78</v>
      </c>
      <c r="C1028" s="1">
        <v>1.8133300000000001</v>
      </c>
      <c r="D1028" s="6">
        <v>3.5533299999999999</v>
      </c>
      <c r="E1028" s="6">
        <v>27.4</v>
      </c>
      <c r="F1028" s="1">
        <f t="shared" ref="F1028:F1091" si="80">F1027+1/12</f>
        <v>1956.541666666589</v>
      </c>
      <c r="G1028" s="17">
        <v>3.11</v>
      </c>
      <c r="H1028" s="1">
        <f>B1028*$E$1867/E1028</f>
        <v>596.62079178832118</v>
      </c>
      <c r="I1028" s="1">
        <f>C1028*$E$1867/E1028</f>
        <v>22.178564583302922</v>
      </c>
      <c r="J1028" s="26">
        <f t="shared" ref="J1028:J1091" si="81">J1027*((H1028+(I1028/12))/H1027)</f>
        <v>56402.950305552426</v>
      </c>
      <c r="K1028" s="1">
        <f>D1028*$E$1867/E1028</f>
        <v>43.460241043156934</v>
      </c>
      <c r="L1028" s="26">
        <f t="shared" si="79"/>
        <v>4108.6161420506069</v>
      </c>
      <c r="M1028" s="10">
        <f t="shared" si="77"/>
        <v>18.85679759689679</v>
      </c>
      <c r="N1028" s="4">
        <f t="shared" si="78"/>
        <v>23.62031167520173</v>
      </c>
      <c r="O1028" s="36">
        <f>1/M1028-(G1028/100-(((E1028/E908)^(1/10))-1))</f>
        <v>5.4950815885390317E-2</v>
      </c>
      <c r="P1028" s="48">
        <v>2.31</v>
      </c>
      <c r="R1028" s="30"/>
      <c r="S1028" s="30"/>
    </row>
    <row r="1029" spans="1:19" ht="13" x14ac:dyDescent="0.3">
      <c r="A1029" s="52" t="s">
        <v>1045</v>
      </c>
      <c r="B1029" s="6">
        <v>48.49</v>
      </c>
      <c r="C1029" s="1">
        <v>1.82667</v>
      </c>
      <c r="D1029" s="6">
        <v>3.5066700000000002</v>
      </c>
      <c r="E1029" s="6">
        <v>27.3</v>
      </c>
      <c r="F1029" s="1">
        <f t="shared" si="80"/>
        <v>1956.6249999999222</v>
      </c>
      <c r="G1029" s="17">
        <v>3.33</v>
      </c>
      <c r="H1029" s="1">
        <f>B1029*$E$1867/E1029</f>
        <v>595.24627738095239</v>
      </c>
      <c r="I1029" s="1">
        <f>C1029*$E$1867/E1029</f>
        <v>22.423561920054944</v>
      </c>
      <c r="J1029" s="26">
        <f t="shared" si="81"/>
        <v>56449.662700803638</v>
      </c>
      <c r="K1029" s="1">
        <f>D1029*$E$1867/E1029</f>
        <v>43.046654227747254</v>
      </c>
      <c r="L1029" s="26">
        <f t="shared" si="79"/>
        <v>4082.2919922257597</v>
      </c>
      <c r="M1029" s="10">
        <f t="shared" si="77"/>
        <v>18.670937110186422</v>
      </c>
      <c r="N1029" s="4">
        <f t="shared" si="78"/>
        <v>23.368947299227312</v>
      </c>
      <c r="O1029" s="36">
        <f>1/M1029-(G1029/100-(((E1029/E909)^(1/10))-1))</f>
        <v>5.0837793863342431E-2</v>
      </c>
      <c r="P1029" s="48">
        <v>2.6</v>
      </c>
      <c r="R1029" s="30"/>
      <c r="S1029" s="30"/>
    </row>
    <row r="1030" spans="1:19" ht="13" x14ac:dyDescent="0.3">
      <c r="A1030" s="52" t="s">
        <v>1046</v>
      </c>
      <c r="B1030" s="6">
        <v>46.84</v>
      </c>
      <c r="C1030" s="1">
        <v>1.84</v>
      </c>
      <c r="D1030" s="6">
        <v>3.46</v>
      </c>
      <c r="E1030" s="6">
        <v>27.4</v>
      </c>
      <c r="F1030" s="1">
        <f t="shared" si="80"/>
        <v>1956.7083333332555</v>
      </c>
      <c r="G1030" s="17">
        <v>3.38</v>
      </c>
      <c r="H1030" s="1">
        <f>B1030*$E$1867/E1030</f>
        <v>572.89294562043801</v>
      </c>
      <c r="I1030" s="1">
        <f>C1030*$E$1867/E1030</f>
        <v>22.504761313868613</v>
      </c>
      <c r="J1030" s="26">
        <f t="shared" si="81"/>
        <v>54507.655557538099</v>
      </c>
      <c r="K1030" s="1">
        <f>D1030*$E$1867/E1030</f>
        <v>42.318735948905115</v>
      </c>
      <c r="L1030" s="26">
        <f t="shared" si="79"/>
        <v>4026.3981261546078</v>
      </c>
      <c r="M1030" s="10">
        <f t="shared" si="77"/>
        <v>17.836640796312022</v>
      </c>
      <c r="N1030" s="4">
        <f t="shared" si="78"/>
        <v>22.311473210449886</v>
      </c>
      <c r="O1030" s="36">
        <f>1/M1030-(G1030/100-(((E1030/E910)^(1/10))-1))</f>
        <v>5.220463938019157E-2</v>
      </c>
      <c r="P1030" s="48">
        <v>2.84</v>
      </c>
      <c r="R1030" s="30"/>
      <c r="S1030" s="30"/>
    </row>
    <row r="1031" spans="1:19" ht="13" x14ac:dyDescent="0.3">
      <c r="A1031" s="52" t="s">
        <v>1047</v>
      </c>
      <c r="B1031" s="6">
        <v>46.24</v>
      </c>
      <c r="C1031" s="1">
        <v>1.80667</v>
      </c>
      <c r="D1031" s="6">
        <v>3.44333</v>
      </c>
      <c r="E1031" s="6">
        <v>27.5</v>
      </c>
      <c r="F1031" s="1">
        <f t="shared" si="80"/>
        <v>1956.7916666665888</v>
      </c>
      <c r="G1031" s="17">
        <v>3.34</v>
      </c>
      <c r="H1031" s="1">
        <f>B1031*$E$1867/E1031</f>
        <v>563.49787490909091</v>
      </c>
      <c r="I1031" s="1">
        <f>C1031*$E$1867/E1031</f>
        <v>22.016754015181817</v>
      </c>
      <c r="J1031" s="26">
        <f t="shared" si="81"/>
        <v>53788.330109866009</v>
      </c>
      <c r="K1031" s="1">
        <f>D1031*$E$1867/E1031</f>
        <v>41.961702803000001</v>
      </c>
      <c r="L1031" s="26">
        <f t="shared" si="79"/>
        <v>4005.4275674136011</v>
      </c>
      <c r="M1031" s="10">
        <f t="shared" si="77"/>
        <v>17.418952948636129</v>
      </c>
      <c r="N1031" s="4">
        <f t="shared" si="78"/>
        <v>21.777269004413146</v>
      </c>
      <c r="O1031" s="36">
        <f>1/M1031-(G1031/100-(((E1031/E911)^(1/10))-1))</f>
        <v>5.2325543255801035E-2</v>
      </c>
      <c r="P1031" s="48">
        <v>2.9</v>
      </c>
      <c r="R1031" s="30"/>
      <c r="S1031" s="30"/>
    </row>
    <row r="1032" spans="1:19" ht="13" x14ac:dyDescent="0.3">
      <c r="A1032" s="52" t="s">
        <v>1048</v>
      </c>
      <c r="B1032" s="6">
        <v>45.76</v>
      </c>
      <c r="C1032" s="1">
        <v>1.7733300000000001</v>
      </c>
      <c r="D1032" s="6">
        <v>3.4266700000000001</v>
      </c>
      <c r="E1032" s="6">
        <v>27.5</v>
      </c>
      <c r="F1032" s="1">
        <f t="shared" si="80"/>
        <v>1956.874999999922</v>
      </c>
      <c r="G1032" s="17">
        <v>3.49</v>
      </c>
      <c r="H1032" s="1">
        <f>B1032*$E$1867/E1032</f>
        <v>557.648416</v>
      </c>
      <c r="I1032" s="1">
        <f>C1032*$E$1867/E1032</f>
        <v>21.610460348454549</v>
      </c>
      <c r="J1032" s="26">
        <f t="shared" si="81"/>
        <v>53401.874800611586</v>
      </c>
      <c r="K1032" s="1">
        <f>D1032*$E$1867/E1032</f>
        <v>41.758677833363635</v>
      </c>
      <c r="L1032" s="26">
        <f t="shared" si="79"/>
        <v>3998.9205053105702</v>
      </c>
      <c r="M1032" s="10">
        <f t="shared" si="77"/>
        <v>17.120339736628253</v>
      </c>
      <c r="N1032" s="4">
        <f t="shared" si="78"/>
        <v>21.392087415372345</v>
      </c>
      <c r="O1032" s="36">
        <f>1/M1032-(G1032/100-(((E1032/E912)^(1/10))-1))</f>
        <v>4.9387093462700517E-2</v>
      </c>
      <c r="P1032" s="48">
        <v>2.99</v>
      </c>
      <c r="R1032" s="30"/>
      <c r="S1032" s="30"/>
    </row>
    <row r="1033" spans="1:19" ht="13" x14ac:dyDescent="0.3">
      <c r="A1033" s="52" t="s">
        <v>1049</v>
      </c>
      <c r="B1033" s="6">
        <v>46.44</v>
      </c>
      <c r="C1033" s="1">
        <v>1.74</v>
      </c>
      <c r="D1033" s="6">
        <v>3.41</v>
      </c>
      <c r="E1033" s="6">
        <v>27.6</v>
      </c>
      <c r="F1033" s="1">
        <f t="shared" si="80"/>
        <v>1956.9583333332553</v>
      </c>
      <c r="G1033" s="17">
        <v>3.59</v>
      </c>
      <c r="H1033" s="1">
        <f>B1033*$E$1867/E1033</f>
        <v>563.88465978260865</v>
      </c>
      <c r="I1033" s="1">
        <f>C1033*$E$1867/E1033</f>
        <v>21.127461413043477</v>
      </c>
      <c r="J1033" s="26">
        <f t="shared" si="81"/>
        <v>54167.675619828478</v>
      </c>
      <c r="K1033" s="1">
        <f>D1033*$E$1867/E1033</f>
        <v>41.404967481884057</v>
      </c>
      <c r="L1033" s="26">
        <f t="shared" si="79"/>
        <v>3977.42837776949</v>
      </c>
      <c r="M1033" s="10">
        <f t="shared" si="77"/>
        <v>17.197522725560926</v>
      </c>
      <c r="N1033" s="4">
        <f t="shared" si="78"/>
        <v>21.474498795561225</v>
      </c>
      <c r="O1033" s="36">
        <f>1/M1033-(G1033/100-(((E1033/E913)^(1/10))-1))</f>
        <v>4.7538713978886975E-2</v>
      </c>
      <c r="P1033" s="48">
        <v>3.21</v>
      </c>
      <c r="R1033" s="30"/>
      <c r="S1033" s="30"/>
    </row>
    <row r="1034" spans="1:19" ht="13" x14ac:dyDescent="0.3">
      <c r="A1034" s="52" t="s">
        <v>1050</v>
      </c>
      <c r="B1034" s="6">
        <v>45.43</v>
      </c>
      <c r="C1034" s="1">
        <v>1.7366699999999999</v>
      </c>
      <c r="D1034" s="6">
        <v>3.4066700000000001</v>
      </c>
      <c r="E1034" s="6">
        <v>27.6</v>
      </c>
      <c r="F1034" s="1">
        <f t="shared" si="80"/>
        <v>1957.0416666665885</v>
      </c>
      <c r="G1034" s="17">
        <v>3.46</v>
      </c>
      <c r="H1034" s="1">
        <f>B1034*$E$1867/E1034</f>
        <v>551.62101838768115</v>
      </c>
      <c r="I1034" s="1">
        <f>C1034*$E$1867/E1034</f>
        <v>21.087027823097824</v>
      </c>
      <c r="J1034" s="26">
        <f t="shared" si="81"/>
        <v>53158.414832982307</v>
      </c>
      <c r="K1034" s="1">
        <f>D1034*$E$1867/E1034</f>
        <v>41.3645338919384</v>
      </c>
      <c r="L1034" s="26">
        <f t="shared" si="79"/>
        <v>3986.2024446197629</v>
      </c>
      <c r="M1034" s="10">
        <f t="shared" si="77"/>
        <v>16.717780078533011</v>
      </c>
      <c r="N1034" s="4">
        <f t="shared" si="78"/>
        <v>20.863186388755391</v>
      </c>
      <c r="O1034" s="36">
        <f>1/M1034-(G1034/100-(((E1034/E914)^(1/10))-1))</f>
        <v>5.0507358501613704E-2</v>
      </c>
      <c r="P1034" s="48">
        <v>3.11</v>
      </c>
      <c r="R1034" s="30"/>
      <c r="S1034" s="30"/>
    </row>
    <row r="1035" spans="1:19" ht="13" x14ac:dyDescent="0.3">
      <c r="A1035" s="52" t="s">
        <v>1051</v>
      </c>
      <c r="B1035" s="6">
        <v>43.47</v>
      </c>
      <c r="C1035" s="1">
        <v>1.73333</v>
      </c>
      <c r="D1035" s="6">
        <v>3.40333</v>
      </c>
      <c r="E1035" s="6">
        <v>27.7</v>
      </c>
      <c r="F1035" s="1">
        <f t="shared" si="80"/>
        <v>1957.1249999999218</v>
      </c>
      <c r="G1035" s="17">
        <v>3.34</v>
      </c>
      <c r="H1035" s="1">
        <f>B1035*$E$1867/E1035</f>
        <v>525.9167731949459</v>
      </c>
      <c r="I1035" s="1">
        <f>C1035*$E$1867/E1035</f>
        <v>20.970492764711192</v>
      </c>
      <c r="J1035" s="26">
        <f t="shared" si="81"/>
        <v>50849.763832258701</v>
      </c>
      <c r="K1035" s="1">
        <f>D1035*$E$1867/E1035</f>
        <v>41.174794840523468</v>
      </c>
      <c r="L1035" s="26">
        <f t="shared" si="79"/>
        <v>3981.1025245742117</v>
      </c>
      <c r="M1035" s="10">
        <f t="shared" si="77"/>
        <v>15.843733142229745</v>
      </c>
      <c r="N1035" s="4">
        <f t="shared" si="78"/>
        <v>19.762632437908934</v>
      </c>
      <c r="O1035" s="36">
        <f>1/M1035-(G1035/100-(((E1035/E915)^(1/10))-1))</f>
        <v>5.5378120041044268E-2</v>
      </c>
      <c r="P1035" s="48">
        <v>3.1</v>
      </c>
      <c r="R1035" s="30"/>
      <c r="S1035" s="30"/>
    </row>
    <row r="1036" spans="1:19" ht="13" x14ac:dyDescent="0.3">
      <c r="A1036" s="52" t="s">
        <v>1052</v>
      </c>
      <c r="B1036" s="6">
        <v>44.03</v>
      </c>
      <c r="C1036" s="1">
        <v>1.73</v>
      </c>
      <c r="D1036" s="6">
        <v>3.4</v>
      </c>
      <c r="E1036" s="6">
        <v>27.8</v>
      </c>
      <c r="F1036" s="1">
        <f t="shared" si="80"/>
        <v>1957.208333333255</v>
      </c>
      <c r="G1036" s="17">
        <v>3.41</v>
      </c>
      <c r="H1036" s="1">
        <f>B1036*$E$1867/E1036</f>
        <v>530.77571070143881</v>
      </c>
      <c r="I1036" s="1">
        <f>C1036*$E$1867/E1036</f>
        <v>20.854916636690646</v>
      </c>
      <c r="J1036" s="26">
        <f t="shared" si="81"/>
        <v>51487.598829330171</v>
      </c>
      <c r="K1036" s="1">
        <f>D1036*$E$1867/E1036</f>
        <v>40.986541366906465</v>
      </c>
      <c r="L1036" s="26">
        <f t="shared" si="79"/>
        <v>3975.8763574772324</v>
      </c>
      <c r="M1036" s="10">
        <f t="shared" si="77"/>
        <v>15.900417108869167</v>
      </c>
      <c r="N1036" s="4">
        <f t="shared" si="78"/>
        <v>19.821836742270008</v>
      </c>
      <c r="O1036" s="36">
        <f>1/M1036-(G1036/100-(((E1036/E916)^(1/10))-1))</f>
        <v>5.2933175375417425E-2</v>
      </c>
      <c r="P1036" s="48">
        <v>3.08</v>
      </c>
      <c r="R1036" s="30"/>
      <c r="S1036" s="30"/>
    </row>
    <row r="1037" spans="1:19" ht="13" x14ac:dyDescent="0.3">
      <c r="A1037" s="52" t="s">
        <v>1053</v>
      </c>
      <c r="B1037" s="6">
        <v>45.05</v>
      </c>
      <c r="C1037" s="1">
        <v>1.73</v>
      </c>
      <c r="D1037" s="6">
        <v>3.4066700000000001</v>
      </c>
      <c r="E1037" s="6">
        <v>27.9</v>
      </c>
      <c r="F1037" s="1">
        <f t="shared" si="80"/>
        <v>1957.2916666665883</v>
      </c>
      <c r="G1037" s="17">
        <v>3.48</v>
      </c>
      <c r="H1037" s="1">
        <f>B1037*$E$1867/E1037</f>
        <v>541.12517965949814</v>
      </c>
      <c r="I1037" s="1">
        <f>C1037*$E$1867/E1037</f>
        <v>20.78016783154122</v>
      </c>
      <c r="J1037" s="26">
        <f t="shared" si="81"/>
        <v>52659.523941973661</v>
      </c>
      <c r="K1037" s="1">
        <f>D1037*$E$1867/E1037</f>
        <v>40.919753957616486</v>
      </c>
      <c r="L1037" s="26">
        <f t="shared" si="79"/>
        <v>3982.1003424506866</v>
      </c>
      <c r="M1037" s="10">
        <f t="shared" si="77"/>
        <v>16.123704360211754</v>
      </c>
      <c r="N1037" s="4">
        <f t="shared" si="78"/>
        <v>20.086831188745091</v>
      </c>
      <c r="O1037" s="36">
        <f>1/M1037-(G1037/100-(((E1037/E917)^(1/10))-1))</f>
        <v>5.1730032009349274E-2</v>
      </c>
      <c r="P1037" s="48">
        <v>3.07</v>
      </c>
      <c r="R1037" s="30"/>
      <c r="S1037" s="30"/>
    </row>
    <row r="1038" spans="1:19" ht="13" x14ac:dyDescent="0.3">
      <c r="A1038" s="52" t="s">
        <v>1054</v>
      </c>
      <c r="B1038" s="6">
        <v>46.78</v>
      </c>
      <c r="C1038" s="1">
        <v>1.73</v>
      </c>
      <c r="D1038" s="6">
        <v>3.4133300000000002</v>
      </c>
      <c r="E1038" s="6">
        <v>28</v>
      </c>
      <c r="F1038" s="1">
        <f t="shared" si="80"/>
        <v>1957.3749999999216</v>
      </c>
      <c r="G1038" s="17">
        <v>3.6</v>
      </c>
      <c r="H1038" s="1">
        <f>B1038*$E$1867/E1038</f>
        <v>559.8985426785714</v>
      </c>
      <c r="I1038" s="1">
        <f>C1038*$E$1867/E1038</f>
        <v>20.705952946428571</v>
      </c>
      <c r="J1038" s="26">
        <f t="shared" si="81"/>
        <v>54654.367652869696</v>
      </c>
      <c r="K1038" s="1">
        <f>D1038*$E$1867/E1038</f>
        <v>40.853323913660709</v>
      </c>
      <c r="L1038" s="26">
        <f t="shared" si="79"/>
        <v>3987.8878311365906</v>
      </c>
      <c r="M1038" s="10">
        <f t="shared" si="77"/>
        <v>16.598110789114266</v>
      </c>
      <c r="N1038" s="4">
        <f t="shared" si="78"/>
        <v>20.661106693401862</v>
      </c>
      <c r="O1038" s="36">
        <f>1/M1038-(G1038/100-(((E1038/E918)^(1/10))-1))</f>
        <v>4.912398212751333E-2</v>
      </c>
      <c r="P1038" s="48">
        <v>3.06</v>
      </c>
      <c r="R1038" s="30"/>
      <c r="S1038" s="30"/>
    </row>
    <row r="1039" spans="1:19" ht="13" x14ac:dyDescent="0.3">
      <c r="A1039" s="52" t="s">
        <v>1055</v>
      </c>
      <c r="B1039" s="6">
        <v>47.55</v>
      </c>
      <c r="C1039" s="1">
        <v>1.73</v>
      </c>
      <c r="D1039" s="6">
        <v>3.42</v>
      </c>
      <c r="E1039" s="6">
        <v>28.1</v>
      </c>
      <c r="F1039" s="1">
        <f t="shared" si="80"/>
        <v>1957.4583333332548</v>
      </c>
      <c r="G1039" s="17">
        <v>3.8</v>
      </c>
      <c r="H1039" s="1">
        <f>B1039*$E$1867/E1039</f>
        <v>567.08916859430599</v>
      </c>
      <c r="I1039" s="1">
        <f>C1039*$E$1867/E1039</f>
        <v>20.63226628113879</v>
      </c>
      <c r="J1039" s="26">
        <f t="shared" si="81"/>
        <v>55524.11344471723</v>
      </c>
      <c r="K1039" s="1">
        <f>D1039*$E$1867/E1039</f>
        <v>40.787485943060496</v>
      </c>
      <c r="L1039" s="26">
        <f t="shared" si="79"/>
        <v>3993.5324496515868</v>
      </c>
      <c r="M1039" s="10">
        <f t="shared" si="77"/>
        <v>16.729918872472865</v>
      </c>
      <c r="N1039" s="4">
        <f t="shared" si="78"/>
        <v>20.806763725120621</v>
      </c>
      <c r="O1039" s="36">
        <f>1/M1039-(G1039/100-(((E1039/E919)^(1/10))-1))</f>
        <v>4.6547779954751491E-2</v>
      </c>
      <c r="P1039" s="48">
        <v>3.29</v>
      </c>
      <c r="R1039" s="30"/>
      <c r="S1039" s="30"/>
    </row>
    <row r="1040" spans="1:19" ht="13" x14ac:dyDescent="0.3">
      <c r="A1040" s="52" t="s">
        <v>1056</v>
      </c>
      <c r="B1040" s="6">
        <v>48.51</v>
      </c>
      <c r="C1040" s="1">
        <v>1.74</v>
      </c>
      <c r="D1040" s="6">
        <v>3.4366699999999999</v>
      </c>
      <c r="E1040" s="6">
        <v>28.3</v>
      </c>
      <c r="F1040" s="1">
        <f t="shared" si="80"/>
        <v>1957.5416666665881</v>
      </c>
      <c r="G1040" s="17">
        <v>3.93</v>
      </c>
      <c r="H1040" s="1">
        <f>B1040*$E$1867/E1040</f>
        <v>574.44967765017668</v>
      </c>
      <c r="I1040" s="1">
        <f>C1040*$E$1867/E1040</f>
        <v>20.604874028268551</v>
      </c>
      <c r="J1040" s="26">
        <f t="shared" si="81"/>
        <v>56412.906097907988</v>
      </c>
      <c r="K1040" s="1">
        <f>D1040*$E$1867/E1040</f>
        <v>40.696639325706712</v>
      </c>
      <c r="L1040" s="26">
        <f t="shared" si="79"/>
        <v>3996.5479694804667</v>
      </c>
      <c r="M1040" s="10">
        <f t="shared" si="77"/>
        <v>16.868882383979802</v>
      </c>
      <c r="N1040" s="4">
        <f t="shared" si="78"/>
        <v>20.959760285686052</v>
      </c>
      <c r="O1040" s="36">
        <f>1/M1040-(G1040/100-(((E1040/E920)^(1/10))-1))</f>
        <v>4.4554786032350566E-2</v>
      </c>
      <c r="P1040" s="48">
        <v>3.16</v>
      </c>
      <c r="R1040" s="30"/>
      <c r="S1040" s="30"/>
    </row>
    <row r="1041" spans="1:19" ht="13" x14ac:dyDescent="0.3">
      <c r="A1041" s="52" t="s">
        <v>1057</v>
      </c>
      <c r="B1041" s="6">
        <v>45.84</v>
      </c>
      <c r="C1041" s="1">
        <v>1.75</v>
      </c>
      <c r="D1041" s="6">
        <v>3.4533299999999998</v>
      </c>
      <c r="E1041" s="6">
        <v>28.3</v>
      </c>
      <c r="F1041" s="1">
        <f t="shared" si="80"/>
        <v>1957.6249999999213</v>
      </c>
      <c r="G1041" s="17">
        <v>3.93</v>
      </c>
      <c r="H1041" s="1">
        <f>B1041*$E$1867/E1041</f>
        <v>542.8318537102474</v>
      </c>
      <c r="I1041" s="1">
        <f>C1041*$E$1867/E1041</f>
        <v>20.723292844522966</v>
      </c>
      <c r="J1041" s="26">
        <f t="shared" si="81"/>
        <v>53477.520050863342</v>
      </c>
      <c r="K1041" s="1">
        <f>D1041*$E$1867/E1041</f>
        <v>40.893925073586566</v>
      </c>
      <c r="L1041" s="26">
        <f t="shared" si="79"/>
        <v>4028.6981744600321</v>
      </c>
      <c r="M1041" s="10">
        <f t="shared" si="77"/>
        <v>15.868942729452248</v>
      </c>
      <c r="N1041" s="4">
        <f t="shared" si="78"/>
        <v>19.702677805273062</v>
      </c>
      <c r="O1041" s="36">
        <f>1/M1041-(G1041/100-(((E1041/E921)^(1/10))-1))</f>
        <v>4.6915841253376125E-2</v>
      </c>
      <c r="P1041" s="48">
        <v>3.37</v>
      </c>
      <c r="R1041" s="30"/>
      <c r="S1041" s="30"/>
    </row>
    <row r="1042" spans="1:19" ht="13" x14ac:dyDescent="0.3">
      <c r="A1042" s="52" t="s">
        <v>1058</v>
      </c>
      <c r="B1042" s="6">
        <v>43.98</v>
      </c>
      <c r="C1042" s="1">
        <v>1.76</v>
      </c>
      <c r="D1042" s="6">
        <v>3.47</v>
      </c>
      <c r="E1042" s="6">
        <v>28.3</v>
      </c>
      <c r="F1042" s="1">
        <f t="shared" si="80"/>
        <v>1957.7083333332546</v>
      </c>
      <c r="G1042" s="17">
        <v>3.92</v>
      </c>
      <c r="H1042" s="1">
        <f>B1042*$E$1867/E1042</f>
        <v>520.80595388692575</v>
      </c>
      <c r="I1042" s="1">
        <f>C1042*$E$1867/E1042</f>
        <v>20.841711660777385</v>
      </c>
      <c r="J1042" s="26">
        <f t="shared" si="81"/>
        <v>51478.72385349976</v>
      </c>
      <c r="K1042" s="1">
        <f>D1042*$E$1867/E1042</f>
        <v>41.09132924028269</v>
      </c>
      <c r="L1042" s="26">
        <f t="shared" si="79"/>
        <v>4061.6455609741743</v>
      </c>
      <c r="M1042" s="10">
        <f t="shared" si="77"/>
        <v>15.157274488962214</v>
      </c>
      <c r="N1042" s="4">
        <f t="shared" si="78"/>
        <v>18.807961927666831</v>
      </c>
      <c r="O1042" s="36">
        <f>1/M1042-(G1042/100-(((E1042/E922)^(1/10))-1))</f>
        <v>4.7728181231553354E-2</v>
      </c>
      <c r="P1042" s="48">
        <v>3.53</v>
      </c>
      <c r="R1042" s="30"/>
      <c r="S1042" s="30"/>
    </row>
    <row r="1043" spans="1:19" ht="13" x14ac:dyDescent="0.3">
      <c r="A1043" s="52" t="s">
        <v>1059</v>
      </c>
      <c r="B1043" s="6">
        <v>41.24</v>
      </c>
      <c r="C1043" s="1">
        <v>1.77</v>
      </c>
      <c r="D1043" s="6">
        <v>3.4366699999999999</v>
      </c>
      <c r="E1043" s="6">
        <v>28.3</v>
      </c>
      <c r="F1043" s="1">
        <f t="shared" si="80"/>
        <v>1957.7916666665878</v>
      </c>
      <c r="G1043" s="17">
        <v>3.97</v>
      </c>
      <c r="H1043" s="1">
        <f>B1043*$E$1867/E1043</f>
        <v>488.35919823321552</v>
      </c>
      <c r="I1043" s="1">
        <f>C1043*$E$1867/E1043</f>
        <v>20.9601304770318</v>
      </c>
      <c r="J1043" s="26">
        <f t="shared" si="81"/>
        <v>48444.194713204211</v>
      </c>
      <c r="K1043" s="1">
        <f>D1043*$E$1867/E1043</f>
        <v>40.696639325706712</v>
      </c>
      <c r="L1043" s="26">
        <f t="shared" si="79"/>
        <v>4037.0201417319963</v>
      </c>
      <c r="M1043" s="10">
        <f t="shared" si="77"/>
        <v>14.149451489483535</v>
      </c>
      <c r="N1043" s="4">
        <f t="shared" si="78"/>
        <v>17.551467653382666</v>
      </c>
      <c r="O1043" s="36">
        <f>1/M1043-(G1043/100-(((E1043/E923)^(1/10))-1))</f>
        <v>5.1927377075817391E-2</v>
      </c>
      <c r="P1043" s="48">
        <v>3.58</v>
      </c>
      <c r="R1043" s="30"/>
      <c r="S1043" s="30"/>
    </row>
    <row r="1044" spans="1:19" ht="13" x14ac:dyDescent="0.3">
      <c r="A1044" s="52" t="s">
        <v>1060</v>
      </c>
      <c r="B1044" s="6">
        <v>40.35</v>
      </c>
      <c r="C1044" s="1">
        <v>1.78</v>
      </c>
      <c r="D1044" s="6">
        <v>3.40333</v>
      </c>
      <c r="E1044" s="6">
        <v>28.4</v>
      </c>
      <c r="F1044" s="1">
        <f t="shared" si="80"/>
        <v>1957.8749999999211</v>
      </c>
      <c r="G1044" s="17">
        <v>3.72</v>
      </c>
      <c r="H1044" s="1">
        <f>B1044*$E$1867/E1044</f>
        <v>476.13745906690144</v>
      </c>
      <c r="I1044" s="1">
        <f>C1044*$E$1867/E1044</f>
        <v>21.004329049295777</v>
      </c>
      <c r="J1044" s="26">
        <f t="shared" si="81"/>
        <v>47405.456226140217</v>
      </c>
      <c r="K1044" s="1">
        <f>D1044*$E$1867/E1044</f>
        <v>40.159923136707754</v>
      </c>
      <c r="L1044" s="26">
        <f t="shared" si="79"/>
        <v>3998.4240728156087</v>
      </c>
      <c r="M1044" s="10">
        <f t="shared" si="77"/>
        <v>13.736242235298484</v>
      </c>
      <c r="N1044" s="4">
        <f t="shared" si="78"/>
        <v>17.035278552833912</v>
      </c>
      <c r="O1044" s="36">
        <f>1/M1044-(G1044/100-(((E1044/E924)^(1/10))-1))</f>
        <v>5.6470571137262192E-2</v>
      </c>
      <c r="P1044" s="48">
        <v>3.31</v>
      </c>
      <c r="R1044" s="30"/>
      <c r="S1044" s="30"/>
    </row>
    <row r="1045" spans="1:19" ht="13" x14ac:dyDescent="0.3">
      <c r="A1045" s="52" t="s">
        <v>1061</v>
      </c>
      <c r="B1045" s="6">
        <v>40.33</v>
      </c>
      <c r="C1045" s="1">
        <v>1.79</v>
      </c>
      <c r="D1045" s="6">
        <v>3.37</v>
      </c>
      <c r="E1045" s="6">
        <v>28.4</v>
      </c>
      <c r="F1045" s="1">
        <f t="shared" si="80"/>
        <v>1957.9583333332544</v>
      </c>
      <c r="G1045" s="17">
        <v>3.21</v>
      </c>
      <c r="H1045" s="1">
        <f>B1045*$E$1867/E1045</f>
        <v>475.90145536971829</v>
      </c>
      <c r="I1045" s="1">
        <f>C1045*$E$1867/E1045</f>
        <v>21.122330897887327</v>
      </c>
      <c r="J1045" s="26">
        <f t="shared" si="81"/>
        <v>47557.20851269643</v>
      </c>
      <c r="K1045" s="1">
        <f>D1045*$E$1867/E1045</f>
        <v>39.766622975352114</v>
      </c>
      <c r="L1045" s="26">
        <f t="shared" si="79"/>
        <v>3973.9100592062227</v>
      </c>
      <c r="M1045" s="10">
        <f t="shared" si="77"/>
        <v>13.673246057951381</v>
      </c>
      <c r="N1045" s="4">
        <f t="shared" si="78"/>
        <v>16.954577613038261</v>
      </c>
      <c r="O1045" s="36">
        <f>1/M1045-(G1045/100-(((E1045/E925)^(1/10))-1))</f>
        <v>6.0589559090497506E-2</v>
      </c>
      <c r="P1045" s="48">
        <v>3.04</v>
      </c>
      <c r="R1045" s="30"/>
      <c r="S1045" s="30"/>
    </row>
    <row r="1046" spans="1:19" ht="13" x14ac:dyDescent="0.3">
      <c r="A1046" s="52" t="s">
        <v>1062</v>
      </c>
      <c r="B1046" s="6">
        <v>41.12</v>
      </c>
      <c r="C1046" s="1">
        <v>1.7833300000000001</v>
      </c>
      <c r="D1046" s="6">
        <v>3.2933300000000001</v>
      </c>
      <c r="E1046" s="6">
        <v>28.6</v>
      </c>
      <c r="F1046" s="1">
        <f t="shared" si="80"/>
        <v>1958.0416666665876</v>
      </c>
      <c r="G1046" s="17">
        <v>3.09</v>
      </c>
      <c r="H1046" s="1">
        <f>B1046*$E$1867/E1046</f>
        <v>481.8304293706293</v>
      </c>
      <c r="I1046" s="1">
        <f>C1046*$E$1867/E1046</f>
        <v>20.896465457430072</v>
      </c>
      <c r="J1046" s="26">
        <f t="shared" si="81"/>
        <v>48323.712262138433</v>
      </c>
      <c r="K1046" s="1">
        <f>D1046*$E$1867/E1046</f>
        <v>38.590141244143361</v>
      </c>
      <c r="L1046" s="26">
        <f t="shared" si="79"/>
        <v>3870.2804305512741</v>
      </c>
      <c r="M1046" s="10">
        <f t="shared" si="77"/>
        <v>13.788431552307632</v>
      </c>
      <c r="N1046" s="4">
        <f t="shared" si="78"/>
        <v>17.094108854212248</v>
      </c>
      <c r="O1046" s="36">
        <f>1/M1046-(G1046/100-(((E1046/E926)^(1/10))-1))</f>
        <v>6.05954349597356E-2</v>
      </c>
      <c r="P1046" s="48">
        <v>2.44</v>
      </c>
      <c r="R1046" s="30"/>
      <c r="S1046" s="30"/>
    </row>
    <row r="1047" spans="1:19" ht="13" x14ac:dyDescent="0.3">
      <c r="A1047" s="52" t="s">
        <v>1063</v>
      </c>
      <c r="B1047" s="6">
        <v>41.26</v>
      </c>
      <c r="C1047" s="1">
        <v>1.77667</v>
      </c>
      <c r="D1047" s="6">
        <v>3.2166700000000001</v>
      </c>
      <c r="E1047" s="6">
        <v>28.6</v>
      </c>
      <c r="F1047" s="1">
        <f t="shared" si="80"/>
        <v>1958.1249999999209</v>
      </c>
      <c r="G1047" s="17">
        <v>3.05</v>
      </c>
      <c r="H1047" s="1">
        <f>B1047*$E$1867/E1047</f>
        <v>483.47090262237759</v>
      </c>
      <c r="I1047" s="1">
        <f>C1047*$E$1867/E1047</f>
        <v>20.818425801311186</v>
      </c>
      <c r="J1047" s="26">
        <f t="shared" si="81"/>
        <v>48662.231892620694</v>
      </c>
      <c r="K1047" s="1">
        <f>D1047*$E$1867/E1047</f>
        <v>37.691864962150355</v>
      </c>
      <c r="L1047" s="26">
        <f t="shared" si="79"/>
        <v>3793.7552462926865</v>
      </c>
      <c r="M1047" s="10">
        <f t="shared" si="77"/>
        <v>13.784906390337678</v>
      </c>
      <c r="N1047" s="4">
        <f t="shared" si="78"/>
        <v>17.087281988811409</v>
      </c>
      <c r="O1047" s="36">
        <f>1/M1047-(G1047/100-(((E1047/E927)^(1/10))-1))</f>
        <v>6.1877887208465876E-2</v>
      </c>
      <c r="P1047" s="48">
        <v>1.53</v>
      </c>
      <c r="R1047" s="30"/>
      <c r="S1047" s="30"/>
    </row>
    <row r="1048" spans="1:19" ht="13" x14ac:dyDescent="0.3">
      <c r="A1048" s="52" t="s">
        <v>1064</v>
      </c>
      <c r="B1048" s="6">
        <v>42.11</v>
      </c>
      <c r="C1048" s="1">
        <v>1.77</v>
      </c>
      <c r="D1048" s="6">
        <v>3.14</v>
      </c>
      <c r="E1048" s="6">
        <v>28.8</v>
      </c>
      <c r="F1048" s="1">
        <f t="shared" si="80"/>
        <v>1958.2083333332541</v>
      </c>
      <c r="G1048" s="17">
        <v>2.98</v>
      </c>
      <c r="H1048" s="1">
        <f>B1048*$E$1867/E1048</f>
        <v>490.00431519097219</v>
      </c>
      <c r="I1048" s="1">
        <f>C1048*$E$1867/E1048</f>
        <v>20.596239322916663</v>
      </c>
      <c r="J1048" s="26">
        <f t="shared" si="81"/>
        <v>49492.58593555534</v>
      </c>
      <c r="K1048" s="1">
        <f>D1048*$E$1867/E1048</f>
        <v>36.537961284722222</v>
      </c>
      <c r="L1048" s="26">
        <f t="shared" si="79"/>
        <v>3690.4944155222934</v>
      </c>
      <c r="M1048" s="10">
        <f t="shared" si="77"/>
        <v>13.925589923892939</v>
      </c>
      <c r="N1048" s="4">
        <f t="shared" si="78"/>
        <v>17.25815533706724</v>
      </c>
      <c r="O1048" s="36">
        <f>1/M1048-(G1048/100-(((E1048/E928)^(1/10))-1))</f>
        <v>6.2991250077044647E-2</v>
      </c>
      <c r="P1048" s="48">
        <v>1.3</v>
      </c>
      <c r="R1048" s="30"/>
      <c r="S1048" s="30"/>
    </row>
    <row r="1049" spans="1:19" ht="13" x14ac:dyDescent="0.3">
      <c r="A1049" s="52" t="s">
        <v>1065</v>
      </c>
      <c r="B1049" s="6">
        <v>42.34</v>
      </c>
      <c r="C1049" s="1">
        <v>1.75667</v>
      </c>
      <c r="D1049" s="6">
        <v>3.07</v>
      </c>
      <c r="E1049" s="6">
        <v>28.9</v>
      </c>
      <c r="F1049" s="1">
        <f t="shared" si="80"/>
        <v>1958.2916666665874</v>
      </c>
      <c r="G1049" s="17">
        <v>2.88</v>
      </c>
      <c r="H1049" s="1">
        <f>B1049*$E$1867/E1049</f>
        <v>490.97588529411769</v>
      </c>
      <c r="I1049" s="1">
        <f>C1049*$E$1867/E1049</f>
        <v>20.370396986764707</v>
      </c>
      <c r="J1049" s="26">
        <f t="shared" si="81"/>
        <v>49762.177069097896</v>
      </c>
      <c r="K1049" s="1">
        <f>D1049*$E$1867/E1049</f>
        <v>35.599810294117646</v>
      </c>
      <c r="L1049" s="26">
        <f t="shared" si="79"/>
        <v>3608.1691923035078</v>
      </c>
      <c r="M1049" s="10">
        <f t="shared" si="77"/>
        <v>13.913501765262781</v>
      </c>
      <c r="N1049" s="4">
        <f t="shared" si="78"/>
        <v>17.239665390241107</v>
      </c>
      <c r="O1049" s="36">
        <f>1/M1049-(G1049/100-(((E1049/E929)^(1/10))-1))</f>
        <v>6.2677942573584638E-2</v>
      </c>
      <c r="P1049" s="48">
        <v>1.1299999999999999</v>
      </c>
      <c r="R1049" s="30"/>
      <c r="S1049" s="30"/>
    </row>
    <row r="1050" spans="1:19" ht="13" x14ac:dyDescent="0.3">
      <c r="A1050" s="52" t="s">
        <v>1066</v>
      </c>
      <c r="B1050" s="6">
        <v>43.7</v>
      </c>
      <c r="C1050" s="1">
        <v>1.74333</v>
      </c>
      <c r="D1050" s="6">
        <v>3</v>
      </c>
      <c r="E1050" s="6">
        <v>28.9</v>
      </c>
      <c r="F1050" s="1">
        <f t="shared" si="80"/>
        <v>1958.3749999999206</v>
      </c>
      <c r="G1050" s="17">
        <v>2.92</v>
      </c>
      <c r="H1050" s="1">
        <f>B1050*$E$1867/E1050</f>
        <v>506.74648529411769</v>
      </c>
      <c r="I1050" s="1">
        <f>C1050*$E$1867/E1050</f>
        <v>20.215705954411764</v>
      </c>
      <c r="J1050" s="26">
        <f t="shared" si="81"/>
        <v>51531.328828501042</v>
      </c>
      <c r="K1050" s="1">
        <f>D1050*$E$1867/E1050</f>
        <v>34.788088235294119</v>
      </c>
      <c r="L1050" s="26">
        <f t="shared" si="79"/>
        <v>3537.6198280435497</v>
      </c>
      <c r="M1050" s="10">
        <f t="shared" si="77"/>
        <v>14.323824968409236</v>
      </c>
      <c r="N1050" s="4">
        <f t="shared" si="78"/>
        <v>17.742987045801232</v>
      </c>
      <c r="O1050" s="36">
        <f>1/M1050-(G1050/100-(((E1050/E930)^(1/10))-1))</f>
        <v>5.9791646042329546E-2</v>
      </c>
      <c r="P1050" s="48">
        <v>0.91</v>
      </c>
      <c r="R1050" s="30"/>
      <c r="S1050" s="30"/>
    </row>
    <row r="1051" spans="1:19" ht="13" x14ac:dyDescent="0.3">
      <c r="A1051" s="52" t="s">
        <v>1067</v>
      </c>
      <c r="B1051" s="6">
        <v>44.75</v>
      </c>
      <c r="C1051" s="1">
        <v>1.73</v>
      </c>
      <c r="D1051" s="6">
        <v>2.93</v>
      </c>
      <c r="E1051" s="6">
        <v>28.9</v>
      </c>
      <c r="F1051" s="1">
        <f t="shared" si="80"/>
        <v>1958.4583333332539</v>
      </c>
      <c r="G1051" s="17">
        <v>2.97</v>
      </c>
      <c r="H1051" s="1">
        <f>B1051*$E$1867/E1051</f>
        <v>518.92231617647064</v>
      </c>
      <c r="I1051" s="1">
        <f>C1051*$E$1867/E1051</f>
        <v>20.061130882352941</v>
      </c>
      <c r="J1051" s="26">
        <f t="shared" si="81"/>
        <v>52939.498054497271</v>
      </c>
      <c r="K1051" s="1">
        <f>D1051*$E$1867/E1051</f>
        <v>33.976366176470592</v>
      </c>
      <c r="L1051" s="26">
        <f t="shared" si="79"/>
        <v>3466.2062413335643</v>
      </c>
      <c r="M1051" s="10">
        <f t="shared" si="77"/>
        <v>14.635555551956275</v>
      </c>
      <c r="N1051" s="4">
        <f t="shared" si="78"/>
        <v>18.122451008262221</v>
      </c>
      <c r="O1051" s="36">
        <f>1/M1051-(G1051/100-(((E1051/E931)^(1/10))-1))</f>
        <v>5.6955679230707421E-2</v>
      </c>
      <c r="P1051" s="48">
        <v>0.83</v>
      </c>
      <c r="R1051" s="30"/>
      <c r="S1051" s="30"/>
    </row>
    <row r="1052" spans="1:19" ht="13" x14ac:dyDescent="0.3">
      <c r="A1052" s="52" t="s">
        <v>1068</v>
      </c>
      <c r="B1052" s="6">
        <v>45.98</v>
      </c>
      <c r="C1052" s="1">
        <v>1.73</v>
      </c>
      <c r="D1052" s="6">
        <v>2.9133300000000002</v>
      </c>
      <c r="E1052" s="6">
        <v>29</v>
      </c>
      <c r="F1052" s="1">
        <f t="shared" si="80"/>
        <v>1958.5416666665872</v>
      </c>
      <c r="G1052" s="17">
        <v>3.2</v>
      </c>
      <c r="H1052" s="1">
        <f>B1052*$E$1867/E1052</f>
        <v>531.34686189655167</v>
      </c>
      <c r="I1052" s="1">
        <f>C1052*$E$1867/E1052</f>
        <v>19.991954568965518</v>
      </c>
      <c r="J1052" s="26">
        <f t="shared" si="81"/>
        <v>54376.989166474581</v>
      </c>
      <c r="K1052" s="1">
        <f>D1052*$E$1867/E1052</f>
        <v>33.666567054568965</v>
      </c>
      <c r="L1052" s="26">
        <f t="shared" si="79"/>
        <v>3445.370027150183</v>
      </c>
      <c r="M1052" s="10">
        <f t="shared" si="77"/>
        <v>14.957457101901133</v>
      </c>
      <c r="N1052" s="4">
        <f t="shared" si="78"/>
        <v>18.513137401048034</v>
      </c>
      <c r="O1052" s="36">
        <f>1/M1052-(G1052/100-(((E1052/E932)^(1/10))-1))</f>
        <v>5.2277564534641441E-2</v>
      </c>
      <c r="P1052" s="48">
        <v>0.91</v>
      </c>
      <c r="R1052" s="30"/>
      <c r="S1052" s="30"/>
    </row>
    <row r="1053" spans="1:19" ht="13" x14ac:dyDescent="0.3">
      <c r="A1053" s="52" t="s">
        <v>1069</v>
      </c>
      <c r="B1053" s="6">
        <v>47.7</v>
      </c>
      <c r="C1053" s="1">
        <v>1.73</v>
      </c>
      <c r="D1053" s="6">
        <v>2.8966699999999999</v>
      </c>
      <c r="E1053" s="6">
        <v>28.9</v>
      </c>
      <c r="F1053" s="1">
        <f t="shared" si="80"/>
        <v>1958.6249999999204</v>
      </c>
      <c r="G1053" s="17">
        <v>3.54</v>
      </c>
      <c r="H1053" s="1">
        <f>B1053*$E$1867/E1053</f>
        <v>553.13060294117656</v>
      </c>
      <c r="I1053" s="1">
        <f>C1053*$E$1867/E1053</f>
        <v>20.061130882352941</v>
      </c>
      <c r="J1053" s="26">
        <f t="shared" si="81"/>
        <v>56777.378943799704</v>
      </c>
      <c r="K1053" s="1">
        <f>D1053*$E$1867/E1053</f>
        <v>33.589870516176468</v>
      </c>
      <c r="L1053" s="26">
        <f t="shared" si="79"/>
        <v>3447.9104877387053</v>
      </c>
      <c r="M1053" s="10">
        <f t="shared" si="77"/>
        <v>15.544566891165921</v>
      </c>
      <c r="N1053" s="4">
        <f t="shared" si="78"/>
        <v>19.229233309769295</v>
      </c>
      <c r="O1053" s="36">
        <f>1/M1053-(G1053/100-(((E1053/E933)^(1/10))-1))</f>
        <v>4.5585163707002913E-2</v>
      </c>
      <c r="P1053" s="48">
        <v>1.69</v>
      </c>
      <c r="R1053" s="30"/>
      <c r="S1053" s="30"/>
    </row>
    <row r="1054" spans="1:19" ht="13" x14ac:dyDescent="0.3">
      <c r="A1054" s="52" t="s">
        <v>1070</v>
      </c>
      <c r="B1054" s="6">
        <v>48.96</v>
      </c>
      <c r="C1054" s="1">
        <v>1.73</v>
      </c>
      <c r="D1054" s="6">
        <v>2.88</v>
      </c>
      <c r="E1054" s="6">
        <v>28.9</v>
      </c>
      <c r="F1054" s="1">
        <f t="shared" si="80"/>
        <v>1958.7083333332537</v>
      </c>
      <c r="G1054" s="17">
        <v>3.76</v>
      </c>
      <c r="H1054" s="1">
        <f>B1054*$E$1867/E1054</f>
        <v>567.74160000000006</v>
      </c>
      <c r="I1054" s="1">
        <f>C1054*$E$1867/E1054</f>
        <v>20.061130882352941</v>
      </c>
      <c r="J1054" s="26">
        <f t="shared" si="81"/>
        <v>58448.760556663132</v>
      </c>
      <c r="K1054" s="1">
        <f>D1054*$E$1867/E1054</f>
        <v>33.396564705882355</v>
      </c>
      <c r="L1054" s="26">
        <f t="shared" si="79"/>
        <v>3438.1623856860665</v>
      </c>
      <c r="M1054" s="10">
        <f t="shared" si="77"/>
        <v>15.931923184092845</v>
      </c>
      <c r="N1054" s="4">
        <f t="shared" si="78"/>
        <v>19.695350298388757</v>
      </c>
      <c r="O1054" s="36">
        <f>1/M1054-(G1054/100-(((E1054/E934)^(1/10))-1))</f>
        <v>4.1821066336221319E-2</v>
      </c>
      <c r="P1054" s="48">
        <v>2.44</v>
      </c>
      <c r="R1054" s="30"/>
      <c r="S1054" s="30"/>
    </row>
    <row r="1055" spans="1:19" ht="13" x14ac:dyDescent="0.3">
      <c r="A1055" s="52" t="s">
        <v>1071</v>
      </c>
      <c r="B1055" s="6">
        <v>50.95</v>
      </c>
      <c r="C1055" s="1">
        <v>1.7366699999999999</v>
      </c>
      <c r="D1055" s="6">
        <v>2.8833299999999999</v>
      </c>
      <c r="E1055" s="6">
        <v>28.9</v>
      </c>
      <c r="F1055" s="1">
        <f t="shared" si="80"/>
        <v>1958.7916666665869</v>
      </c>
      <c r="G1055" s="17">
        <v>3.8</v>
      </c>
      <c r="H1055" s="1">
        <f>B1055*$E$1867/E1055</f>
        <v>590.8176985294117</v>
      </c>
      <c r="I1055" s="1">
        <f>C1055*$E$1867/E1055</f>
        <v>20.138476398529413</v>
      </c>
      <c r="J1055" s="26">
        <f t="shared" si="81"/>
        <v>60997.205905058174</v>
      </c>
      <c r="K1055" s="1">
        <f>D1055*$E$1867/E1055</f>
        <v>33.435179483823532</v>
      </c>
      <c r="L1055" s="26">
        <f t="shared" si="79"/>
        <v>3451.9150873843264</v>
      </c>
      <c r="M1055" s="10">
        <f t="shared" si="77"/>
        <v>16.559803310351569</v>
      </c>
      <c r="N1055" s="4">
        <f t="shared" si="78"/>
        <v>20.455148275406579</v>
      </c>
      <c r="O1055" s="36">
        <f>1/M1055-(G1055/100-(((E1055/E935)^(1/10))-1))</f>
        <v>3.9457090686644394E-2</v>
      </c>
      <c r="P1055" s="48">
        <v>2.63</v>
      </c>
      <c r="R1055" s="30"/>
      <c r="S1055" s="30"/>
    </row>
    <row r="1056" spans="1:19" ht="13" x14ac:dyDescent="0.3">
      <c r="A1056" s="52" t="s">
        <v>1072</v>
      </c>
      <c r="B1056" s="6">
        <v>52.5</v>
      </c>
      <c r="C1056" s="1">
        <v>1.74333</v>
      </c>
      <c r="D1056" s="6">
        <v>2.8866700000000001</v>
      </c>
      <c r="E1056" s="6">
        <v>29</v>
      </c>
      <c r="F1056" s="1">
        <f t="shared" si="80"/>
        <v>1958.8749999999202</v>
      </c>
      <c r="G1056" s="17">
        <v>3.74</v>
      </c>
      <c r="H1056" s="1">
        <f>B1056*$E$1867/E1056</f>
        <v>606.69226293103452</v>
      </c>
      <c r="I1056" s="1">
        <f>C1056*$E$1867/E1056</f>
        <v>20.145996623534483</v>
      </c>
      <c r="J1056" s="26">
        <f t="shared" si="81"/>
        <v>62809.453915696067</v>
      </c>
      <c r="K1056" s="1">
        <f>D1056*$E$1867/E1056</f>
        <v>33.358482945431035</v>
      </c>
      <c r="L1056" s="26">
        <f t="shared" si="79"/>
        <v>3453.5269778061402</v>
      </c>
      <c r="M1056" s="10">
        <f t="shared" si="77"/>
        <v>16.988883579386329</v>
      </c>
      <c r="N1056" s="4">
        <f t="shared" si="78"/>
        <v>20.965610881429576</v>
      </c>
      <c r="O1056" s="36">
        <f>1/M1056-(G1056/100-(((E1056/E936)^(1/10))-1))</f>
        <v>3.9721033431446333E-2</v>
      </c>
      <c r="P1056" s="48">
        <v>2.67</v>
      </c>
      <c r="R1056" s="30"/>
      <c r="S1056" s="30"/>
    </row>
    <row r="1057" spans="1:19" ht="13" x14ac:dyDescent="0.3">
      <c r="A1057" s="52" t="s">
        <v>1073</v>
      </c>
      <c r="B1057" s="6">
        <v>53.49</v>
      </c>
      <c r="C1057" s="1">
        <v>1.75</v>
      </c>
      <c r="D1057" s="6">
        <v>2.89</v>
      </c>
      <c r="E1057" s="6">
        <v>28.9</v>
      </c>
      <c r="F1057" s="1">
        <f t="shared" si="80"/>
        <v>1958.9583333332534</v>
      </c>
      <c r="G1057" s="17">
        <v>3.86</v>
      </c>
      <c r="H1057" s="1">
        <f>B1057*$E$1867/E1057</f>
        <v>620.27161323529424</v>
      </c>
      <c r="I1057" s="1">
        <f>C1057*$E$1867/E1057</f>
        <v>20.293051470588235</v>
      </c>
      <c r="J1057" s="26">
        <f t="shared" si="81"/>
        <v>64390.367215303158</v>
      </c>
      <c r="K1057" s="1">
        <f>D1057*$E$1867/E1057</f>
        <v>33.512525000000004</v>
      </c>
      <c r="L1057" s="26">
        <f t="shared" si="79"/>
        <v>3478.9336558651357</v>
      </c>
      <c r="M1057" s="10">
        <f t="shared" si="77"/>
        <v>17.358357365369958</v>
      </c>
      <c r="N1057" s="4">
        <f t="shared" si="78"/>
        <v>21.399510465598887</v>
      </c>
      <c r="O1057" s="36">
        <f>1/M1057-(G1057/100-(((E1057/E937)^(1/10))-1))</f>
        <v>3.7338063210747896E-2</v>
      </c>
      <c r="P1057" s="48">
        <v>2.77</v>
      </c>
      <c r="R1057" s="30"/>
      <c r="S1057" s="30"/>
    </row>
    <row r="1058" spans="1:19" ht="13" x14ac:dyDescent="0.3">
      <c r="A1058" s="52" t="s">
        <v>1074</v>
      </c>
      <c r="B1058" s="6">
        <v>55.62</v>
      </c>
      <c r="C1058" s="1">
        <v>1.75667</v>
      </c>
      <c r="D1058" s="6">
        <v>2.96333</v>
      </c>
      <c r="E1058" s="6">
        <v>29</v>
      </c>
      <c r="F1058" s="1">
        <f t="shared" si="80"/>
        <v>1959.0416666665867</v>
      </c>
      <c r="G1058" s="17">
        <v>4.0199999999999996</v>
      </c>
      <c r="H1058" s="1">
        <f>B1058*$E$1867/E1058</f>
        <v>642.74711741379315</v>
      </c>
      <c r="I1058" s="1">
        <f>C1058*$E$1867/E1058</f>
        <v>20.300154238534482</v>
      </c>
      <c r="J1058" s="26">
        <f t="shared" si="81"/>
        <v>66899.161426892955</v>
      </c>
      <c r="K1058" s="1">
        <f>D1058*$E$1867/E1058</f>
        <v>34.244369209741379</v>
      </c>
      <c r="L1058" s="26">
        <f t="shared" si="79"/>
        <v>3564.2627118150785</v>
      </c>
      <c r="M1058" s="10">
        <f t="shared" si="77"/>
        <v>17.980339342993389</v>
      </c>
      <c r="N1058" s="4">
        <f t="shared" si="78"/>
        <v>22.140010454221436</v>
      </c>
      <c r="O1058" s="36">
        <f>1/M1058-(G1058/100-(((E1058/E938)^(1/10))-1))</f>
        <v>3.45207004870247E-2</v>
      </c>
      <c r="P1058" s="48">
        <v>2.82</v>
      </c>
      <c r="R1058" s="30"/>
      <c r="S1058" s="30"/>
    </row>
    <row r="1059" spans="1:19" ht="13" x14ac:dyDescent="0.3">
      <c r="A1059" s="52" t="s">
        <v>1075</v>
      </c>
      <c r="B1059" s="6">
        <v>54.77</v>
      </c>
      <c r="C1059" s="1">
        <v>1.7633300000000001</v>
      </c>
      <c r="D1059" s="6">
        <v>3.03667</v>
      </c>
      <c r="E1059" s="6">
        <v>28.9</v>
      </c>
      <c r="F1059" s="1">
        <f t="shared" si="80"/>
        <v>1959.12499999992</v>
      </c>
      <c r="G1059" s="17">
        <v>3.96</v>
      </c>
      <c r="H1059" s="1">
        <f>B1059*$E$1867/E1059</f>
        <v>635.11453088235294</v>
      </c>
      <c r="I1059" s="1">
        <f>C1059*$E$1867/E1059</f>
        <v>20.447626542647058</v>
      </c>
      <c r="J1059" s="26">
        <f t="shared" si="81"/>
        <v>66282.092071538034</v>
      </c>
      <c r="K1059" s="1">
        <f>D1059*$E$1867/E1059</f>
        <v>35.213314633823529</v>
      </c>
      <c r="L1059" s="26">
        <f t="shared" si="79"/>
        <v>3674.9468784166038</v>
      </c>
      <c r="M1059" s="10">
        <f t="shared" si="77"/>
        <v>17.759169263611415</v>
      </c>
      <c r="N1059" s="4">
        <f t="shared" si="78"/>
        <v>21.841682331178788</v>
      </c>
      <c r="O1059" s="36">
        <f>1/M1059-(G1059/100-(((E1059/E939)^(1/10))-1))</f>
        <v>3.6314250209677851E-2</v>
      </c>
      <c r="P1059" s="48">
        <v>2.7</v>
      </c>
      <c r="R1059" s="30"/>
      <c r="S1059" s="30"/>
    </row>
    <row r="1060" spans="1:19" ht="13" x14ac:dyDescent="0.3">
      <c r="A1060" s="52" t="s">
        <v>1076</v>
      </c>
      <c r="B1060" s="6">
        <v>56.16</v>
      </c>
      <c r="C1060" s="1">
        <v>1.77</v>
      </c>
      <c r="D1060" s="6">
        <v>3.11</v>
      </c>
      <c r="E1060" s="6">
        <v>28.9</v>
      </c>
      <c r="F1060" s="1">
        <f t="shared" si="80"/>
        <v>1959.2083333332532</v>
      </c>
      <c r="G1060" s="17">
        <v>3.99</v>
      </c>
      <c r="H1060" s="1">
        <f>B1060*$E$1867/E1060</f>
        <v>651.23301176470579</v>
      </c>
      <c r="I1060" s="1">
        <f>C1060*$E$1867/E1060</f>
        <v>20.524972058823529</v>
      </c>
      <c r="J1060" s="26">
        <f t="shared" si="81"/>
        <v>68142.758797117523</v>
      </c>
      <c r="K1060" s="1">
        <f>D1060*$E$1867/E1060</f>
        <v>36.063651470588233</v>
      </c>
      <c r="L1060" s="26">
        <f t="shared" si="79"/>
        <v>3773.5751399400915</v>
      </c>
      <c r="M1060" s="10">
        <f t="shared" si="77"/>
        <v>18.200871845485626</v>
      </c>
      <c r="N1060" s="4">
        <f t="shared" si="78"/>
        <v>22.355431528386696</v>
      </c>
      <c r="O1060" s="36">
        <f>1/M1060-(G1060/100-(((E1060/E940)^(1/10))-1))</f>
        <v>3.464773301871929E-2</v>
      </c>
      <c r="P1060" s="48">
        <v>2.8</v>
      </c>
      <c r="R1060" s="30"/>
      <c r="S1060" s="30"/>
    </row>
    <row r="1061" spans="1:19" ht="13" x14ac:dyDescent="0.3">
      <c r="A1061" s="52" t="s">
        <v>1077</v>
      </c>
      <c r="B1061" s="6">
        <v>57.1</v>
      </c>
      <c r="C1061" s="1">
        <v>1.77667</v>
      </c>
      <c r="D1061" s="6">
        <v>3.2066699999999999</v>
      </c>
      <c r="E1061" s="6">
        <v>29</v>
      </c>
      <c r="F1061" s="1">
        <f t="shared" si="80"/>
        <v>1959.2916666665865</v>
      </c>
      <c r="G1061" s="17">
        <v>4.12</v>
      </c>
      <c r="H1061" s="1">
        <f>B1061*$E$1867/E1061</f>
        <v>659.8500612068965</v>
      </c>
      <c r="I1061" s="1">
        <f>C1061*$E$1867/E1061</f>
        <v>20.531275100603445</v>
      </c>
      <c r="J1061" s="26">
        <f t="shared" si="81"/>
        <v>69223.443671629255</v>
      </c>
      <c r="K1061" s="1">
        <f>D1061*$E$1867/E1061</f>
        <v>37.05641673853448</v>
      </c>
      <c r="L1061" s="26">
        <f t="shared" si="79"/>
        <v>3887.5085835114428</v>
      </c>
      <c r="M1061" s="10">
        <f t="shared" si="77"/>
        <v>18.430753048783412</v>
      </c>
      <c r="N1061" s="4">
        <f t="shared" si="78"/>
        <v>22.606141738484006</v>
      </c>
      <c r="O1061" s="36">
        <f>1/M1061-(G1061/100-(((E1061/E941)^(1/10))-1))</f>
        <v>3.2587143118029217E-2</v>
      </c>
      <c r="P1061" s="48">
        <v>2.95</v>
      </c>
      <c r="R1061" s="30"/>
      <c r="S1061" s="30"/>
    </row>
    <row r="1062" spans="1:19" ht="13" x14ac:dyDescent="0.3">
      <c r="A1062" s="52" t="s">
        <v>1078</v>
      </c>
      <c r="B1062" s="6">
        <v>57.96</v>
      </c>
      <c r="C1062" s="1">
        <v>1.7833300000000001</v>
      </c>
      <c r="D1062" s="6">
        <v>3.3033299999999999</v>
      </c>
      <c r="E1062" s="6">
        <v>29</v>
      </c>
      <c r="F1062" s="1">
        <f t="shared" si="80"/>
        <v>1959.3749999999197</v>
      </c>
      <c r="G1062" s="17">
        <v>4.3099999999999996</v>
      </c>
      <c r="H1062" s="1">
        <f>B1062*$E$1867/E1062</f>
        <v>669.78825827586206</v>
      </c>
      <c r="I1062" s="1">
        <f>C1062*$E$1867/E1062</f>
        <v>20.608238347672415</v>
      </c>
      <c r="J1062" s="26">
        <f t="shared" si="81"/>
        <v>70446.20225670535</v>
      </c>
      <c r="K1062" s="1">
        <f>D1062*$E$1867/E1062</f>
        <v>38.173423864913794</v>
      </c>
      <c r="L1062" s="26">
        <f t="shared" si="79"/>
        <v>4014.9595117433141</v>
      </c>
      <c r="M1062" s="10">
        <f t="shared" si="77"/>
        <v>18.692721439594177</v>
      </c>
      <c r="N1062" s="4">
        <f t="shared" si="78"/>
        <v>22.894229168466925</v>
      </c>
      <c r="O1062" s="36">
        <f>1/M1062-(G1062/100-(((E1062/E942)^(1/10))-1))</f>
        <v>3.0354324726054649E-2</v>
      </c>
      <c r="P1062" s="48">
        <v>2.84</v>
      </c>
      <c r="R1062" s="30"/>
      <c r="S1062" s="30"/>
    </row>
    <row r="1063" spans="1:19" ht="13" x14ac:dyDescent="0.3">
      <c r="A1063" s="52" t="s">
        <v>1079</v>
      </c>
      <c r="B1063" s="6">
        <v>57.46</v>
      </c>
      <c r="C1063" s="1">
        <v>1.79</v>
      </c>
      <c r="D1063" s="6">
        <v>3.4</v>
      </c>
      <c r="E1063" s="6">
        <v>29.1</v>
      </c>
      <c r="F1063" s="1">
        <f t="shared" si="80"/>
        <v>1959.458333333253</v>
      </c>
      <c r="G1063" s="17">
        <v>4.34</v>
      </c>
      <c r="H1063" s="1">
        <f>B1063*$E$1867/E1063</f>
        <v>661.72841460481095</v>
      </c>
      <c r="I1063" s="1">
        <f>C1063*$E$1867/E1063</f>
        <v>20.614233591065293</v>
      </c>
      <c r="J1063" s="26">
        <f t="shared" si="81"/>
        <v>69779.171794250316</v>
      </c>
      <c r="K1063" s="1">
        <f>D1063*$E$1867/E1063</f>
        <v>39.155527491408925</v>
      </c>
      <c r="L1063" s="26">
        <f t="shared" si="79"/>
        <v>4128.9450765828587</v>
      </c>
      <c r="M1063" s="10">
        <f t="shared" si="77"/>
        <v>18.448591397066465</v>
      </c>
      <c r="N1063" s="4">
        <f t="shared" si="78"/>
        <v>22.562214820417122</v>
      </c>
      <c r="O1063" s="36">
        <f>1/M1063-(G1063/100-(((E1063/E943)^(1/10))-1))</f>
        <v>3.0685698424929742E-2</v>
      </c>
      <c r="P1063" s="48">
        <v>3.21</v>
      </c>
      <c r="R1063" s="30"/>
      <c r="S1063" s="30"/>
    </row>
    <row r="1064" spans="1:19" ht="13" x14ac:dyDescent="0.3">
      <c r="A1064" s="52" t="s">
        <v>1080</v>
      </c>
      <c r="B1064" s="6">
        <v>59.74</v>
      </c>
      <c r="C1064" s="1">
        <v>1.79667</v>
      </c>
      <c r="D1064" s="6">
        <v>3.41</v>
      </c>
      <c r="E1064" s="6">
        <v>29.2</v>
      </c>
      <c r="F1064" s="1">
        <f t="shared" si="80"/>
        <v>1959.5416666665863</v>
      </c>
      <c r="G1064" s="17">
        <v>4.4000000000000004</v>
      </c>
      <c r="H1064" s="1">
        <f>B1064*$E$1867/E1064</f>
        <v>685.62953544520553</v>
      </c>
      <c r="I1064" s="1">
        <f>C1064*$E$1867/E1064</f>
        <v>20.620187771147261</v>
      </c>
      <c r="J1064" s="26">
        <f t="shared" si="81"/>
        <v>72480.741420827981</v>
      </c>
      <c r="K1064" s="1">
        <f>D1064*$E$1867/E1064</f>
        <v>39.136202140410958</v>
      </c>
      <c r="L1064" s="26">
        <f t="shared" si="79"/>
        <v>4137.2502217111387</v>
      </c>
      <c r="M1064" s="10">
        <f t="shared" si="77"/>
        <v>19.090533975796504</v>
      </c>
      <c r="N1064" s="4">
        <f t="shared" si="78"/>
        <v>23.310742907975161</v>
      </c>
      <c r="O1064" s="36">
        <f>1/M1064-(G1064/100-(((E1064/E944)^(1/10))-1))</f>
        <v>2.9470635773643367E-2</v>
      </c>
      <c r="P1064" s="48">
        <v>3.2</v>
      </c>
      <c r="R1064" s="30"/>
      <c r="S1064" s="30"/>
    </row>
    <row r="1065" spans="1:19" ht="13" x14ac:dyDescent="0.3">
      <c r="A1065" s="52" t="s">
        <v>1081</v>
      </c>
      <c r="B1065" s="6">
        <v>59.4</v>
      </c>
      <c r="C1065" s="1">
        <v>1.8033300000000001</v>
      </c>
      <c r="D1065" s="6">
        <v>3.42</v>
      </c>
      <c r="E1065" s="6">
        <v>29.2</v>
      </c>
      <c r="F1065" s="1">
        <f t="shared" si="80"/>
        <v>1959.6249999999195</v>
      </c>
      <c r="G1065" s="17">
        <v>4.43</v>
      </c>
      <c r="H1065" s="1">
        <f>B1065*$E$1867/E1065</f>
        <v>681.7273921232877</v>
      </c>
      <c r="I1065" s="1">
        <f>C1065*$E$1867/E1065</f>
        <v>20.696623872688356</v>
      </c>
      <c r="J1065" s="26">
        <f t="shared" si="81"/>
        <v>72250.556829863577</v>
      </c>
      <c r="K1065" s="1">
        <f>D1065*$E$1867/E1065</f>
        <v>39.250971061643838</v>
      </c>
      <c r="L1065" s="26">
        <f t="shared" si="79"/>
        <v>4159.8805447497207</v>
      </c>
      <c r="M1065" s="10">
        <f t="shared" si="77"/>
        <v>18.958803640750197</v>
      </c>
      <c r="N1065" s="4">
        <f t="shared" si="78"/>
        <v>23.114626571364813</v>
      </c>
      <c r="O1065" s="36">
        <f>1/M1065-(G1065/100-(((E1065/E945)^(1/10))-1))</f>
        <v>2.910475620080246E-2</v>
      </c>
      <c r="P1065" s="48">
        <v>3.38</v>
      </c>
      <c r="R1065" s="30"/>
      <c r="S1065" s="30"/>
    </row>
    <row r="1066" spans="1:19" ht="13" x14ac:dyDescent="0.3">
      <c r="A1066" s="52" t="s">
        <v>1082</v>
      </c>
      <c r="B1066" s="6">
        <v>57.05</v>
      </c>
      <c r="C1066" s="1">
        <v>1.81</v>
      </c>
      <c r="D1066" s="6">
        <v>3.43</v>
      </c>
      <c r="E1066" s="6">
        <v>29.3</v>
      </c>
      <c r="F1066" s="1">
        <f t="shared" si="80"/>
        <v>1959.7083333332528</v>
      </c>
      <c r="G1066" s="17">
        <v>4.68</v>
      </c>
      <c r="H1066" s="1">
        <f>B1066*$E$1867/E1066</f>
        <v>652.52203114334463</v>
      </c>
      <c r="I1066" s="1">
        <f>C1066*$E$1867/E1066</f>
        <v>20.702276535836177</v>
      </c>
      <c r="J1066" s="26">
        <f t="shared" si="81"/>
        <v>69338.164429502183</v>
      </c>
      <c r="K1066" s="1">
        <f>D1066*$E$1867/E1066</f>
        <v>39.231385921501705</v>
      </c>
      <c r="L1066" s="26">
        <f t="shared" si="79"/>
        <v>4168.7976160068802</v>
      </c>
      <c r="M1066" s="10">
        <f t="shared" si="77"/>
        <v>18.123290556758612</v>
      </c>
      <c r="N1066" s="4">
        <f t="shared" si="78"/>
        <v>22.065621822784557</v>
      </c>
      <c r="O1066" s="36">
        <f>1/M1066-(G1066/100-(((E1066/E946)^(1/10))-1))</f>
        <v>2.8957426532419832E-2</v>
      </c>
      <c r="P1066" s="48">
        <v>4.04</v>
      </c>
      <c r="R1066" s="30"/>
      <c r="S1066" s="30"/>
    </row>
    <row r="1067" spans="1:19" ht="13" x14ac:dyDescent="0.3">
      <c r="A1067" s="52" t="s">
        <v>1083</v>
      </c>
      <c r="B1067" s="6">
        <v>57</v>
      </c>
      <c r="C1067" s="1">
        <v>1.81667</v>
      </c>
      <c r="D1067" s="6">
        <v>3.4166699999999999</v>
      </c>
      <c r="E1067" s="6">
        <v>29.4</v>
      </c>
      <c r="F1067" s="1">
        <f t="shared" si="80"/>
        <v>1959.791666666586</v>
      </c>
      <c r="G1067" s="17">
        <v>4.53</v>
      </c>
      <c r="H1067" s="1">
        <f>B1067*$E$1867/E1067</f>
        <v>649.73262755102041</v>
      </c>
      <c r="I1067" s="1">
        <f>C1067*$E$1867/E1067</f>
        <v>20.707890745493199</v>
      </c>
      <c r="J1067" s="26">
        <f t="shared" si="81"/>
        <v>69225.128863447826</v>
      </c>
      <c r="K1067" s="1">
        <f>D1067*$E$1867/E1067</f>
        <v>38.945999589030606</v>
      </c>
      <c r="L1067" s="26">
        <f t="shared" si="79"/>
        <v>4149.4635269101091</v>
      </c>
      <c r="M1067" s="10">
        <f t="shared" si="77"/>
        <v>18.021962441515413</v>
      </c>
      <c r="N1067" s="4">
        <f t="shared" si="78"/>
        <v>21.913293512657322</v>
      </c>
      <c r="O1067" s="36">
        <f>1/M1067-(G1067/100-(((E1067/E947)^(1/10))-1))</f>
        <v>3.1973736478613762E-2</v>
      </c>
      <c r="P1067" s="48">
        <v>4.05</v>
      </c>
      <c r="R1067" s="30"/>
      <c r="S1067" s="30"/>
    </row>
    <row r="1068" spans="1:19" ht="13" x14ac:dyDescent="0.3">
      <c r="A1068" s="52" t="s">
        <v>1084</v>
      </c>
      <c r="B1068" s="6">
        <v>57.23</v>
      </c>
      <c r="C1068" s="1">
        <v>1.8233299999999999</v>
      </c>
      <c r="D1068" s="6">
        <v>3.40333</v>
      </c>
      <c r="E1068" s="6">
        <v>29.4</v>
      </c>
      <c r="F1068" s="1">
        <f t="shared" si="80"/>
        <v>1959.8749999999193</v>
      </c>
      <c r="G1068" s="17">
        <v>4.53</v>
      </c>
      <c r="H1068" s="1">
        <f>B1068*$E$1867/E1068</f>
        <v>652.35435569727883</v>
      </c>
      <c r="I1068" s="1">
        <f>C1068*$E$1867/E1068</f>
        <v>20.783806873554422</v>
      </c>
      <c r="J1068" s="26">
        <f t="shared" si="81"/>
        <v>69688.99086618716</v>
      </c>
      <c r="K1068" s="1">
        <f>D1068*$E$1867/E1068</f>
        <v>38.793939356547625</v>
      </c>
      <c r="L1068" s="26">
        <f t="shared" si="79"/>
        <v>4144.2361223942135</v>
      </c>
      <c r="M1068" s="10">
        <f t="shared" si="77"/>
        <v>18.071789130570203</v>
      </c>
      <c r="N1068" s="4">
        <f t="shared" si="78"/>
        <v>21.945863395901224</v>
      </c>
      <c r="O1068" s="36">
        <f>1/M1068-(G1068/100-(((E1068/E948)^(1/10))-1))</f>
        <v>3.1390612264807709E-2</v>
      </c>
      <c r="P1068" s="48">
        <v>4.1500000000000004</v>
      </c>
      <c r="R1068" s="30"/>
      <c r="S1068" s="30"/>
    </row>
    <row r="1069" spans="1:19" ht="13" x14ac:dyDescent="0.3">
      <c r="A1069" s="52" t="s">
        <v>1085</v>
      </c>
      <c r="B1069" s="6">
        <v>59.06</v>
      </c>
      <c r="C1069" s="1">
        <v>1.83</v>
      </c>
      <c r="D1069" s="6">
        <v>3.39</v>
      </c>
      <c r="E1069" s="6">
        <v>29.4</v>
      </c>
      <c r="F1069" s="1">
        <f t="shared" si="80"/>
        <v>1959.9583333332525</v>
      </c>
      <c r="G1069" s="17">
        <v>4.6900000000000004</v>
      </c>
      <c r="H1069" s="1">
        <f>B1069*$E$1867/E1069</f>
        <v>673.21419268707496</v>
      </c>
      <c r="I1069" s="1">
        <f>C1069*$E$1867/E1069</f>
        <v>20.859836989795919</v>
      </c>
      <c r="J1069" s="26">
        <f t="shared" si="81"/>
        <v>72103.081804370231</v>
      </c>
      <c r="K1069" s="1">
        <f>D1069*$E$1867/E1069</f>
        <v>38.641993112244897</v>
      </c>
      <c r="L1069" s="26">
        <f t="shared" si="79"/>
        <v>4138.663178408653</v>
      </c>
      <c r="M1069" s="10">
        <f t="shared" si="77"/>
        <v>18.624728977900098</v>
      </c>
      <c r="N1069" s="4">
        <f t="shared" si="78"/>
        <v>22.588315691509798</v>
      </c>
      <c r="O1069" s="36">
        <f>1/M1069-(G1069/100-(((E1069/E949)^(1/10))-1))</f>
        <v>2.9010076868157743E-2</v>
      </c>
      <c r="P1069" s="48">
        <v>4.49</v>
      </c>
      <c r="R1069" s="30"/>
      <c r="S1069" s="30"/>
    </row>
    <row r="1070" spans="1:19" ht="13" x14ac:dyDescent="0.3">
      <c r="A1070" s="52" t="s">
        <v>1086</v>
      </c>
      <c r="B1070" s="6">
        <v>58.03</v>
      </c>
      <c r="C1070" s="1">
        <v>1.8666700000000001</v>
      </c>
      <c r="D1070" s="6">
        <v>3.39</v>
      </c>
      <c r="E1070" s="6">
        <v>29.3</v>
      </c>
      <c r="F1070" s="1">
        <f t="shared" si="80"/>
        <v>1960.0416666665858</v>
      </c>
      <c r="G1070" s="17">
        <v>4.72</v>
      </c>
      <c r="H1070" s="1">
        <f>B1070*$E$1867/E1070</f>
        <v>663.73099854948805</v>
      </c>
      <c r="I1070" s="1">
        <f>C1070*$E$1867/E1070</f>
        <v>21.350452232679181</v>
      </c>
      <c r="J1070" s="26">
        <f t="shared" si="81"/>
        <v>71277.963421971159</v>
      </c>
      <c r="K1070" s="1">
        <f>D1070*$E$1867/E1070</f>
        <v>38.773877047781568</v>
      </c>
      <c r="L1070" s="26">
        <f t="shared" si="79"/>
        <v>4163.9203170856836</v>
      </c>
      <c r="M1070" s="10">
        <f t="shared" si="77"/>
        <v>18.338284994375563</v>
      </c>
      <c r="N1070" s="4">
        <f t="shared" si="78"/>
        <v>22.215441275545881</v>
      </c>
      <c r="O1070" s="36">
        <f>1/M1070-(G1070/100-(((E1070/E950)^(1/10))-1))</f>
        <v>2.9634527949424019E-2</v>
      </c>
      <c r="P1070" s="48">
        <v>4.3499999999999996</v>
      </c>
      <c r="R1070" s="30"/>
      <c r="S1070" s="30"/>
    </row>
    <row r="1071" spans="1:19" ht="13" x14ac:dyDescent="0.3">
      <c r="A1071" s="52" t="s">
        <v>1087</v>
      </c>
      <c r="B1071" s="6">
        <v>55.78</v>
      </c>
      <c r="C1071" s="1">
        <v>1.90333</v>
      </c>
      <c r="D1071" s="6">
        <v>3.39</v>
      </c>
      <c r="E1071" s="6">
        <v>29.4</v>
      </c>
      <c r="F1071" s="1">
        <f t="shared" si="80"/>
        <v>1960.1249999999191</v>
      </c>
      <c r="G1071" s="17">
        <v>4.49</v>
      </c>
      <c r="H1071" s="1">
        <f>B1071*$E$1867/E1071</f>
        <v>635.82606955782319</v>
      </c>
      <c r="I1071" s="1">
        <f>C1071*$E$1867/E1071</f>
        <v>21.695712315731292</v>
      </c>
      <c r="J1071" s="26">
        <f t="shared" si="81"/>
        <v>68475.415909568503</v>
      </c>
      <c r="K1071" s="1">
        <f>D1071*$E$1867/E1071</f>
        <v>38.641993112244897</v>
      </c>
      <c r="L1071" s="26">
        <f t="shared" si="79"/>
        <v>4161.5571877633056</v>
      </c>
      <c r="M1071" s="10">
        <f t="shared" si="77"/>
        <v>17.545275108945976</v>
      </c>
      <c r="N1071" s="4">
        <f t="shared" si="78"/>
        <v>21.233856769802063</v>
      </c>
      <c r="O1071" s="36">
        <f>1/M1071-(G1071/100-(((E1071/E951)^(1/10))-1))</f>
        <v>3.4747577618196336E-2</v>
      </c>
      <c r="P1071" s="48">
        <v>3.96</v>
      </c>
      <c r="R1071" s="30"/>
      <c r="S1071" s="30"/>
    </row>
    <row r="1072" spans="1:19" ht="13" x14ac:dyDescent="0.3">
      <c r="A1072" s="52" t="s">
        <v>1088</v>
      </c>
      <c r="B1072" s="6">
        <v>55.02</v>
      </c>
      <c r="C1072" s="1">
        <v>1.94</v>
      </c>
      <c r="D1072" s="6">
        <v>3.39</v>
      </c>
      <c r="E1072" s="6">
        <v>29.4</v>
      </c>
      <c r="F1072" s="1">
        <f t="shared" si="80"/>
        <v>1960.2083333332523</v>
      </c>
      <c r="G1072" s="17">
        <v>4.25</v>
      </c>
      <c r="H1072" s="1">
        <f>B1072*$E$1867/E1072</f>
        <v>627.16296785714292</v>
      </c>
      <c r="I1072" s="1">
        <f>C1072*$E$1867/E1072</f>
        <v>22.113706972789114</v>
      </c>
      <c r="J1072" s="26">
        <f t="shared" si="81"/>
        <v>67740.903111924927</v>
      </c>
      <c r="K1072" s="1">
        <f>D1072*$E$1867/E1072</f>
        <v>38.641993112244897</v>
      </c>
      <c r="L1072" s="26">
        <f t="shared" si="79"/>
        <v>4173.7851971905757</v>
      </c>
      <c r="M1072" s="10">
        <f t="shared" si="77"/>
        <v>17.286020720522153</v>
      </c>
      <c r="N1072" s="4">
        <f t="shared" si="78"/>
        <v>20.901862083864064</v>
      </c>
      <c r="O1072" s="36">
        <f>1/M1072-(G1072/100-(((E1072/E952)^(1/10))-1))</f>
        <v>3.7568234521250819E-2</v>
      </c>
      <c r="P1072" s="48">
        <v>3.31</v>
      </c>
      <c r="R1072" s="30"/>
      <c r="S1072" s="30"/>
    </row>
    <row r="1073" spans="1:19" ht="13" x14ac:dyDescent="0.3">
      <c r="A1073" s="52" t="s">
        <v>1089</v>
      </c>
      <c r="B1073" s="6">
        <v>55.73</v>
      </c>
      <c r="C1073" s="1">
        <v>1.94333</v>
      </c>
      <c r="D1073" s="6">
        <v>3.34667</v>
      </c>
      <c r="E1073" s="6">
        <v>29.5</v>
      </c>
      <c r="F1073" s="1">
        <f t="shared" si="80"/>
        <v>1960.2916666665856</v>
      </c>
      <c r="G1073" s="17">
        <v>4.28</v>
      </c>
      <c r="H1073" s="1">
        <f>B1073*$E$1867/E1073</f>
        <v>633.10271805084744</v>
      </c>
      <c r="I1073" s="1">
        <f>C1073*$E$1867/E1073</f>
        <v>22.076574646864405</v>
      </c>
      <c r="J1073" s="26">
        <f t="shared" si="81"/>
        <v>68581.175887486068</v>
      </c>
      <c r="K1073" s="1">
        <f>D1073*$E$1867/E1073</f>
        <v>38.018766793813562</v>
      </c>
      <c r="L1073" s="26">
        <f t="shared" si="79"/>
        <v>4118.4023669006465</v>
      </c>
      <c r="M1073" s="10">
        <f t="shared" si="77"/>
        <v>17.429766947597205</v>
      </c>
      <c r="N1073" s="4">
        <f t="shared" si="78"/>
        <v>21.057013645324023</v>
      </c>
      <c r="O1073" s="36">
        <f>1/M1073-(G1073/100-(((E1073/E953)^(1/10))-1))</f>
        <v>3.7138296214863302E-2</v>
      </c>
      <c r="P1073" s="48">
        <v>3.23</v>
      </c>
      <c r="R1073" s="30"/>
      <c r="S1073" s="30"/>
    </row>
    <row r="1074" spans="1:19" ht="13" x14ac:dyDescent="0.3">
      <c r="A1074" s="52" t="s">
        <v>1090</v>
      </c>
      <c r="B1074" s="6">
        <v>55.22</v>
      </c>
      <c r="C1074" s="1">
        <v>1.9466699999999999</v>
      </c>
      <c r="D1074" s="6">
        <v>3.3033299999999999</v>
      </c>
      <c r="E1074" s="6">
        <v>29.5</v>
      </c>
      <c r="F1074" s="1">
        <f t="shared" si="80"/>
        <v>1960.3749999999188</v>
      </c>
      <c r="G1074" s="17">
        <v>4.3499999999999996</v>
      </c>
      <c r="H1074" s="1">
        <f>B1074*$E$1867/E1074</f>
        <v>627.30902728813555</v>
      </c>
      <c r="I1074" s="1">
        <f>C1074*$E$1867/E1074</f>
        <v>22.114517641271185</v>
      </c>
      <c r="J1074" s="26">
        <f t="shared" si="81"/>
        <v>68153.201907633018</v>
      </c>
      <c r="K1074" s="1">
        <f>D1074*$E$1867/E1074</f>
        <v>37.526416680762708</v>
      </c>
      <c r="L1074" s="26">
        <f t="shared" si="79"/>
        <v>4077.0104392890503</v>
      </c>
      <c r="M1074" s="10">
        <f t="shared" si="77"/>
        <v>17.256170578727918</v>
      </c>
      <c r="N1074" s="4">
        <f t="shared" si="78"/>
        <v>20.829617960486182</v>
      </c>
      <c r="O1074" s="36">
        <f>1/M1074-(G1074/100-(((E1074/E954)^(1/10))-1))</f>
        <v>3.6583183856928651E-2</v>
      </c>
      <c r="P1074" s="48">
        <v>3.29</v>
      </c>
      <c r="R1074" s="30"/>
      <c r="S1074" s="30"/>
    </row>
    <row r="1075" spans="1:19" ht="13" x14ac:dyDescent="0.3">
      <c r="A1075" s="52" t="s">
        <v>1091</v>
      </c>
      <c r="B1075" s="6">
        <v>57.26</v>
      </c>
      <c r="C1075" s="1">
        <v>1.95</v>
      </c>
      <c r="D1075" s="6">
        <v>3.26</v>
      </c>
      <c r="E1075" s="6">
        <v>29.6</v>
      </c>
      <c r="F1075" s="1">
        <f t="shared" si="80"/>
        <v>1960.4583333332521</v>
      </c>
      <c r="G1075" s="17">
        <v>4.1500000000000004</v>
      </c>
      <c r="H1075" s="1">
        <f>B1075*$E$1867/E1075</f>
        <v>648.28620996621623</v>
      </c>
      <c r="I1075" s="1">
        <f>C1075*$E$1867/E1075</f>
        <v>22.077508023648644</v>
      </c>
      <c r="J1075" s="26">
        <f t="shared" si="81"/>
        <v>70632.123519412038</v>
      </c>
      <c r="K1075" s="1">
        <f>D1075*$E$1867/E1075</f>
        <v>36.909064695945936</v>
      </c>
      <c r="L1075" s="26">
        <f t="shared" si="79"/>
        <v>4021.3189429494096</v>
      </c>
      <c r="M1075" s="10">
        <f t="shared" si="77"/>
        <v>17.823363817264742</v>
      </c>
      <c r="N1075" s="4">
        <f t="shared" si="78"/>
        <v>21.494025476015565</v>
      </c>
      <c r="O1075" s="36">
        <f>1/M1075-(G1075/100-(((E1075/E955)^(1/10))-1))</f>
        <v>3.6654561760249449E-2</v>
      </c>
      <c r="P1075" s="48">
        <v>2.46</v>
      </c>
      <c r="R1075" s="30"/>
      <c r="S1075" s="30"/>
    </row>
    <row r="1076" spans="1:19" ht="13" x14ac:dyDescent="0.3">
      <c r="A1076" s="52" t="s">
        <v>1092</v>
      </c>
      <c r="B1076" s="6">
        <v>55.84</v>
      </c>
      <c r="C1076" s="1">
        <v>1.95</v>
      </c>
      <c r="D1076" s="6">
        <v>3.2633299999999998</v>
      </c>
      <c r="E1076" s="6">
        <v>29.6</v>
      </c>
      <c r="F1076" s="1">
        <f t="shared" si="80"/>
        <v>1960.5416666665853</v>
      </c>
      <c r="G1076" s="17">
        <v>3.9</v>
      </c>
      <c r="H1076" s="1">
        <f>B1076*$E$1867/E1076</f>
        <v>632.20925540540543</v>
      </c>
      <c r="I1076" s="1">
        <f>C1076*$E$1867/E1076</f>
        <v>22.077508023648644</v>
      </c>
      <c r="J1076" s="26">
        <f t="shared" si="81"/>
        <v>69080.955246173122</v>
      </c>
      <c r="K1076" s="1">
        <f>D1076*$E$1867/E1076</f>
        <v>36.946766286570949</v>
      </c>
      <c r="L1076" s="26">
        <f t="shared" si="79"/>
        <v>4037.1410043605683</v>
      </c>
      <c r="M1076" s="10">
        <f t="shared" si="77"/>
        <v>17.376806472898114</v>
      </c>
      <c r="N1076" s="4">
        <f t="shared" si="78"/>
        <v>20.937549239049801</v>
      </c>
      <c r="O1076" s="36">
        <f>1/M1076-(G1076/100-(((E1076/E956)^(1/10))-1))</f>
        <v>3.9316960601444684E-2</v>
      </c>
      <c r="P1076" s="48">
        <v>2.2999999999999998</v>
      </c>
      <c r="R1076" s="30"/>
      <c r="S1076" s="30"/>
    </row>
    <row r="1077" spans="1:19" ht="13" x14ac:dyDescent="0.3">
      <c r="A1077" s="52" t="s">
        <v>1093</v>
      </c>
      <c r="B1077" s="6">
        <v>56.51</v>
      </c>
      <c r="C1077" s="1">
        <v>1.95</v>
      </c>
      <c r="D1077" s="6">
        <v>3.26667</v>
      </c>
      <c r="E1077" s="6">
        <v>29.6</v>
      </c>
      <c r="F1077" s="1">
        <f t="shared" si="80"/>
        <v>1960.6249999999186</v>
      </c>
      <c r="G1077" s="17">
        <v>3.8</v>
      </c>
      <c r="H1077" s="1">
        <f>B1077*$E$1867/E1077</f>
        <v>639.79486072635132</v>
      </c>
      <c r="I1077" s="1">
        <f>C1077*$E$1867/E1077</f>
        <v>22.077508023648644</v>
      </c>
      <c r="J1077" s="26">
        <f t="shared" si="81"/>
        <v>70110.860246933138</v>
      </c>
      <c r="K1077" s="1">
        <f>D1077*$E$1867/E1077</f>
        <v>36.98458109518581</v>
      </c>
      <c r="L1077" s="26">
        <f t="shared" si="79"/>
        <v>4052.894069064751</v>
      </c>
      <c r="M1077" s="10">
        <f t="shared" si="77"/>
        <v>17.582113039577674</v>
      </c>
      <c r="N1077" s="4">
        <f t="shared" si="78"/>
        <v>21.166031871201252</v>
      </c>
      <c r="O1077" s="36">
        <f>1/M1077-(G1077/100-(((E1077/E957)^(1/10))-1))</f>
        <v>3.8801705124786791E-2</v>
      </c>
      <c r="P1077" s="48">
        <v>2.2999999999999998</v>
      </c>
      <c r="R1077" s="30"/>
      <c r="S1077" s="30"/>
    </row>
    <row r="1078" spans="1:19" ht="13" x14ac:dyDescent="0.3">
      <c r="A1078" s="52" t="s">
        <v>1094</v>
      </c>
      <c r="B1078" s="6">
        <v>54.81</v>
      </c>
      <c r="C1078" s="1">
        <v>1.95</v>
      </c>
      <c r="D1078" s="6">
        <v>3.27</v>
      </c>
      <c r="E1078" s="6">
        <v>29.6</v>
      </c>
      <c r="F1078" s="1">
        <f t="shared" si="80"/>
        <v>1960.7083333332519</v>
      </c>
      <c r="G1078" s="17">
        <v>3.8</v>
      </c>
      <c r="H1078" s="1">
        <f>B1078*$E$1867/E1078</f>
        <v>620.54780244932442</v>
      </c>
      <c r="I1078" s="1">
        <f>C1078*$E$1867/E1078</f>
        <v>22.077508023648644</v>
      </c>
      <c r="J1078" s="26">
        <f t="shared" si="81"/>
        <v>68203.313836923247</v>
      </c>
      <c r="K1078" s="1">
        <f>D1078*$E$1867/E1078</f>
        <v>37.022282685810808</v>
      </c>
      <c r="L1078" s="26">
        <f t="shared" si="79"/>
        <v>4069.0537538175327</v>
      </c>
      <c r="M1078" s="10">
        <f t="shared" si="77"/>
        <v>17.052015467817668</v>
      </c>
      <c r="N1078" s="4">
        <f t="shared" si="78"/>
        <v>20.511204667640996</v>
      </c>
      <c r="O1078" s="36">
        <f>1/M1078-(G1078/100-(((E1078/E958)^(1/10))-1))</f>
        <v>4.0151038844062639E-2</v>
      </c>
      <c r="P1078" s="48">
        <v>2.48</v>
      </c>
      <c r="R1078" s="30"/>
      <c r="S1078" s="30"/>
    </row>
    <row r="1079" spans="1:19" ht="13" x14ac:dyDescent="0.3">
      <c r="A1079" s="52" t="s">
        <v>1095</v>
      </c>
      <c r="B1079" s="6">
        <v>53.73</v>
      </c>
      <c r="C1079" s="1">
        <v>1.95</v>
      </c>
      <c r="D1079" s="6">
        <v>3.27</v>
      </c>
      <c r="E1079" s="6">
        <v>29.8</v>
      </c>
      <c r="F1079" s="1">
        <f t="shared" si="80"/>
        <v>1960.7916666665851</v>
      </c>
      <c r="G1079" s="17">
        <v>3.89</v>
      </c>
      <c r="H1079" s="1">
        <f>B1079*$E$1867/E1079</f>
        <v>604.23757323825487</v>
      </c>
      <c r="I1079" s="1">
        <f>C1079*$E$1867/E1079</f>
        <v>21.929336828859057</v>
      </c>
      <c r="J1079" s="26">
        <f t="shared" si="81"/>
        <v>66611.536554166363</v>
      </c>
      <c r="K1079" s="1">
        <f>D1079*$E$1867/E1079</f>
        <v>36.773810989932883</v>
      </c>
      <c r="L1079" s="26">
        <f t="shared" si="79"/>
        <v>4053.9684446700921</v>
      </c>
      <c r="M1079" s="10">
        <f t="shared" si="77"/>
        <v>16.605104536251027</v>
      </c>
      <c r="N1079" s="4">
        <f t="shared" si="78"/>
        <v>19.958227629483655</v>
      </c>
      <c r="O1079" s="36">
        <f>1/M1079-(G1079/100-(((E1079/E959)^(1/10))-1))</f>
        <v>4.068368452938366E-2</v>
      </c>
      <c r="P1079" s="48">
        <v>2.2999999999999998</v>
      </c>
      <c r="R1079" s="30"/>
      <c r="S1079" s="30"/>
    </row>
    <row r="1080" spans="1:19" ht="13" x14ac:dyDescent="0.3">
      <c r="A1080" s="52" t="s">
        <v>1096</v>
      </c>
      <c r="B1080" s="6">
        <v>55.47</v>
      </c>
      <c r="C1080" s="1">
        <v>1.95</v>
      </c>
      <c r="D1080" s="6">
        <v>3.27</v>
      </c>
      <c r="E1080" s="6">
        <v>29.8</v>
      </c>
      <c r="F1080" s="1">
        <f t="shared" si="80"/>
        <v>1960.8749999999184</v>
      </c>
      <c r="G1080" s="17">
        <v>3.93</v>
      </c>
      <c r="H1080" s="1">
        <f>B1080*$E$1867/E1080</f>
        <v>623.80528917785227</v>
      </c>
      <c r="I1080" s="1">
        <f>C1080*$E$1867/E1080</f>
        <v>21.929336828859057</v>
      </c>
      <c r="J1080" s="26">
        <f t="shared" si="81"/>
        <v>68970.152751715257</v>
      </c>
      <c r="K1080" s="1">
        <f>D1080*$E$1867/E1080</f>
        <v>36.773810989932883</v>
      </c>
      <c r="L1080" s="26">
        <f t="shared" si="79"/>
        <v>4065.8445916370811</v>
      </c>
      <c r="M1080" s="10">
        <f t="shared" si="77"/>
        <v>17.146088452419001</v>
      </c>
      <c r="N1080" s="4">
        <f t="shared" si="78"/>
        <v>20.590981751601557</v>
      </c>
      <c r="O1080" s="36">
        <f>1/M1080-(G1080/100-(((E1080/E960)^(1/10))-1))</f>
        <v>3.7970128516134814E-2</v>
      </c>
      <c r="P1080" s="48">
        <v>2.37</v>
      </c>
      <c r="R1080" s="30"/>
      <c r="S1080" s="30"/>
    </row>
    <row r="1081" spans="1:19" ht="13" x14ac:dyDescent="0.3">
      <c r="A1081" s="52" t="s">
        <v>1097</v>
      </c>
      <c r="B1081" s="6">
        <v>56.8</v>
      </c>
      <c r="C1081" s="1">
        <v>1.95</v>
      </c>
      <c r="D1081" s="6">
        <v>3.27</v>
      </c>
      <c r="E1081" s="6">
        <v>29.8</v>
      </c>
      <c r="F1081" s="1">
        <f t="shared" si="80"/>
        <v>1960.9583333332516</v>
      </c>
      <c r="G1081" s="17">
        <v>3.84</v>
      </c>
      <c r="H1081" s="1">
        <f>B1081*$E$1867/E1081</f>
        <v>638.76222147651004</v>
      </c>
      <c r="I1081" s="1">
        <f>C1081*$E$1867/E1081</f>
        <v>21.929336828859057</v>
      </c>
      <c r="J1081" s="26">
        <f t="shared" si="81"/>
        <v>70825.893746522081</v>
      </c>
      <c r="K1081" s="1">
        <f>D1081*$E$1867/E1081</f>
        <v>36.773810989932883</v>
      </c>
      <c r="L1081" s="26">
        <f t="shared" si="79"/>
        <v>4077.4766294212536</v>
      </c>
      <c r="M1081" s="10">
        <f t="shared" si="77"/>
        <v>17.562090833957129</v>
      </c>
      <c r="N1081" s="4">
        <f t="shared" si="78"/>
        <v>21.071250947942289</v>
      </c>
      <c r="O1081" s="36">
        <f>1/M1081-(G1081/100-(((E1081/E961)^(1/10))-1))</f>
        <v>3.6259226159542177E-2</v>
      </c>
      <c r="P1081" s="48">
        <v>2.25</v>
      </c>
      <c r="R1081" s="30"/>
      <c r="S1081" s="30"/>
    </row>
    <row r="1082" spans="1:19" ht="13" x14ac:dyDescent="0.3">
      <c r="A1082" s="52" t="s">
        <v>1098</v>
      </c>
      <c r="B1082" s="6">
        <v>59.72</v>
      </c>
      <c r="C1082" s="1">
        <v>1.9466699999999999</v>
      </c>
      <c r="D1082" s="6">
        <v>3.21</v>
      </c>
      <c r="E1082" s="6">
        <v>29.8</v>
      </c>
      <c r="F1082" s="1">
        <f t="shared" si="80"/>
        <v>1961.0416666665849</v>
      </c>
      <c r="G1082" s="17">
        <v>3.84</v>
      </c>
      <c r="H1082" s="1">
        <f>B1082*$E$1867/E1082</f>
        <v>671.59999765100667</v>
      </c>
      <c r="I1082" s="1">
        <f>C1082*$E$1867/E1082</f>
        <v>21.891888269043623</v>
      </c>
      <c r="J1082" s="26">
        <f t="shared" si="81"/>
        <v>74669.224086102011</v>
      </c>
      <c r="K1082" s="1">
        <f>D1082*$E$1867/E1082</f>
        <v>36.099062164429526</v>
      </c>
      <c r="L1082" s="26">
        <f t="shared" si="79"/>
        <v>4013.5333107231654</v>
      </c>
      <c r="M1082" s="10">
        <f t="shared" ref="M1082:M1145" si="82">H1082/AVERAGE(K962:K1081)</f>
        <v>18.470416986477176</v>
      </c>
      <c r="N1082" s="4">
        <f t="shared" ref="N1082:N1145" si="83">J1082/AVERAGE(L962:L1081)</f>
        <v>22.138023912072352</v>
      </c>
      <c r="O1082" s="36">
        <f>1/M1082-(G1082/100-(((E1082/E962)^(1/10))-1))</f>
        <v>3.1844848651755873E-2</v>
      </c>
      <c r="P1082" s="48">
        <v>2.2400000000000002</v>
      </c>
      <c r="R1082" s="30"/>
      <c r="S1082" s="30"/>
    </row>
    <row r="1083" spans="1:19" ht="13" x14ac:dyDescent="0.3">
      <c r="A1083" s="52" t="s">
        <v>1099</v>
      </c>
      <c r="B1083" s="6">
        <v>62.17</v>
      </c>
      <c r="C1083" s="1">
        <v>1.94333</v>
      </c>
      <c r="D1083" s="6">
        <v>3.15</v>
      </c>
      <c r="E1083" s="6">
        <v>29.8</v>
      </c>
      <c r="F1083" s="1">
        <f t="shared" si="80"/>
        <v>1961.1249999999181</v>
      </c>
      <c r="G1083" s="17">
        <v>3.78</v>
      </c>
      <c r="H1083" s="1">
        <f>B1083*$E$1867/E1083</f>
        <v>699.15224135906033</v>
      </c>
      <c r="I1083" s="1">
        <f>C1083*$E$1867/E1083</f>
        <v>21.854327251090602</v>
      </c>
      <c r="J1083" s="26">
        <f t="shared" si="81"/>
        <v>77934.995088801617</v>
      </c>
      <c r="K1083" s="1">
        <f>D1083*$E$1867/E1083</f>
        <v>35.424313338926169</v>
      </c>
      <c r="L1083" s="26">
        <f t="shared" si="79"/>
        <v>3948.7732753695523</v>
      </c>
      <c r="M1083" s="10">
        <f t="shared" si="82"/>
        <v>19.23401449829835</v>
      </c>
      <c r="N1083" s="4">
        <f t="shared" si="83"/>
        <v>23.028743280290104</v>
      </c>
      <c r="O1083" s="36">
        <f>1/M1083-(G1083/100-(((E1083/E963)^(1/10))-1))</f>
        <v>2.9103054689369391E-2</v>
      </c>
      <c r="P1083" s="48">
        <v>2.42</v>
      </c>
      <c r="R1083" s="30"/>
      <c r="S1083" s="30"/>
    </row>
    <row r="1084" spans="1:19" ht="13" x14ac:dyDescent="0.3">
      <c r="A1084" s="52" t="s">
        <v>1100</v>
      </c>
      <c r="B1084" s="6">
        <v>64.12</v>
      </c>
      <c r="C1084" s="1">
        <v>1.94</v>
      </c>
      <c r="D1084" s="6">
        <v>3.09</v>
      </c>
      <c r="E1084" s="6">
        <v>29.8</v>
      </c>
      <c r="F1084" s="1">
        <f t="shared" si="80"/>
        <v>1961.2083333332514</v>
      </c>
      <c r="G1084" s="17">
        <v>3.74</v>
      </c>
      <c r="H1084" s="1">
        <f>B1084*$E$1867/E1084</f>
        <v>721.08157818791949</v>
      </c>
      <c r="I1084" s="1">
        <f>C1084*$E$1867/E1084</f>
        <v>21.816878691275164</v>
      </c>
      <c r="J1084" s="26">
        <f t="shared" si="81"/>
        <v>80582.135691919742</v>
      </c>
      <c r="K1084" s="1">
        <f>D1084*$E$1867/E1084</f>
        <v>34.749564513422818</v>
      </c>
      <c r="L1084" s="26">
        <f t="shared" si="79"/>
        <v>3883.3250044920774</v>
      </c>
      <c r="M1084" s="10">
        <f t="shared" si="82"/>
        <v>19.844225272725566</v>
      </c>
      <c r="N1084" s="4">
        <f t="shared" si="83"/>
        <v>23.73397812718261</v>
      </c>
      <c r="O1084" s="36">
        <f>1/M1084-(G1084/100-(((E1084/E964)^(1/10))-1))</f>
        <v>2.7510257772652931E-2</v>
      </c>
      <c r="P1084" s="48">
        <v>2.39</v>
      </c>
      <c r="R1084" s="30"/>
      <c r="S1084" s="30"/>
    </row>
    <row r="1085" spans="1:19" ht="13" x14ac:dyDescent="0.3">
      <c r="A1085" s="52" t="s">
        <v>1101</v>
      </c>
      <c r="B1085" s="6">
        <v>65.83</v>
      </c>
      <c r="C1085" s="1">
        <v>1.94</v>
      </c>
      <c r="D1085" s="6">
        <v>3.07</v>
      </c>
      <c r="E1085" s="6">
        <v>29.8</v>
      </c>
      <c r="F1085" s="1">
        <f t="shared" si="80"/>
        <v>1961.2916666665847</v>
      </c>
      <c r="G1085" s="17">
        <v>3.78</v>
      </c>
      <c r="H1085" s="1">
        <f>B1085*$E$1867/E1085</f>
        <v>740.31191971476505</v>
      </c>
      <c r="I1085" s="1">
        <f>C1085*$E$1867/E1085</f>
        <v>21.816878691275164</v>
      </c>
      <c r="J1085" s="26">
        <f t="shared" si="81"/>
        <v>82934.333092159533</v>
      </c>
      <c r="K1085" s="1">
        <f>D1085*$E$1867/E1085</f>
        <v>34.524648238255033</v>
      </c>
      <c r="L1085" s="26">
        <f t="shared" si="79"/>
        <v>3867.665237626155</v>
      </c>
      <c r="M1085" s="10">
        <f t="shared" si="82"/>
        <v>20.382842975754773</v>
      </c>
      <c r="N1085" s="4">
        <f t="shared" si="83"/>
        <v>24.352100217522857</v>
      </c>
      <c r="O1085" s="36">
        <f>1/M1085-(G1085/100-(((E1085/E965)^(1/10))-1))</f>
        <v>2.5778633459042195E-2</v>
      </c>
      <c r="P1085" s="48">
        <v>2.29</v>
      </c>
      <c r="R1085" s="30"/>
      <c r="S1085" s="30"/>
    </row>
    <row r="1086" spans="1:19" ht="13" x14ac:dyDescent="0.3">
      <c r="A1086" s="52" t="s">
        <v>1102</v>
      </c>
      <c r="B1086" s="6">
        <v>66.5</v>
      </c>
      <c r="C1086" s="1">
        <v>1.94</v>
      </c>
      <c r="D1086" s="6">
        <v>3.05</v>
      </c>
      <c r="E1086" s="6">
        <v>29.8</v>
      </c>
      <c r="F1086" s="1">
        <f t="shared" si="80"/>
        <v>1961.3749999999179</v>
      </c>
      <c r="G1086" s="17">
        <v>3.71</v>
      </c>
      <c r="H1086" s="1">
        <f>B1086*$E$1867/E1086</f>
        <v>747.84661493288593</v>
      </c>
      <c r="I1086" s="1">
        <f>C1086*$E$1867/E1086</f>
        <v>21.816878691275164</v>
      </c>
      <c r="J1086" s="26">
        <f t="shared" si="81"/>
        <v>83982.088224393767</v>
      </c>
      <c r="K1086" s="1">
        <f>D1086*$E$1867/E1086</f>
        <v>34.299731963087247</v>
      </c>
      <c r="L1086" s="26">
        <f t="shared" si="79"/>
        <v>3851.8100614195632</v>
      </c>
      <c r="M1086" s="10">
        <f t="shared" si="82"/>
        <v>20.59860684329734</v>
      </c>
      <c r="N1086" s="4">
        <f t="shared" si="83"/>
        <v>24.584398270064117</v>
      </c>
      <c r="O1086" s="36">
        <f>1/M1086-(G1086/100-(((E1086/E966)^(1/10))-1))</f>
        <v>2.5572348486320985E-2</v>
      </c>
      <c r="P1086" s="48">
        <v>2.29</v>
      </c>
      <c r="R1086" s="30"/>
      <c r="S1086" s="30"/>
    </row>
    <row r="1087" spans="1:19" ht="13" x14ac:dyDescent="0.3">
      <c r="A1087" s="52" t="s">
        <v>1103</v>
      </c>
      <c r="B1087" s="6">
        <v>65.62</v>
      </c>
      <c r="C1087" s="1">
        <v>1.94</v>
      </c>
      <c r="D1087" s="6">
        <v>3.03</v>
      </c>
      <c r="E1087" s="6">
        <v>29.8</v>
      </c>
      <c r="F1087" s="1">
        <f t="shared" si="80"/>
        <v>1961.4583333332512</v>
      </c>
      <c r="G1087" s="17">
        <v>3.88</v>
      </c>
      <c r="H1087" s="1">
        <f>B1087*$E$1867/E1087</f>
        <v>737.95029882550341</v>
      </c>
      <c r="I1087" s="1">
        <f>C1087*$E$1867/E1087</f>
        <v>21.816878691275164</v>
      </c>
      <c r="J1087" s="26">
        <f t="shared" si="81"/>
        <v>83074.913286431009</v>
      </c>
      <c r="K1087" s="1">
        <f>D1087*$E$1867/E1087</f>
        <v>34.074815687919461</v>
      </c>
      <c r="L1087" s="26">
        <f t="shared" si="79"/>
        <v>3835.9796900013093</v>
      </c>
      <c r="M1087" s="10">
        <f t="shared" si="82"/>
        <v>20.332414551592287</v>
      </c>
      <c r="N1087" s="4">
        <f t="shared" si="83"/>
        <v>24.243964853269773</v>
      </c>
      <c r="O1087" s="36">
        <f>1/M1087-(G1087/100-(((E1087/E967)^(1/10))-1))</f>
        <v>2.4507926215313523E-2</v>
      </c>
      <c r="P1087" s="48">
        <v>2.33</v>
      </c>
      <c r="R1087" s="30"/>
      <c r="S1087" s="30"/>
    </row>
    <row r="1088" spans="1:19" ht="13" x14ac:dyDescent="0.3">
      <c r="A1088" s="52" t="s">
        <v>1104</v>
      </c>
      <c r="B1088" s="6">
        <v>65.44</v>
      </c>
      <c r="C1088" s="1">
        <v>1.9466699999999999</v>
      </c>
      <c r="D1088" s="6">
        <v>3.03667</v>
      </c>
      <c r="E1088" s="6">
        <v>30</v>
      </c>
      <c r="F1088" s="1">
        <f t="shared" si="80"/>
        <v>1961.5416666665844</v>
      </c>
      <c r="G1088" s="17">
        <v>3.92</v>
      </c>
      <c r="H1088" s="1">
        <f>B1088*$E$1867/E1088</f>
        <v>731.01987866666661</v>
      </c>
      <c r="I1088" s="1">
        <f>C1088*$E$1867/E1088</f>
        <v>21.745942347249997</v>
      </c>
      <c r="J1088" s="26">
        <f t="shared" si="81"/>
        <v>82498.724260094808</v>
      </c>
      <c r="K1088" s="1">
        <f>D1088*$E$1867/E1088</f>
        <v>33.922159763916667</v>
      </c>
      <c r="L1088" s="26">
        <f t="shared" si="79"/>
        <v>3828.2610177093848</v>
      </c>
      <c r="M1088" s="10">
        <f t="shared" si="82"/>
        <v>20.146643736827311</v>
      </c>
      <c r="N1088" s="4">
        <f t="shared" si="83"/>
        <v>24.001732449096977</v>
      </c>
      <c r="O1088" s="36">
        <f>1/M1088-(G1088/100-(((E1088/E968)^(1/10))-1))</f>
        <v>2.5240009310458389E-2</v>
      </c>
      <c r="P1088" s="48">
        <v>2.2400000000000002</v>
      </c>
      <c r="R1088" s="30"/>
      <c r="S1088" s="30"/>
    </row>
    <row r="1089" spans="1:19" ht="13" x14ac:dyDescent="0.3">
      <c r="A1089" s="52" t="s">
        <v>1105</v>
      </c>
      <c r="B1089" s="6">
        <v>67.790000000000006</v>
      </c>
      <c r="C1089" s="1">
        <v>1.95333</v>
      </c>
      <c r="D1089" s="6">
        <v>3.0433300000000001</v>
      </c>
      <c r="E1089" s="6">
        <v>29.9</v>
      </c>
      <c r="F1089" s="1">
        <f t="shared" si="80"/>
        <v>1961.6249999999177</v>
      </c>
      <c r="G1089" s="17">
        <v>4.04</v>
      </c>
      <c r="H1089" s="1">
        <f>B1089*$E$1867/E1089</f>
        <v>759.80403670568569</v>
      </c>
      <c r="I1089" s="1">
        <f>C1089*$E$1867/E1089</f>
        <v>21.893317879013381</v>
      </c>
      <c r="J1089" s="26">
        <f t="shared" si="81"/>
        <v>85953.036001424</v>
      </c>
      <c r="K1089" s="1">
        <f>D1089*$E$1867/E1089</f>
        <v>34.110258430852845</v>
      </c>
      <c r="L1089" s="26">
        <f t="shared" si="79"/>
        <v>3858.7321589351482</v>
      </c>
      <c r="M1089" s="10">
        <f t="shared" si="82"/>
        <v>20.941688475215173</v>
      </c>
      <c r="N1089" s="4">
        <f t="shared" si="83"/>
        <v>24.927371788688781</v>
      </c>
      <c r="O1089" s="36">
        <f>1/M1089-(G1089/100-(((E1089/E969)^(1/10))-1))</f>
        <v>2.1816815188407751E-2</v>
      </c>
      <c r="P1089" s="48">
        <v>2.39</v>
      </c>
      <c r="R1089" s="30"/>
      <c r="S1089" s="30"/>
    </row>
    <row r="1090" spans="1:19" ht="13" x14ac:dyDescent="0.3">
      <c r="A1090" s="52" t="s">
        <v>1106</v>
      </c>
      <c r="B1090" s="6">
        <v>67.260000000000005</v>
      </c>
      <c r="C1090" s="1">
        <v>1.96</v>
      </c>
      <c r="D1090" s="6">
        <v>3.05</v>
      </c>
      <c r="E1090" s="6">
        <v>30</v>
      </c>
      <c r="F1090" s="1">
        <f t="shared" si="80"/>
        <v>1961.7083333332509</v>
      </c>
      <c r="G1090" s="17">
        <v>3.98</v>
      </c>
      <c r="H1090" s="1">
        <f>B1090*$E$1867/E1090</f>
        <v>751.35081050000008</v>
      </c>
      <c r="I1090" s="1">
        <f>C1090*$E$1867/E1090</f>
        <v>21.894849666666666</v>
      </c>
      <c r="J1090" s="26">
        <f t="shared" si="81"/>
        <v>85203.167576509193</v>
      </c>
      <c r="K1090" s="1">
        <f>D1090*$E$1867/E1090</f>
        <v>34.071067083333332</v>
      </c>
      <c r="L1090" s="26">
        <f t="shared" si="79"/>
        <v>3863.6583572458076</v>
      </c>
      <c r="M1090" s="10">
        <f t="shared" si="82"/>
        <v>20.705243044147242</v>
      </c>
      <c r="N1090" s="4">
        <f t="shared" si="83"/>
        <v>24.626812599567071</v>
      </c>
      <c r="O1090" s="36">
        <f>1/M1090-(G1090/100-(((E1090/E970)^(1/10))-1))</f>
        <v>2.2520573809431954E-2</v>
      </c>
      <c r="P1090" s="48">
        <v>2.2799999999999998</v>
      </c>
      <c r="R1090" s="30"/>
      <c r="S1090" s="30"/>
    </row>
    <row r="1091" spans="1:19" ht="13" x14ac:dyDescent="0.3">
      <c r="A1091" s="52" t="s">
        <v>1107</v>
      </c>
      <c r="B1091" s="6">
        <v>68</v>
      </c>
      <c r="C1091" s="1">
        <v>1.98</v>
      </c>
      <c r="D1091" s="6">
        <v>3.09667</v>
      </c>
      <c r="E1091" s="6">
        <v>30</v>
      </c>
      <c r="F1091" s="1">
        <f t="shared" si="80"/>
        <v>1961.7916666665842</v>
      </c>
      <c r="G1091" s="17">
        <v>3.92</v>
      </c>
      <c r="H1091" s="1">
        <f>B1091*$E$1867/E1091</f>
        <v>759.61723333333327</v>
      </c>
      <c r="I1091" s="1">
        <f>C1091*$E$1867/E1091</f>
        <v>22.118266500000001</v>
      </c>
      <c r="J1091" s="26">
        <f t="shared" si="81"/>
        <v>86349.597351364078</v>
      </c>
      <c r="K1091" s="1">
        <f>D1091*$E$1867/E1091</f>
        <v>34.592410263916669</v>
      </c>
      <c r="L1091" s="26">
        <f t="shared" ref="L1091:L1154" si="84">K1091*(J1091/H1091)</f>
        <v>3932.2971710301272</v>
      </c>
      <c r="M1091" s="10">
        <f t="shared" si="82"/>
        <v>20.924190141010772</v>
      </c>
      <c r="N1091" s="4">
        <f t="shared" si="83"/>
        <v>24.869916653028241</v>
      </c>
      <c r="O1091" s="36">
        <f>1/M1091-(G1091/100-(((E1091/E971)^(1/10))-1))</f>
        <v>2.2227504665063465E-2</v>
      </c>
      <c r="P1091" s="48">
        <v>2.2999999999999998</v>
      </c>
      <c r="R1091" s="30"/>
      <c r="S1091" s="30"/>
    </row>
    <row r="1092" spans="1:19" ht="13" x14ac:dyDescent="0.3">
      <c r="A1092" s="52" t="s">
        <v>1108</v>
      </c>
      <c r="B1092" s="6">
        <v>71.08</v>
      </c>
      <c r="C1092" s="1">
        <v>2</v>
      </c>
      <c r="D1092" s="6">
        <v>3.1433300000000002</v>
      </c>
      <c r="E1092" s="6">
        <v>30</v>
      </c>
      <c r="F1092" s="1">
        <f t="shared" ref="F1092:F1155" si="85">F1091+1/12</f>
        <v>1961.8749999999175</v>
      </c>
      <c r="G1092" s="17">
        <v>3.94</v>
      </c>
      <c r="H1092" s="1">
        <f>B1092*$E$1867/E1092</f>
        <v>794.02342566666664</v>
      </c>
      <c r="I1092" s="1">
        <f>C1092*$E$1867/E1092</f>
        <v>22.341683333333332</v>
      </c>
      <c r="J1092" s="26">
        <f t="shared" ref="J1092:J1155" si="86">J1091*((H1092+(I1092/12))/H1091)</f>
        <v>90472.367342551763</v>
      </c>
      <c r="K1092" s="1">
        <f>D1092*$E$1867/E1092</f>
        <v>35.113641736083331</v>
      </c>
      <c r="L1092" s="26">
        <f t="shared" si="84"/>
        <v>4000.9075188360048</v>
      </c>
      <c r="M1092" s="10">
        <f t="shared" si="82"/>
        <v>21.857957721959657</v>
      </c>
      <c r="N1092" s="4">
        <f t="shared" si="83"/>
        <v>25.960088110372382</v>
      </c>
      <c r="O1092" s="36">
        <f>1/M1092-(G1092/100-(((E1092/E972)^(1/10))-1))</f>
        <v>1.9215321648647532E-2</v>
      </c>
      <c r="P1092" s="48">
        <v>2.48</v>
      </c>
      <c r="R1092" s="30"/>
      <c r="S1092" s="30"/>
    </row>
    <row r="1093" spans="1:19" ht="13" x14ac:dyDescent="0.3">
      <c r="A1093" s="52" t="s">
        <v>1109</v>
      </c>
      <c r="B1093" s="6">
        <v>71.739999999999995</v>
      </c>
      <c r="C1093" s="1">
        <v>2.02</v>
      </c>
      <c r="D1093" s="6">
        <v>3.19</v>
      </c>
      <c r="E1093" s="6">
        <v>30</v>
      </c>
      <c r="F1093" s="1">
        <f t="shared" si="85"/>
        <v>1961.9583333332507</v>
      </c>
      <c r="G1093" s="17">
        <v>4.0599999999999996</v>
      </c>
      <c r="H1093" s="1">
        <f>B1093*$E$1867/E1093</f>
        <v>801.39618116666657</v>
      </c>
      <c r="I1093" s="1">
        <f>C1093*$E$1867/E1093</f>
        <v>22.565100166666664</v>
      </c>
      <c r="J1093" s="26">
        <f t="shared" si="86"/>
        <v>91526.690325323463</v>
      </c>
      <c r="K1093" s="1">
        <f>D1093*$E$1867/E1093</f>
        <v>35.634984916666667</v>
      </c>
      <c r="L1093" s="26">
        <f t="shared" si="84"/>
        <v>4069.8374984357665</v>
      </c>
      <c r="M1093" s="10">
        <f t="shared" si="82"/>
        <v>22.041480198382253</v>
      </c>
      <c r="N1093" s="4">
        <f t="shared" si="83"/>
        <v>26.158967454388602</v>
      </c>
      <c r="O1093" s="36">
        <f>1/M1093-(G1093/100-(((E1093/E973)^(1/10))-1))</f>
        <v>1.7251533180928619E-2</v>
      </c>
      <c r="P1093" s="48">
        <v>2.6</v>
      </c>
      <c r="R1093" s="30"/>
      <c r="S1093" s="30"/>
    </row>
    <row r="1094" spans="1:19" ht="13" x14ac:dyDescent="0.3">
      <c r="A1094" s="52" t="s">
        <v>1110</v>
      </c>
      <c r="B1094" s="6">
        <v>69.069999999999993</v>
      </c>
      <c r="C1094" s="1">
        <v>2.0266700000000002</v>
      </c>
      <c r="D1094" s="6">
        <v>3.25</v>
      </c>
      <c r="E1094" s="6">
        <v>30</v>
      </c>
      <c r="F1094" s="1">
        <f t="shared" si="85"/>
        <v>1962.041666666584</v>
      </c>
      <c r="G1094" s="17">
        <v>4.08</v>
      </c>
      <c r="H1094" s="1">
        <f>B1094*$E$1867/E1094</f>
        <v>771.5700339166666</v>
      </c>
      <c r="I1094" s="1">
        <f>C1094*$E$1867/E1094</f>
        <v>22.639609680583337</v>
      </c>
      <c r="J1094" s="26">
        <f t="shared" si="86"/>
        <v>88335.745291704676</v>
      </c>
      <c r="K1094" s="1">
        <f>D1094*$E$1867/E1094</f>
        <v>36.305235416666662</v>
      </c>
      <c r="L1094" s="26">
        <f t="shared" si="84"/>
        <v>4156.5248617060979</v>
      </c>
      <c r="M1094" s="10">
        <f t="shared" si="82"/>
        <v>21.197931400015214</v>
      </c>
      <c r="N1094" s="4">
        <f t="shared" si="83"/>
        <v>25.142459916082945</v>
      </c>
      <c r="O1094" s="36">
        <f>1/M1094-(G1094/100-(((E1094/E974)^(1/10))-1))</f>
        <v>1.8856943716482617E-2</v>
      </c>
      <c r="P1094" s="48">
        <v>2.72</v>
      </c>
      <c r="R1094" s="30"/>
      <c r="S1094" s="30"/>
    </row>
    <row r="1095" spans="1:19" ht="13" x14ac:dyDescent="0.3">
      <c r="A1095" s="52" t="s">
        <v>1111</v>
      </c>
      <c r="B1095" s="6">
        <v>70.22</v>
      </c>
      <c r="C1095" s="1">
        <v>2.0333299999999999</v>
      </c>
      <c r="D1095" s="6">
        <v>3.31</v>
      </c>
      <c r="E1095" s="6">
        <v>30.1</v>
      </c>
      <c r="F1095" s="1">
        <f t="shared" si="85"/>
        <v>1962.1249999999172</v>
      </c>
      <c r="G1095" s="17">
        <v>4.04</v>
      </c>
      <c r="H1095" s="1">
        <f>B1095*$E$1867/E1095</f>
        <v>781.81046694352153</v>
      </c>
      <c r="I1095" s="1">
        <f>C1095*$E$1867/E1095</f>
        <v>22.638545667192687</v>
      </c>
      <c r="J1095" s="26">
        <f t="shared" si="86"/>
        <v>89724.14250357986</v>
      </c>
      <c r="K1095" s="1">
        <f>D1095*$E$1867/E1095</f>
        <v>36.852643770764118</v>
      </c>
      <c r="L1095" s="26">
        <f t="shared" si="84"/>
        <v>4229.3778366113547</v>
      </c>
      <c r="M1095" s="10">
        <f t="shared" si="82"/>
        <v>21.451687754873376</v>
      </c>
      <c r="N1095" s="4">
        <f t="shared" si="83"/>
        <v>25.427057120717468</v>
      </c>
      <c r="O1095" s="36">
        <f>1/M1095-(G1095/100-(((E1095/E975)^(1/10))-1))</f>
        <v>1.9803478924056095E-2</v>
      </c>
      <c r="P1095" s="48">
        <v>2.73</v>
      </c>
      <c r="R1095" s="30"/>
      <c r="S1095" s="30"/>
    </row>
    <row r="1096" spans="1:19" ht="13" x14ac:dyDescent="0.3">
      <c r="A1096" s="52" t="s">
        <v>1112</v>
      </c>
      <c r="B1096" s="6">
        <v>70.290000000000006</v>
      </c>
      <c r="C1096" s="1">
        <v>2.04</v>
      </c>
      <c r="D1096" s="6">
        <v>3.37</v>
      </c>
      <c r="E1096" s="6">
        <v>30.1</v>
      </c>
      <c r="F1096" s="1">
        <f t="shared" si="85"/>
        <v>1962.2083333332505</v>
      </c>
      <c r="G1096" s="17">
        <v>3.93</v>
      </c>
      <c r="H1096" s="1">
        <f>B1096*$E$1867/E1096</f>
        <v>782.58982799003331</v>
      </c>
      <c r="I1096" s="1">
        <f>C1096*$E$1867/E1096</f>
        <v>22.712807641196015</v>
      </c>
      <c r="J1096" s="26">
        <f t="shared" si="86"/>
        <v>90030.804340675575</v>
      </c>
      <c r="K1096" s="1">
        <f>D1096*$E$1867/E1096</f>
        <v>37.520667524916945</v>
      </c>
      <c r="L1096" s="26">
        <f t="shared" si="84"/>
        <v>4316.4576842805045</v>
      </c>
      <c r="M1096" s="10">
        <f t="shared" si="82"/>
        <v>21.443158568526233</v>
      </c>
      <c r="N1096" s="4">
        <f t="shared" si="83"/>
        <v>25.400593865759653</v>
      </c>
      <c r="O1096" s="36">
        <f>1/M1096-(G1096/100-(((E1096/E976)^(1/10))-1))</f>
        <v>2.0922020958310833E-2</v>
      </c>
      <c r="P1096" s="48">
        <v>2.72</v>
      </c>
      <c r="R1096" s="30"/>
      <c r="S1096" s="30"/>
    </row>
    <row r="1097" spans="1:19" ht="13" x14ac:dyDescent="0.3">
      <c r="A1097" s="52" t="s">
        <v>1113</v>
      </c>
      <c r="B1097" s="6">
        <v>68.05</v>
      </c>
      <c r="C1097" s="1">
        <v>2.0466700000000002</v>
      </c>
      <c r="D1097" s="6">
        <v>3.40333</v>
      </c>
      <c r="E1097" s="6">
        <v>30.2</v>
      </c>
      <c r="F1097" s="1">
        <f t="shared" si="85"/>
        <v>1962.2916666665838</v>
      </c>
      <c r="G1097" s="17">
        <v>3.84</v>
      </c>
      <c r="H1097" s="1">
        <f>B1097*$E$1867/E1097</f>
        <v>755.14149875827809</v>
      </c>
      <c r="I1097" s="1">
        <f>C1097*$E$1867/E1097</f>
        <v>22.711615742301326</v>
      </c>
      <c r="J1097" s="26">
        <f t="shared" si="86"/>
        <v>87090.822683844934</v>
      </c>
      <c r="K1097" s="1">
        <f>D1097*$E$1867/E1097</f>
        <v>37.766285333857617</v>
      </c>
      <c r="L1097" s="26">
        <f t="shared" si="84"/>
        <v>4355.6033734696548</v>
      </c>
      <c r="M1097" s="10">
        <f t="shared" si="82"/>
        <v>20.658336447649024</v>
      </c>
      <c r="N1097" s="4">
        <f t="shared" si="83"/>
        <v>24.457371048910911</v>
      </c>
      <c r="O1097" s="36">
        <f>1/M1097-(G1097/100-(((E1097/E977)^(1/10))-1))</f>
        <v>2.3545227932979328E-2</v>
      </c>
      <c r="P1097" s="48">
        <v>2.73</v>
      </c>
      <c r="R1097" s="30"/>
      <c r="S1097" s="30"/>
    </row>
    <row r="1098" spans="1:19" ht="13" x14ac:dyDescent="0.3">
      <c r="A1098" s="52" t="s">
        <v>1114</v>
      </c>
      <c r="B1098" s="6">
        <v>62.99</v>
      </c>
      <c r="C1098" s="1">
        <v>2.0533299999999999</v>
      </c>
      <c r="D1098" s="6">
        <v>3.4366699999999999</v>
      </c>
      <c r="E1098" s="6">
        <v>30.2</v>
      </c>
      <c r="F1098" s="1">
        <f t="shared" si="85"/>
        <v>1962.374999999917</v>
      </c>
      <c r="G1098" s="17">
        <v>3.87</v>
      </c>
      <c r="H1098" s="1">
        <f>B1098*$E$1867/E1098</f>
        <v>698.99137408940408</v>
      </c>
      <c r="I1098" s="1">
        <f>C1098*$E$1867/E1098</f>
        <v>22.785520847102646</v>
      </c>
      <c r="J1098" s="26">
        <f t="shared" si="86"/>
        <v>80833.991243211043</v>
      </c>
      <c r="K1098" s="1">
        <f>D1098*$E$1867/E1098</f>
        <v>38.136254732367554</v>
      </c>
      <c r="L1098" s="26">
        <f t="shared" si="84"/>
        <v>4410.2199188094319</v>
      </c>
      <c r="M1098" s="10">
        <f t="shared" si="82"/>
        <v>19.089367498116644</v>
      </c>
      <c r="N1098" s="4">
        <f t="shared" si="83"/>
        <v>22.592739011982179</v>
      </c>
      <c r="O1098" s="36">
        <f>1/M1098-(G1098/100-(((E1098/E978)^(1/10))-1))</f>
        <v>2.7223802149255738E-2</v>
      </c>
      <c r="P1098" s="48">
        <v>2.69</v>
      </c>
      <c r="R1098" s="30"/>
      <c r="S1098" s="30"/>
    </row>
    <row r="1099" spans="1:19" ht="13" x14ac:dyDescent="0.3">
      <c r="A1099" s="52" t="s">
        <v>1115</v>
      </c>
      <c r="B1099" s="6">
        <v>55.63</v>
      </c>
      <c r="C1099" s="1">
        <v>2.06</v>
      </c>
      <c r="D1099" s="6">
        <v>3.47</v>
      </c>
      <c r="E1099" s="6">
        <v>30.2</v>
      </c>
      <c r="F1099" s="1">
        <f t="shared" si="85"/>
        <v>1962.4583333332503</v>
      </c>
      <c r="G1099" s="17">
        <v>3.91</v>
      </c>
      <c r="H1099" s="1">
        <f>B1099*$E$1867/E1099</f>
        <v>617.31846548013243</v>
      </c>
      <c r="I1099" s="1">
        <f>C1099*$E$1867/E1099</f>
        <v>22.859536920529802</v>
      </c>
      <c r="J1099" s="26">
        <f t="shared" si="86"/>
        <v>71609.325840449499</v>
      </c>
      <c r="K1099" s="1">
        <f>D1099*$E$1867/E1099</f>
        <v>38.506113162251658</v>
      </c>
      <c r="L1099" s="26">
        <f t="shared" si="84"/>
        <v>4466.7330696811032</v>
      </c>
      <c r="M1099" s="10">
        <f t="shared" si="82"/>
        <v>16.827571244792455</v>
      </c>
      <c r="N1099" s="4">
        <f t="shared" si="83"/>
        <v>19.917222641066708</v>
      </c>
      <c r="O1099" s="36">
        <f>1/M1099-(G1099/100-(((E1099/E979)^(1/10))-1))</f>
        <v>3.3481783573162532E-2</v>
      </c>
      <c r="P1099" s="48">
        <v>2.73</v>
      </c>
      <c r="R1099" s="30"/>
      <c r="S1099" s="30"/>
    </row>
    <row r="1100" spans="1:19" ht="13" x14ac:dyDescent="0.3">
      <c r="A1100" s="52" t="s">
        <v>1116</v>
      </c>
      <c r="B1100" s="6">
        <v>56.97</v>
      </c>
      <c r="C1100" s="1">
        <v>2.0666699999999998</v>
      </c>
      <c r="D1100" s="6">
        <v>3.49</v>
      </c>
      <c r="E1100" s="6">
        <v>30.3</v>
      </c>
      <c r="F1100" s="1">
        <f t="shared" si="85"/>
        <v>1962.5416666665835</v>
      </c>
      <c r="G1100" s="17">
        <v>4.01</v>
      </c>
      <c r="H1100" s="1">
        <f>B1100*$E$1867/E1100</f>
        <v>630.10183143564348</v>
      </c>
      <c r="I1100" s="1">
        <f>C1100*$E$1867/E1100</f>
        <v>22.857864700247521</v>
      </c>
      <c r="J1100" s="26">
        <f t="shared" si="86"/>
        <v>73313.164783081127</v>
      </c>
      <c r="K1100" s="1">
        <f>D1100*$E$1867/E1100</f>
        <v>38.600235066006604</v>
      </c>
      <c r="L1100" s="26">
        <f t="shared" si="84"/>
        <v>4491.1873809540666</v>
      </c>
      <c r="M1100" s="10">
        <f t="shared" si="82"/>
        <v>17.141325661322778</v>
      </c>
      <c r="N1100" s="4">
        <f t="shared" si="83"/>
        <v>20.289071663902124</v>
      </c>
      <c r="O1100" s="36">
        <f>1/M1100-(G1100/100-(((E1100/E980)^(1/10))-1))</f>
        <v>3.0967289321607895E-2</v>
      </c>
      <c r="P1100" s="48">
        <v>2.92</v>
      </c>
      <c r="R1100" s="30"/>
      <c r="S1100" s="30"/>
    </row>
    <row r="1101" spans="1:19" ht="13" x14ac:dyDescent="0.3">
      <c r="A1101" s="52" t="s">
        <v>1117</v>
      </c>
      <c r="B1101" s="6">
        <v>58.52</v>
      </c>
      <c r="C1101" s="1">
        <v>2.0733299999999999</v>
      </c>
      <c r="D1101" s="6">
        <v>3.51</v>
      </c>
      <c r="E1101" s="6">
        <v>30.3</v>
      </c>
      <c r="F1101" s="1">
        <f t="shared" si="85"/>
        <v>1962.6249999999168</v>
      </c>
      <c r="G1101" s="17">
        <v>3.98</v>
      </c>
      <c r="H1101" s="1">
        <f>B1101*$E$1867/E1101</f>
        <v>647.24520231023109</v>
      </c>
      <c r="I1101" s="1">
        <f>C1101*$E$1867/E1101</f>
        <v>22.93152589381188</v>
      </c>
      <c r="J1101" s="26">
        <f t="shared" si="86"/>
        <v>75530.160934425439</v>
      </c>
      <c r="K1101" s="1">
        <f>D1101*$E$1867/E1101</f>
        <v>38.821439851485145</v>
      </c>
      <c r="L1101" s="26">
        <f t="shared" si="84"/>
        <v>4530.2608489376835</v>
      </c>
      <c r="M1101" s="10">
        <f t="shared" si="82"/>
        <v>17.571262631045524</v>
      </c>
      <c r="N1101" s="4">
        <f t="shared" si="83"/>
        <v>20.797371453348315</v>
      </c>
      <c r="O1101" s="36">
        <f>1/M1101-(G1101/100-(((E1101/E981)^(1/10))-1))</f>
        <v>2.9839850791958528E-2</v>
      </c>
      <c r="P1101" s="48">
        <v>2.82</v>
      </c>
      <c r="R1101" s="30"/>
      <c r="S1101" s="30"/>
    </row>
    <row r="1102" spans="1:19" ht="13" x14ac:dyDescent="0.3">
      <c r="A1102" s="52" t="s">
        <v>1118</v>
      </c>
      <c r="B1102" s="6">
        <v>58</v>
      </c>
      <c r="C1102" s="1">
        <v>2.08</v>
      </c>
      <c r="D1102" s="6">
        <v>3.53</v>
      </c>
      <c r="E1102" s="6">
        <v>30.4</v>
      </c>
      <c r="F1102" s="1">
        <f t="shared" si="85"/>
        <v>1962.70833333325</v>
      </c>
      <c r="G1102" s="17">
        <v>3.98</v>
      </c>
      <c r="H1102" s="1">
        <f>B1102*$E$1867/E1102</f>
        <v>639.38370065789479</v>
      </c>
      <c r="I1102" s="1">
        <f>C1102*$E$1867/E1102</f>
        <v>22.929622368421054</v>
      </c>
      <c r="J1102" s="26">
        <f t="shared" si="86"/>
        <v>74835.745107041046</v>
      </c>
      <c r="K1102" s="1">
        <f>D1102*$E$1867/E1102</f>
        <v>38.914214884868422</v>
      </c>
      <c r="L1102" s="26">
        <f t="shared" si="84"/>
        <v>4554.6582797906012</v>
      </c>
      <c r="M1102" s="10">
        <f t="shared" si="82"/>
        <v>17.321461147465474</v>
      </c>
      <c r="N1102" s="4">
        <f t="shared" si="83"/>
        <v>20.501925308455885</v>
      </c>
      <c r="O1102" s="36">
        <f>1/M1102-(G1102/100-(((E1102/E982)^(1/10))-1))</f>
        <v>3.0994332976254563E-2</v>
      </c>
      <c r="P1102" s="48">
        <v>2.78</v>
      </c>
      <c r="R1102" s="30"/>
      <c r="S1102" s="30"/>
    </row>
    <row r="1103" spans="1:19" ht="13" x14ac:dyDescent="0.3">
      <c r="A1103" s="52" t="s">
        <v>1119</v>
      </c>
      <c r="B1103" s="6">
        <v>56.17</v>
      </c>
      <c r="C1103" s="1">
        <v>2.09667</v>
      </c>
      <c r="D1103" s="6">
        <v>3.57667</v>
      </c>
      <c r="E1103" s="6">
        <v>30.4</v>
      </c>
      <c r="F1103" s="1">
        <f t="shared" si="85"/>
        <v>1962.7916666665833</v>
      </c>
      <c r="G1103" s="17">
        <v>3.93</v>
      </c>
      <c r="H1103" s="1">
        <f>B1103*$E$1867/E1103</f>
        <v>619.2100425164474</v>
      </c>
      <c r="I1103" s="1">
        <f>C1103*$E$1867/E1103</f>
        <v>23.113390063075659</v>
      </c>
      <c r="J1103" s="26">
        <f t="shared" si="86"/>
        <v>72699.987778223469</v>
      </c>
      <c r="K1103" s="1">
        <f>D1103*$E$1867/E1103</f>
        <v>39.428698286759875</v>
      </c>
      <c r="L1103" s="26">
        <f t="shared" si="84"/>
        <v>4629.2302881740889</v>
      </c>
      <c r="M1103" s="10">
        <f t="shared" si="82"/>
        <v>16.739820967901323</v>
      </c>
      <c r="N1103" s="4">
        <f t="shared" si="83"/>
        <v>19.816278671377127</v>
      </c>
      <c r="O1103" s="36">
        <f>1/M1103-(G1103/100-(((E1103/E983)^(1/10))-1))</f>
        <v>3.3500278187628997E-2</v>
      </c>
      <c r="P1103" s="48">
        <v>2.74</v>
      </c>
      <c r="R1103" s="30"/>
      <c r="S1103" s="30"/>
    </row>
    <row r="1104" spans="1:19" ht="13" x14ac:dyDescent="0.3">
      <c r="A1104" s="52" t="s">
        <v>1120</v>
      </c>
      <c r="B1104" s="6">
        <v>60.04</v>
      </c>
      <c r="C1104" s="1">
        <v>2.1133299999999999</v>
      </c>
      <c r="D1104" s="6">
        <v>3.6233300000000002</v>
      </c>
      <c r="E1104" s="6">
        <v>30.4</v>
      </c>
      <c r="F1104" s="1">
        <f t="shared" si="85"/>
        <v>1962.8749999999166</v>
      </c>
      <c r="G1104" s="17">
        <v>3.92</v>
      </c>
      <c r="H1104" s="1">
        <f>B1104*$E$1867/E1104</f>
        <v>661.87236874999996</v>
      </c>
      <c r="I1104" s="1">
        <f>C1104*$E$1867/E1104</f>
        <v>23.297047519161183</v>
      </c>
      <c r="J1104" s="26">
        <f t="shared" si="86"/>
        <v>77936.808289754001</v>
      </c>
      <c r="K1104" s="1">
        <f>D1104*$E$1867/E1104</f>
        <v>39.943071450082236</v>
      </c>
      <c r="L1104" s="26">
        <f t="shared" si="84"/>
        <v>4703.3773414476082</v>
      </c>
      <c r="M1104" s="10">
        <f t="shared" si="82"/>
        <v>17.854386489497134</v>
      </c>
      <c r="N1104" s="4">
        <f t="shared" si="83"/>
        <v>21.134634868091101</v>
      </c>
      <c r="O1104" s="36">
        <f>1/M1104-(G1104/100-(((E1104/E984)^(1/10))-1))</f>
        <v>2.9871128091809238E-2</v>
      </c>
      <c r="P1104" s="48">
        <v>2.83</v>
      </c>
      <c r="R1104" s="30"/>
      <c r="S1104" s="30"/>
    </row>
    <row r="1105" spans="1:19" ht="13" x14ac:dyDescent="0.3">
      <c r="A1105" s="52" t="s">
        <v>1121</v>
      </c>
      <c r="B1105" s="6">
        <v>62.64</v>
      </c>
      <c r="C1105" s="1">
        <v>2.13</v>
      </c>
      <c r="D1105" s="6">
        <v>3.67</v>
      </c>
      <c r="E1105" s="6">
        <v>30.4</v>
      </c>
      <c r="F1105" s="1">
        <f t="shared" si="85"/>
        <v>1962.9583333332498</v>
      </c>
      <c r="G1105" s="17">
        <v>3.86</v>
      </c>
      <c r="H1105" s="1">
        <f>B1105*$E$1867/E1105</f>
        <v>690.53439671052638</v>
      </c>
      <c r="I1105" s="1">
        <f>C1105*$E$1867/E1105</f>
        <v>23.480815213815788</v>
      </c>
      <c r="J1105" s="26">
        <f t="shared" si="86"/>
        <v>81542.22942607633</v>
      </c>
      <c r="K1105" s="1">
        <f>D1105*$E$1867/E1105</f>
        <v>40.457554851973683</v>
      </c>
      <c r="L1105" s="26">
        <f t="shared" si="84"/>
        <v>4777.4582055188393</v>
      </c>
      <c r="M1105" s="10">
        <f t="shared" si="82"/>
        <v>18.58583611843985</v>
      </c>
      <c r="N1105" s="4">
        <f t="shared" si="83"/>
        <v>21.99692844815041</v>
      </c>
      <c r="O1105" s="36">
        <f>1/M1105-(G1105/100-(((E1105/E985)^(1/10))-1))</f>
        <v>2.8266895655685048E-2</v>
      </c>
      <c r="P1105" s="48">
        <v>2.87</v>
      </c>
      <c r="R1105" s="30"/>
      <c r="S1105" s="30"/>
    </row>
    <row r="1106" spans="1:19" ht="13" x14ac:dyDescent="0.3">
      <c r="A1106" s="52" t="s">
        <v>1122</v>
      </c>
      <c r="B1106" s="6">
        <v>65.06</v>
      </c>
      <c r="C1106" s="1">
        <v>2.1366700000000001</v>
      </c>
      <c r="D1106" s="6">
        <v>3.6833300000000002</v>
      </c>
      <c r="E1106" s="6">
        <v>30.4</v>
      </c>
      <c r="F1106" s="1">
        <f t="shared" si="85"/>
        <v>1963.0416666665831</v>
      </c>
      <c r="G1106" s="17">
        <v>3.83</v>
      </c>
      <c r="H1106" s="1">
        <f>B1106*$E$1867/E1106</f>
        <v>717.21213042763168</v>
      </c>
      <c r="I1106" s="1">
        <f>C1106*$E$1867/E1106</f>
        <v>23.554344339391449</v>
      </c>
      <c r="J1106" s="26">
        <f t="shared" si="86"/>
        <v>84924.273883666101</v>
      </c>
      <c r="K1106" s="1">
        <f>D1106*$E$1867/E1106</f>
        <v>40.604502864555926</v>
      </c>
      <c r="L1106" s="26">
        <f t="shared" si="84"/>
        <v>4807.9330729161366</v>
      </c>
      <c r="M1106" s="10">
        <f t="shared" si="82"/>
        <v>19.259231693254048</v>
      </c>
      <c r="N1106" s="4">
        <f t="shared" si="83"/>
        <v>22.787775396063701</v>
      </c>
      <c r="O1106" s="36">
        <f>1/M1106-(G1106/100-(((E1106/E986)^(1/10))-1))</f>
        <v>2.7065841820962083E-2</v>
      </c>
      <c r="P1106" s="48">
        <v>2.91</v>
      </c>
      <c r="R1106" s="30"/>
      <c r="S1106" s="30"/>
    </row>
    <row r="1107" spans="1:19" ht="13" x14ac:dyDescent="0.3">
      <c r="A1107" s="52" t="s">
        <v>1123</v>
      </c>
      <c r="B1107" s="6">
        <v>65.92</v>
      </c>
      <c r="C1107" s="1">
        <v>2.1433300000000002</v>
      </c>
      <c r="D1107" s="6">
        <v>3.6966700000000001</v>
      </c>
      <c r="E1107" s="6">
        <v>30.4</v>
      </c>
      <c r="F1107" s="1">
        <f t="shared" si="85"/>
        <v>1963.1249999999163</v>
      </c>
      <c r="G1107" s="17">
        <v>3.92</v>
      </c>
      <c r="H1107" s="1">
        <f>B1107*$E$1867/E1107</f>
        <v>726.69264736842115</v>
      </c>
      <c r="I1107" s="1">
        <f>C1107*$E$1867/E1107</f>
        <v>23.627763226398027</v>
      </c>
      <c r="J1107" s="26">
        <f t="shared" si="86"/>
        <v>86279.995845986152</v>
      </c>
      <c r="K1107" s="1">
        <f>D1107*$E$1867/E1107</f>
        <v>40.751561115707233</v>
      </c>
      <c r="L1107" s="26">
        <f t="shared" si="84"/>
        <v>4838.4203920506907</v>
      </c>
      <c r="M1107" s="10">
        <f t="shared" si="82"/>
        <v>19.469191309671405</v>
      </c>
      <c r="N1107" s="4">
        <f t="shared" si="83"/>
        <v>23.029397502210273</v>
      </c>
      <c r="O1107" s="36">
        <f>1/M1107-(G1107/100-(((E1107/E987)^(1/10))-1))</f>
        <v>2.5987675611033281E-2</v>
      </c>
      <c r="P1107" s="48">
        <v>2.92</v>
      </c>
      <c r="R1107" s="30"/>
      <c r="S1107" s="30"/>
    </row>
    <row r="1108" spans="1:19" ht="13" x14ac:dyDescent="0.3">
      <c r="A1108" s="52" t="s">
        <v>1124</v>
      </c>
      <c r="B1108" s="6">
        <v>65.67</v>
      </c>
      <c r="C1108" s="1">
        <v>2.15</v>
      </c>
      <c r="D1108" s="6">
        <v>3.71</v>
      </c>
      <c r="E1108" s="6">
        <v>30.5</v>
      </c>
      <c r="F1108" s="1">
        <f t="shared" si="85"/>
        <v>1963.2083333332496</v>
      </c>
      <c r="G1108" s="17">
        <v>3.93</v>
      </c>
      <c r="H1108" s="1">
        <f>B1108*$E$1867/E1108</f>
        <v>721.5631202459017</v>
      </c>
      <c r="I1108" s="1">
        <f>C1108*$E$1867/E1108</f>
        <v>23.623583196721309</v>
      </c>
      <c r="J1108" s="26">
        <f t="shared" si="86"/>
        <v>85904.703726540945</v>
      </c>
      <c r="K1108" s="1">
        <f>D1108*$E$1867/E1108</f>
        <v>40.764415655737707</v>
      </c>
      <c r="L1108" s="26">
        <f t="shared" si="84"/>
        <v>4853.1513754449052</v>
      </c>
      <c r="M1108" s="10">
        <f t="shared" si="82"/>
        <v>19.288064606604838</v>
      </c>
      <c r="N1108" s="4">
        <f t="shared" si="83"/>
        <v>22.80887539793487</v>
      </c>
      <c r="O1108" s="36">
        <f>1/M1108-(G1108/100-(((E1108/E988)^(1/10))-1))</f>
        <v>2.632110095203833E-2</v>
      </c>
      <c r="P1108" s="48">
        <v>2.89</v>
      </c>
      <c r="R1108" s="30"/>
      <c r="S1108" s="30"/>
    </row>
    <row r="1109" spans="1:19" ht="13" x14ac:dyDescent="0.3">
      <c r="A1109" s="52" t="s">
        <v>1125</v>
      </c>
      <c r="B1109" s="6">
        <v>68.760000000000005</v>
      </c>
      <c r="C1109" s="1">
        <v>2.1666699999999999</v>
      </c>
      <c r="D1109" s="6">
        <v>3.7533300000000001</v>
      </c>
      <c r="E1109" s="6">
        <v>30.5</v>
      </c>
      <c r="F1109" s="1">
        <f t="shared" si="85"/>
        <v>1963.2916666665828</v>
      </c>
      <c r="G1109" s="17">
        <v>3.97</v>
      </c>
      <c r="H1109" s="1">
        <f>B1109*$E$1867/E1109</f>
        <v>755.51515377049191</v>
      </c>
      <c r="I1109" s="1">
        <f>C1109*$E$1867/E1109</f>
        <v>23.806748374344263</v>
      </c>
      <c r="J1109" s="26">
        <f t="shared" si="86"/>
        <v>90183.006298242035</v>
      </c>
      <c r="K1109" s="1">
        <f>D1109*$E$1867/E1109</f>
        <v>41.240513264999997</v>
      </c>
      <c r="L1109" s="26">
        <f t="shared" si="84"/>
        <v>4922.7251749473635</v>
      </c>
      <c r="M1109" s="10">
        <f t="shared" si="82"/>
        <v>20.150077238226977</v>
      </c>
      <c r="N1109" s="4">
        <f t="shared" si="83"/>
        <v>23.819656401644728</v>
      </c>
      <c r="O1109" s="36">
        <f>1/M1109-(G1109/100-(((E1109/E989)^(1/10))-1))</f>
        <v>2.3703168769710035E-2</v>
      </c>
      <c r="P1109" s="48">
        <v>2.9</v>
      </c>
      <c r="R1109" s="30"/>
      <c r="S1109" s="30"/>
    </row>
    <row r="1110" spans="1:19" ht="13" x14ac:dyDescent="0.3">
      <c r="A1110" s="52" t="s">
        <v>1126</v>
      </c>
      <c r="B1110" s="6">
        <v>70.14</v>
      </c>
      <c r="C1110" s="1">
        <v>2.1833300000000002</v>
      </c>
      <c r="D1110" s="6">
        <v>3.7966700000000002</v>
      </c>
      <c r="E1110" s="6">
        <v>30.5</v>
      </c>
      <c r="F1110" s="1">
        <f t="shared" si="85"/>
        <v>1963.3749999999161</v>
      </c>
      <c r="G1110" s="17">
        <v>3.93</v>
      </c>
      <c r="H1110" s="1">
        <f>B1110*$E$1867/E1110</f>
        <v>770.67819786885241</v>
      </c>
      <c r="I1110" s="1">
        <f>C1110*$E$1867/E1110</f>
        <v>23.989803674836068</v>
      </c>
      <c r="J1110" s="26">
        <f t="shared" si="86"/>
        <v>92231.592985560259</v>
      </c>
      <c r="K1110" s="1">
        <f>D1110*$E$1867/E1110</f>
        <v>41.716720751393446</v>
      </c>
      <c r="L1110" s="26">
        <f t="shared" si="84"/>
        <v>4992.4853456014707</v>
      </c>
      <c r="M1110" s="10">
        <f t="shared" si="82"/>
        <v>20.507585864952603</v>
      </c>
      <c r="N1110" s="4">
        <f t="shared" si="83"/>
        <v>24.232447349964119</v>
      </c>
      <c r="O1110" s="36">
        <f>1/M1110-(G1110/100-(((E1110/E990)^(1/10))-1))</f>
        <v>2.2857678405550974E-2</v>
      </c>
      <c r="P1110" s="48">
        <v>2.93</v>
      </c>
      <c r="R1110" s="30"/>
      <c r="S1110" s="30"/>
    </row>
    <row r="1111" spans="1:19" ht="13" x14ac:dyDescent="0.3">
      <c r="A1111" s="52" t="s">
        <v>1127</v>
      </c>
      <c r="B1111" s="6">
        <v>70.11</v>
      </c>
      <c r="C1111" s="1">
        <v>2.2000000000000002</v>
      </c>
      <c r="D1111" s="6">
        <v>3.84</v>
      </c>
      <c r="E1111" s="6">
        <v>30.6</v>
      </c>
      <c r="F1111" s="1">
        <f t="shared" si="85"/>
        <v>1963.4583333332494</v>
      </c>
      <c r="G1111" s="17">
        <v>3.99</v>
      </c>
      <c r="H1111" s="1">
        <f>B1111*$E$1867/E1111</f>
        <v>767.83108749999997</v>
      </c>
      <c r="I1111" s="1">
        <f>C1111*$E$1867/E1111</f>
        <v>24.093972222222224</v>
      </c>
      <c r="J1111" s="26">
        <f t="shared" si="86"/>
        <v>92131.151489154581</v>
      </c>
      <c r="K1111" s="1">
        <f>D1111*$E$1867/E1111</f>
        <v>42.054933333333331</v>
      </c>
      <c r="L1111" s="26">
        <f t="shared" si="84"/>
        <v>5046.1221183619109</v>
      </c>
      <c r="M1111" s="10">
        <f t="shared" si="82"/>
        <v>20.384149993840992</v>
      </c>
      <c r="N1111" s="4">
        <f t="shared" si="83"/>
        <v>24.077153173393256</v>
      </c>
      <c r="O1111" s="36">
        <f>1/M1111-(G1111/100-(((E1111/E991)^(1/10))-1))</f>
        <v>2.2505837092669845E-2</v>
      </c>
      <c r="P1111" s="48">
        <v>2.99</v>
      </c>
      <c r="R1111" s="30"/>
      <c r="S1111" s="30"/>
    </row>
    <row r="1112" spans="1:19" ht="13" x14ac:dyDescent="0.3">
      <c r="A1112" s="52" t="s">
        <v>1128</v>
      </c>
      <c r="B1112" s="6">
        <v>69.069999999999993</v>
      </c>
      <c r="C1112" s="1">
        <v>2.2033299999999998</v>
      </c>
      <c r="D1112" s="6">
        <v>3.88</v>
      </c>
      <c r="E1112" s="6">
        <v>30.7</v>
      </c>
      <c r="F1112" s="1">
        <f t="shared" si="85"/>
        <v>1963.5416666665826</v>
      </c>
      <c r="G1112" s="17">
        <v>4.0199999999999996</v>
      </c>
      <c r="H1112" s="1">
        <f>B1112*$E$1867/E1112</f>
        <v>753.9772318403908</v>
      </c>
      <c r="I1112" s="1">
        <f>C1112*$E$1867/E1112</f>
        <v>24.051840947312702</v>
      </c>
      <c r="J1112" s="26">
        <f t="shared" si="86"/>
        <v>90709.339614861965</v>
      </c>
      <c r="K1112" s="1">
        <f>D1112*$E$1867/E1112</f>
        <v>42.354591856677523</v>
      </c>
      <c r="L1112" s="26">
        <f t="shared" si="84"/>
        <v>5095.5876314704565</v>
      </c>
      <c r="M1112" s="10">
        <f t="shared" si="82"/>
        <v>19.96923188594964</v>
      </c>
      <c r="N1112" s="4">
        <f t="shared" si="83"/>
        <v>23.578826512048288</v>
      </c>
      <c r="O1112" s="36">
        <f>1/M1112-(G1112/100-(((E1112/E992)^(1/10))-1))</f>
        <v>2.3555825629666571E-2</v>
      </c>
      <c r="P1112" s="48">
        <v>3.18</v>
      </c>
      <c r="R1112" s="30"/>
      <c r="S1112" s="30"/>
    </row>
    <row r="1113" spans="1:19" ht="13" x14ac:dyDescent="0.3">
      <c r="A1113" s="52" t="s">
        <v>1129</v>
      </c>
      <c r="B1113" s="6">
        <v>70.98</v>
      </c>
      <c r="C1113" s="1">
        <v>2.2066699999999999</v>
      </c>
      <c r="D1113" s="6">
        <v>3.92</v>
      </c>
      <c r="E1113" s="6">
        <v>30.7</v>
      </c>
      <c r="F1113" s="1">
        <f t="shared" si="85"/>
        <v>1963.6249999999159</v>
      </c>
      <c r="G1113" s="17">
        <v>4</v>
      </c>
      <c r="H1113" s="1">
        <f>B1113*$E$1867/E1113</f>
        <v>774.82704381107499</v>
      </c>
      <c r="I1113" s="1">
        <f>C1113*$E$1867/E1113</f>
        <v>24.088300827931594</v>
      </c>
      <c r="J1113" s="26">
        <f t="shared" si="86"/>
        <v>93459.235423969367</v>
      </c>
      <c r="K1113" s="1">
        <f>D1113*$E$1867/E1113</f>
        <v>42.791237133550482</v>
      </c>
      <c r="L1113" s="26">
        <f t="shared" si="84"/>
        <v>5161.4567887004769</v>
      </c>
      <c r="M1113" s="10">
        <f t="shared" si="82"/>
        <v>20.472637900527683</v>
      </c>
      <c r="N1113" s="4">
        <f t="shared" si="83"/>
        <v>24.163214231057268</v>
      </c>
      <c r="O1113" s="36">
        <f>1/M1113-(G1113/100-(((E1113/E993)^(1/10))-1))</f>
        <v>2.2147006613097986E-2</v>
      </c>
      <c r="P1113" s="48">
        <v>3.32</v>
      </c>
      <c r="R1113" s="30"/>
      <c r="S1113" s="30"/>
    </row>
    <row r="1114" spans="1:19" ht="13" x14ac:dyDescent="0.3">
      <c r="A1114" s="52" t="s">
        <v>1130</v>
      </c>
      <c r="B1114" s="6">
        <v>72.849999999999994</v>
      </c>
      <c r="C1114" s="1">
        <v>2.21</v>
      </c>
      <c r="D1114" s="6">
        <v>3.96</v>
      </c>
      <c r="E1114" s="6">
        <v>30.7</v>
      </c>
      <c r="F1114" s="1">
        <f t="shared" si="85"/>
        <v>1963.7083333332491</v>
      </c>
      <c r="G1114" s="17">
        <v>4.08</v>
      </c>
      <c r="H1114" s="1">
        <f>B1114*$E$1867/E1114</f>
        <v>795.24021050488591</v>
      </c>
      <c r="I1114" s="1">
        <f>C1114*$E$1867/E1114</f>
        <v>24.12465154723127</v>
      </c>
      <c r="J1114" s="26">
        <f t="shared" si="86"/>
        <v>96163.952895088965</v>
      </c>
      <c r="K1114" s="1">
        <f>D1114*$E$1867/E1114</f>
        <v>43.227882410423454</v>
      </c>
      <c r="L1114" s="26">
        <f t="shared" si="84"/>
        <v>5227.3061559993457</v>
      </c>
      <c r="M1114" s="10">
        <f t="shared" si="82"/>
        <v>20.960360090705116</v>
      </c>
      <c r="N1114" s="4">
        <f t="shared" si="83"/>
        <v>24.727136816950303</v>
      </c>
      <c r="O1114" s="36">
        <f>1/M1114-(G1114/100-(((E1114/E994)^(1/10))-1))</f>
        <v>2.0210426714588683E-2</v>
      </c>
      <c r="P1114" s="48">
        <v>3.38</v>
      </c>
      <c r="R1114" s="30"/>
      <c r="S1114" s="30"/>
    </row>
    <row r="1115" spans="1:19" ht="13" x14ac:dyDescent="0.3">
      <c r="A1115" s="52" t="s">
        <v>1131</v>
      </c>
      <c r="B1115" s="6">
        <v>73.03</v>
      </c>
      <c r="C1115" s="1">
        <v>2.23333</v>
      </c>
      <c r="D1115" s="6">
        <v>3.98</v>
      </c>
      <c r="E1115" s="6">
        <v>30.8</v>
      </c>
      <c r="F1115" s="1">
        <f t="shared" si="85"/>
        <v>1963.7916666665824</v>
      </c>
      <c r="G1115" s="17">
        <v>4.1100000000000003</v>
      </c>
      <c r="H1115" s="1">
        <f>B1115*$E$1867/E1115</f>
        <v>794.6167859577921</v>
      </c>
      <c r="I1115" s="1">
        <f>C1115*$E$1867/E1115</f>
        <v>24.30017125267857</v>
      </c>
      <c r="J1115" s="26">
        <f t="shared" si="86"/>
        <v>96333.439304871776</v>
      </c>
      <c r="K1115" s="1">
        <f>D1115*$E$1867/E1115</f>
        <v>43.305145941558443</v>
      </c>
      <c r="L1115" s="26">
        <f t="shared" si="84"/>
        <v>5249.9943644172217</v>
      </c>
      <c r="M1115" s="10">
        <f t="shared" si="82"/>
        <v>20.891344595411496</v>
      </c>
      <c r="N1115" s="4">
        <f t="shared" si="83"/>
        <v>24.63455420656685</v>
      </c>
      <c r="O1115" s="36">
        <f>1/M1115-(G1115/100-(((E1115/E995)^(1/10))-1))</f>
        <v>2.0021572622875648E-2</v>
      </c>
      <c r="P1115" s="48">
        <v>3.45</v>
      </c>
      <c r="R1115" s="30"/>
      <c r="S1115" s="30"/>
    </row>
    <row r="1116" spans="1:19" ht="13" x14ac:dyDescent="0.3">
      <c r="A1116" s="52" t="s">
        <v>1132</v>
      </c>
      <c r="B1116" s="6">
        <v>72.62</v>
      </c>
      <c r="C1116" s="1">
        <v>2.2566700000000002</v>
      </c>
      <c r="D1116" s="6">
        <v>4</v>
      </c>
      <c r="E1116" s="6">
        <v>30.8</v>
      </c>
      <c r="F1116" s="1">
        <f t="shared" si="85"/>
        <v>1963.8749999999156</v>
      </c>
      <c r="G1116" s="17">
        <v>4.12</v>
      </c>
      <c r="H1116" s="1">
        <f>B1116*$E$1867/E1116</f>
        <v>790.15570308441568</v>
      </c>
      <c r="I1116" s="1">
        <f>C1116*$E$1867/E1116</f>
        <v>24.554126555762988</v>
      </c>
      <c r="J1116" s="26">
        <f t="shared" si="86"/>
        <v>96040.674072656911</v>
      </c>
      <c r="K1116" s="1">
        <f>D1116*$E$1867/E1116</f>
        <v>43.522759740259737</v>
      </c>
      <c r="L1116" s="26">
        <f t="shared" si="84"/>
        <v>5290.0398828232937</v>
      </c>
      <c r="M1116" s="10">
        <f t="shared" si="82"/>
        <v>20.720399335339714</v>
      </c>
      <c r="N1116" s="4">
        <f t="shared" si="83"/>
        <v>24.423701791634496</v>
      </c>
      <c r="O1116" s="36">
        <f>1/M1116-(G1116/100-(((E1116/E996)^(1/10))-1))</f>
        <v>2.0692523571010375E-2</v>
      </c>
      <c r="P1116" s="48">
        <v>3.52</v>
      </c>
      <c r="R1116" s="30"/>
      <c r="S1116" s="30"/>
    </row>
    <row r="1117" spans="1:19" ht="13" x14ac:dyDescent="0.3">
      <c r="A1117" s="52" t="s">
        <v>1133</v>
      </c>
      <c r="B1117" s="6">
        <v>74.17</v>
      </c>
      <c r="C1117" s="1">
        <v>2.2799999999999998</v>
      </c>
      <c r="D1117" s="6">
        <v>4.0199999999999996</v>
      </c>
      <c r="E1117" s="6">
        <v>30.9</v>
      </c>
      <c r="F1117" s="1">
        <f t="shared" si="85"/>
        <v>1963.9583333332489</v>
      </c>
      <c r="G1117" s="17">
        <v>4.13</v>
      </c>
      <c r="H1117" s="1">
        <f>B1117*$E$1867/E1117</f>
        <v>804.4090547734628</v>
      </c>
      <c r="I1117" s="1">
        <f>C1117*$E$1867/E1117</f>
        <v>24.727688349514562</v>
      </c>
      <c r="J1117" s="26">
        <f t="shared" si="86"/>
        <v>98023.583035207106</v>
      </c>
      <c r="K1117" s="1">
        <f>D1117*$E$1867/E1117</f>
        <v>43.598818932038832</v>
      </c>
      <c r="L1117" s="26">
        <f t="shared" si="84"/>
        <v>5312.8596980117636</v>
      </c>
      <c r="M1117" s="10">
        <f t="shared" si="82"/>
        <v>21.038599376737057</v>
      </c>
      <c r="N1117" s="4">
        <f t="shared" si="83"/>
        <v>24.789068553629306</v>
      </c>
      <c r="O1117" s="36">
        <f>1/M1117-(G1117/100-(((E1117/E997)^(1/10))-1))</f>
        <v>2.0191207824954004E-2</v>
      </c>
      <c r="P1117" s="48">
        <v>3.52</v>
      </c>
      <c r="R1117" s="30"/>
      <c r="S1117" s="30"/>
    </row>
    <row r="1118" spans="1:19" ht="13" x14ac:dyDescent="0.3">
      <c r="A1118" s="52" t="s">
        <v>1134</v>
      </c>
      <c r="B1118" s="6">
        <v>76.45</v>
      </c>
      <c r="C1118" s="1">
        <v>2.2966700000000002</v>
      </c>
      <c r="D1118" s="6">
        <v>4.0733300000000003</v>
      </c>
      <c r="E1118" s="6">
        <v>30.9</v>
      </c>
      <c r="F1118" s="1">
        <f t="shared" si="85"/>
        <v>1964.0416666665822</v>
      </c>
      <c r="G1118" s="17">
        <v>4.17</v>
      </c>
      <c r="H1118" s="1">
        <f>B1118*$E$1867/E1118</f>
        <v>829.13674312297735</v>
      </c>
      <c r="I1118" s="1">
        <f>C1118*$E$1867/E1118</f>
        <v>24.908482456877024</v>
      </c>
      <c r="J1118" s="26">
        <f t="shared" si="86"/>
        <v>101289.78798587531</v>
      </c>
      <c r="K1118" s="1">
        <f>D1118*$E$1867/E1118</f>
        <v>44.17720823891586</v>
      </c>
      <c r="L1118" s="26">
        <f t="shared" si="84"/>
        <v>5396.8179476325122</v>
      </c>
      <c r="M1118" s="10">
        <f t="shared" si="82"/>
        <v>21.627216196980932</v>
      </c>
      <c r="N1118" s="4">
        <f t="shared" si="83"/>
        <v>25.471838579072319</v>
      </c>
      <c r="O1118" s="36">
        <f>1/M1118-(G1118/100-(((E1118/E998)^(1/10))-1))</f>
        <v>1.8497562501543718E-2</v>
      </c>
      <c r="P1118" s="48">
        <v>3.52</v>
      </c>
      <c r="R1118" s="30"/>
      <c r="S1118" s="30"/>
    </row>
    <row r="1119" spans="1:19" ht="13" x14ac:dyDescent="0.3">
      <c r="A1119" s="52" t="s">
        <v>1135</v>
      </c>
      <c r="B1119" s="6">
        <v>77.39</v>
      </c>
      <c r="C1119" s="1">
        <v>2.3133300000000001</v>
      </c>
      <c r="D1119" s="6">
        <v>4.1266699999999998</v>
      </c>
      <c r="E1119" s="6">
        <v>30.9</v>
      </c>
      <c r="F1119" s="1">
        <f t="shared" si="85"/>
        <v>1964.1249999999154</v>
      </c>
      <c r="G1119" s="17">
        <v>4.1500000000000004</v>
      </c>
      <c r="H1119" s="1">
        <f>B1119*$E$1867/E1119</f>
        <v>839.33149182847899</v>
      </c>
      <c r="I1119" s="1">
        <f>C1119*$E$1867/E1119</f>
        <v>25.089168109466023</v>
      </c>
      <c r="J1119" s="26">
        <f t="shared" si="86"/>
        <v>102790.62242420323</v>
      </c>
      <c r="K1119" s="1">
        <f>D1119*$E$1867/E1119</f>
        <v>44.755706000566342</v>
      </c>
      <c r="L1119" s="26">
        <f t="shared" si="84"/>
        <v>5481.108384019728</v>
      </c>
      <c r="M1119" s="10">
        <f t="shared" si="82"/>
        <v>21.832670826710327</v>
      </c>
      <c r="N1119" s="4">
        <f t="shared" si="83"/>
        <v>25.702472478695242</v>
      </c>
      <c r="O1119" s="36">
        <f>1/M1119-(G1119/100-(((E1119/E999)^(1/10))-1))</f>
        <v>1.8262443104984941E-2</v>
      </c>
      <c r="P1119" s="48">
        <v>3.53</v>
      </c>
      <c r="R1119" s="30"/>
      <c r="S1119" s="30"/>
    </row>
    <row r="1120" spans="1:19" ht="13" x14ac:dyDescent="0.3">
      <c r="A1120" s="52" t="s">
        <v>1136</v>
      </c>
      <c r="B1120" s="6">
        <v>78.8</v>
      </c>
      <c r="C1120" s="1">
        <v>2.33</v>
      </c>
      <c r="D1120" s="6">
        <v>4.18</v>
      </c>
      <c r="E1120" s="6">
        <v>30.9</v>
      </c>
      <c r="F1120" s="1">
        <f t="shared" si="85"/>
        <v>1964.2083333332487</v>
      </c>
      <c r="G1120" s="17">
        <v>4.22</v>
      </c>
      <c r="H1120" s="1">
        <f>B1120*$E$1867/E1120</f>
        <v>854.62361488673139</v>
      </c>
      <c r="I1120" s="1">
        <f>C1120*$E$1867/E1120</f>
        <v>25.269962216828482</v>
      </c>
      <c r="J1120" s="26">
        <f t="shared" si="86"/>
        <v>104921.30197115797</v>
      </c>
      <c r="K1120" s="1">
        <f>D1120*$E$1867/E1120</f>
        <v>45.33409530744337</v>
      </c>
      <c r="L1120" s="26">
        <f t="shared" si="84"/>
        <v>5565.6223634446742</v>
      </c>
      <c r="M1120" s="10">
        <f t="shared" si="82"/>
        <v>22.167245585982634</v>
      </c>
      <c r="N1120" s="4">
        <f t="shared" si="83"/>
        <v>26.083991410252438</v>
      </c>
      <c r="O1120" s="36">
        <f>1/M1120-(G1120/100-(((E1120/E1000)^(1/10))-1))</f>
        <v>1.687113034264047E-2</v>
      </c>
      <c r="P1120" s="48">
        <v>3.54</v>
      </c>
      <c r="R1120" s="30"/>
      <c r="S1120" s="30"/>
    </row>
    <row r="1121" spans="1:19" ht="13" x14ac:dyDescent="0.3">
      <c r="A1121" s="52" t="s">
        <v>1137</v>
      </c>
      <c r="B1121" s="6">
        <v>79.94</v>
      </c>
      <c r="C1121" s="1">
        <v>2.34667</v>
      </c>
      <c r="D1121" s="6">
        <v>4.2300000000000004</v>
      </c>
      <c r="E1121" s="6">
        <v>30.9</v>
      </c>
      <c r="F1121" s="1">
        <f t="shared" si="85"/>
        <v>1964.2916666665819</v>
      </c>
      <c r="G1121" s="17">
        <v>4.2300000000000004</v>
      </c>
      <c r="H1121" s="1">
        <f>B1121*$E$1867/E1121</f>
        <v>866.98745906148861</v>
      </c>
      <c r="I1121" s="1">
        <f>C1121*$E$1867/E1121</f>
        <v>25.450756324190941</v>
      </c>
      <c r="J1121" s="26">
        <f t="shared" si="86"/>
        <v>106699.57934283954</v>
      </c>
      <c r="K1121" s="1">
        <f>D1121*$E$1867/E1121</f>
        <v>45.876369174757286</v>
      </c>
      <c r="L1121" s="26">
        <f t="shared" si="84"/>
        <v>5645.9747388067472</v>
      </c>
      <c r="M1121" s="10">
        <f t="shared" si="82"/>
        <v>22.422192169737176</v>
      </c>
      <c r="N1121" s="4">
        <f t="shared" si="83"/>
        <v>26.37088840344758</v>
      </c>
      <c r="O1121" s="36">
        <f>1/M1121-(G1121/100-(((E1121/E1001)^(1/10))-1))</f>
        <v>1.663590814192991E-2</v>
      </c>
      <c r="P1121" s="48">
        <v>3.47</v>
      </c>
      <c r="R1121" s="30"/>
      <c r="S1121" s="30"/>
    </row>
    <row r="1122" spans="1:19" ht="13" x14ac:dyDescent="0.3">
      <c r="A1122" s="52" t="s">
        <v>1138</v>
      </c>
      <c r="B1122" s="6">
        <v>80.72</v>
      </c>
      <c r="C1122" s="1">
        <v>2.3633299999999999</v>
      </c>
      <c r="D1122" s="6">
        <v>4.28</v>
      </c>
      <c r="E1122" s="6">
        <v>30.9</v>
      </c>
      <c r="F1122" s="1">
        <f t="shared" si="85"/>
        <v>1964.3749999999152</v>
      </c>
      <c r="G1122" s="17">
        <v>4.2</v>
      </c>
      <c r="H1122" s="1">
        <f>B1122*$E$1867/E1122</f>
        <v>875.44693139158585</v>
      </c>
      <c r="I1122" s="1">
        <f>C1122*$E$1867/E1122</f>
        <v>25.631441976779936</v>
      </c>
      <c r="J1122" s="26">
        <f t="shared" si="86"/>
        <v>108003.55146724255</v>
      </c>
      <c r="K1122" s="1">
        <f>D1122*$E$1867/E1122</f>
        <v>46.418643042071203</v>
      </c>
      <c r="L1122" s="26">
        <f t="shared" si="84"/>
        <v>5726.6501521283217</v>
      </c>
      <c r="M1122" s="10">
        <f t="shared" si="82"/>
        <v>22.574330769563844</v>
      </c>
      <c r="N1122" s="4">
        <f t="shared" si="83"/>
        <v>26.536112909394109</v>
      </c>
      <c r="O1122" s="36">
        <f>1/M1122-(G1122/100-(((E1122/E1002)^(1/10))-1))</f>
        <v>1.6257628241597905E-2</v>
      </c>
      <c r="P1122" s="48">
        <v>3.48</v>
      </c>
      <c r="R1122" s="30"/>
      <c r="S1122" s="30"/>
    </row>
    <row r="1123" spans="1:19" ht="13" x14ac:dyDescent="0.3">
      <c r="A1123" s="52" t="s">
        <v>1139</v>
      </c>
      <c r="B1123" s="6">
        <v>80.239999999999995</v>
      </c>
      <c r="C1123" s="1">
        <v>2.38</v>
      </c>
      <c r="D1123" s="6">
        <v>4.33</v>
      </c>
      <c r="E1123" s="6">
        <v>31</v>
      </c>
      <c r="F1123" s="1">
        <f t="shared" si="85"/>
        <v>1964.4583333332484</v>
      </c>
      <c r="G1123" s="17">
        <v>4.17</v>
      </c>
      <c r="H1123" s="1">
        <f>B1123*$E$1867/E1123</f>
        <v>867.43387290322573</v>
      </c>
      <c r="I1123" s="1">
        <f>C1123*$E$1867/E1123</f>
        <v>25.72897080645161</v>
      </c>
      <c r="J1123" s="26">
        <f t="shared" si="86"/>
        <v>107279.49795784376</v>
      </c>
      <c r="K1123" s="1">
        <f>D1123*$E$1867/E1123</f>
        <v>46.809430080645164</v>
      </c>
      <c r="L1123" s="26">
        <f t="shared" si="84"/>
        <v>5789.1354207061759</v>
      </c>
      <c r="M1123" s="10">
        <f t="shared" si="82"/>
        <v>22.300288036082797</v>
      </c>
      <c r="N1123" s="4">
        <f t="shared" si="83"/>
        <v>26.201151795356218</v>
      </c>
      <c r="O1123" s="36">
        <f>1/M1123-(G1123/100-(((E1123/E1003)^(1/10))-1))</f>
        <v>1.7429662017281411E-2</v>
      </c>
      <c r="P1123" s="48">
        <v>3.48</v>
      </c>
      <c r="R1123" s="30"/>
      <c r="S1123" s="30"/>
    </row>
    <row r="1124" spans="1:19" ht="13" x14ac:dyDescent="0.3">
      <c r="A1124" s="52" t="s">
        <v>1140</v>
      </c>
      <c r="B1124" s="6">
        <v>83.22</v>
      </c>
      <c r="C1124" s="1">
        <v>2.4</v>
      </c>
      <c r="D1124" s="6">
        <v>4.3766699999999998</v>
      </c>
      <c r="E1124" s="6">
        <v>31.1</v>
      </c>
      <c r="F1124" s="1">
        <f t="shared" si="85"/>
        <v>1964.5416666665817</v>
      </c>
      <c r="G1124" s="17">
        <v>4.1900000000000004</v>
      </c>
      <c r="H1124" s="1">
        <f>B1124*$E$1867/E1124</f>
        <v>896.75637636655938</v>
      </c>
      <c r="I1124" s="1">
        <f>C1124*$E$1867/E1124</f>
        <v>25.861755627009643</v>
      </c>
      <c r="J1124" s="26">
        <f t="shared" si="86"/>
        <v>111172.48227541777</v>
      </c>
      <c r="K1124" s="1">
        <f>D1124*$E$1867/E1124</f>
        <v>47.161820833360125</v>
      </c>
      <c r="L1124" s="26">
        <f t="shared" si="84"/>
        <v>5846.7347752986389</v>
      </c>
      <c r="M1124" s="10">
        <f t="shared" si="82"/>
        <v>22.984351845738399</v>
      </c>
      <c r="N1124" s="4">
        <f t="shared" si="83"/>
        <v>26.989715153331542</v>
      </c>
      <c r="O1124" s="36">
        <f>1/M1124-(G1124/100-(((E1124/E1004)^(1/10))-1))</f>
        <v>1.6221768966826158E-2</v>
      </c>
      <c r="P1124" s="48">
        <v>3.46</v>
      </c>
      <c r="R1124" s="30"/>
      <c r="S1124" s="30"/>
    </row>
    <row r="1125" spans="1:19" ht="13" x14ac:dyDescent="0.3">
      <c r="A1125" s="52" t="s">
        <v>1141</v>
      </c>
      <c r="B1125" s="6">
        <v>82</v>
      </c>
      <c r="C1125" s="1">
        <v>2.42</v>
      </c>
      <c r="D1125" s="6">
        <v>4.42333</v>
      </c>
      <c r="E1125" s="6">
        <v>31</v>
      </c>
      <c r="F1125" s="1">
        <f t="shared" si="85"/>
        <v>1964.624999999915</v>
      </c>
      <c r="G1125" s="17">
        <v>4.1900000000000004</v>
      </c>
      <c r="H1125" s="1">
        <f>B1125*$E$1867/E1125</f>
        <v>886.46033870967733</v>
      </c>
      <c r="I1125" s="1">
        <f>C1125*$E$1867/E1125</f>
        <v>26.161390483870967</v>
      </c>
      <c r="J1125" s="26">
        <f t="shared" si="86"/>
        <v>110166.33702306935</v>
      </c>
      <c r="K1125" s="1">
        <f>D1125*$E$1867/E1125</f>
        <v>47.818373292983864</v>
      </c>
      <c r="L1125" s="26">
        <f t="shared" si="84"/>
        <v>5942.7080920030894</v>
      </c>
      <c r="M1125" s="10">
        <f t="shared" si="82"/>
        <v>22.650407292938795</v>
      </c>
      <c r="N1125" s="4">
        <f t="shared" si="83"/>
        <v>26.584322276294248</v>
      </c>
      <c r="O1125" s="36">
        <f>1/M1125-(G1125/100-(((E1125/E1005)^(1/10))-1))</f>
        <v>1.6536508374959624E-2</v>
      </c>
      <c r="P1125" s="48">
        <v>3.5</v>
      </c>
      <c r="R1125" s="30"/>
      <c r="S1125" s="30"/>
    </row>
    <row r="1126" spans="1:19" ht="13" x14ac:dyDescent="0.3">
      <c r="A1126" s="52" t="s">
        <v>1142</v>
      </c>
      <c r="B1126" s="6">
        <v>83.41</v>
      </c>
      <c r="C1126" s="1">
        <v>2.44</v>
      </c>
      <c r="D1126" s="6">
        <v>4.47</v>
      </c>
      <c r="E1126" s="6">
        <v>31.1</v>
      </c>
      <c r="F1126" s="1">
        <f t="shared" si="85"/>
        <v>1964.7083333332482</v>
      </c>
      <c r="G1126" s="17">
        <v>4.2</v>
      </c>
      <c r="H1126" s="1">
        <f>B1126*$E$1867/E1126</f>
        <v>898.8037653536976</v>
      </c>
      <c r="I1126" s="1">
        <f>C1126*$E$1867/E1126</f>
        <v>26.292784887459806</v>
      </c>
      <c r="J1126" s="26">
        <f t="shared" si="86"/>
        <v>111972.63526323008</v>
      </c>
      <c r="K1126" s="1">
        <f>D1126*$E$1867/E1126</f>
        <v>48.167519855305464</v>
      </c>
      <c r="L1126" s="26">
        <f t="shared" si="84"/>
        <v>6000.6915193218865</v>
      </c>
      <c r="M1126" s="10">
        <f t="shared" si="82"/>
        <v>22.892221984231693</v>
      </c>
      <c r="N1126" s="4">
        <f t="shared" si="83"/>
        <v>26.854044617703909</v>
      </c>
      <c r="O1126" s="36">
        <f>1/M1126-(G1126/100-(((E1126/E1006)^(1/10))-1))</f>
        <v>1.6674819662362964E-2</v>
      </c>
      <c r="P1126" s="48">
        <v>3.53</v>
      </c>
      <c r="R1126" s="30"/>
      <c r="S1126" s="30"/>
    </row>
    <row r="1127" spans="1:19" ht="13" x14ac:dyDescent="0.3">
      <c r="A1127" s="52" t="s">
        <v>1143</v>
      </c>
      <c r="B1127" s="6">
        <v>84.85</v>
      </c>
      <c r="C1127" s="1">
        <v>2.46</v>
      </c>
      <c r="D1127" s="6">
        <v>4.4966699999999999</v>
      </c>
      <c r="E1127" s="6">
        <v>31.1</v>
      </c>
      <c r="F1127" s="1">
        <f t="shared" si="85"/>
        <v>1964.7916666665815</v>
      </c>
      <c r="G1127" s="17">
        <v>4.1900000000000004</v>
      </c>
      <c r="H1127" s="1">
        <f>B1127*$E$1867/E1127</f>
        <v>914.32081872990341</v>
      </c>
      <c r="I1127" s="1">
        <f>C1127*$E$1867/E1127</f>
        <v>26.508299517684886</v>
      </c>
      <c r="J1127" s="26">
        <f t="shared" si="86"/>
        <v>114180.94343980381</v>
      </c>
      <c r="K1127" s="1">
        <f>D1127*$E$1867/E1127</f>
        <v>48.454908614710611</v>
      </c>
      <c r="L1127" s="26">
        <f t="shared" si="84"/>
        <v>6051.0786439300255</v>
      </c>
      <c r="M1127" s="10">
        <f t="shared" si="82"/>
        <v>23.212154680675344</v>
      </c>
      <c r="N1127" s="4">
        <f t="shared" si="83"/>
        <v>27.214540709714317</v>
      </c>
      <c r="O1127" s="36">
        <f>1/M1127-(G1127/100-(((E1127/E1007)^(1/10))-1))</f>
        <v>1.6172738247145629E-2</v>
      </c>
      <c r="P1127" s="48">
        <v>3.57</v>
      </c>
      <c r="R1127" s="30"/>
      <c r="S1127" s="30"/>
    </row>
    <row r="1128" spans="1:19" ht="13" x14ac:dyDescent="0.3">
      <c r="A1128" s="52" t="s">
        <v>1144</v>
      </c>
      <c r="B1128" s="6">
        <v>85.44</v>
      </c>
      <c r="C1128" s="1">
        <v>2.48</v>
      </c>
      <c r="D1128" s="6">
        <v>4.5233299999999996</v>
      </c>
      <c r="E1128" s="6">
        <v>31.2</v>
      </c>
      <c r="F1128" s="1">
        <f t="shared" si="85"/>
        <v>1964.8749999999147</v>
      </c>
      <c r="G1128" s="17">
        <v>4.1500000000000004</v>
      </c>
      <c r="H1128" s="1">
        <f>B1128*$E$1867/E1128</f>
        <v>917.72760769230763</v>
      </c>
      <c r="I1128" s="1">
        <f>C1128*$E$1867/E1128</f>
        <v>26.638160897435895</v>
      </c>
      <c r="J1128" s="26">
        <f t="shared" si="86"/>
        <v>114883.60115020238</v>
      </c>
      <c r="K1128" s="1">
        <f>D1128*$E$1867/E1128</f>
        <v>48.585964650080122</v>
      </c>
      <c r="L1128" s="26">
        <f t="shared" si="84"/>
        <v>6082.1212498916766</v>
      </c>
      <c r="M1128" s="10">
        <f t="shared" si="82"/>
        <v>23.225019793095822</v>
      </c>
      <c r="N1128" s="4">
        <f t="shared" si="83"/>
        <v>27.214609565060385</v>
      </c>
      <c r="O1128" s="36">
        <f>1/M1128-(G1128/100-(((E1128/E1008)^(1/10))-1))</f>
        <v>1.6874766984181139E-2</v>
      </c>
      <c r="P1128" s="48">
        <v>3.64</v>
      </c>
      <c r="R1128" s="30"/>
      <c r="S1128" s="30"/>
    </row>
    <row r="1129" spans="1:19" ht="13" x14ac:dyDescent="0.3">
      <c r="A1129" s="52" t="s">
        <v>1145</v>
      </c>
      <c r="B1129" s="6">
        <v>83.96</v>
      </c>
      <c r="C1129" s="1">
        <v>2.5</v>
      </c>
      <c r="D1129" s="6">
        <v>4.55</v>
      </c>
      <c r="E1129" s="6">
        <v>31.2</v>
      </c>
      <c r="F1129" s="1">
        <f t="shared" si="85"/>
        <v>1964.958333333248</v>
      </c>
      <c r="G1129" s="17">
        <v>4.18</v>
      </c>
      <c r="H1129" s="1">
        <f>B1129*$E$1867/E1129</f>
        <v>901.83064070512819</v>
      </c>
      <c r="I1129" s="1">
        <f>C1129*$E$1867/E1129</f>
        <v>26.852984775641026</v>
      </c>
      <c r="J1129" s="26">
        <f t="shared" si="86"/>
        <v>113173.70360655374</v>
      </c>
      <c r="K1129" s="1">
        <f>D1129*$E$1867/E1129</f>
        <v>48.872432291666662</v>
      </c>
      <c r="L1129" s="26">
        <f t="shared" si="84"/>
        <v>6133.1628324180501</v>
      </c>
      <c r="M1129" s="10">
        <f t="shared" si="82"/>
        <v>22.752984772787265</v>
      </c>
      <c r="N1129" s="4">
        <f t="shared" si="83"/>
        <v>26.648307034113859</v>
      </c>
      <c r="O1129" s="36">
        <f>1/M1129-(G1129/100-(((E1129/E1009)^(1/10))-1))</f>
        <v>1.7847660253903171E-2</v>
      </c>
      <c r="P1129" s="48">
        <v>3.84</v>
      </c>
      <c r="R1129" s="30"/>
      <c r="S1129" s="30"/>
    </row>
    <row r="1130" spans="1:19" ht="13" x14ac:dyDescent="0.3">
      <c r="A1130" s="52" t="s">
        <v>1146</v>
      </c>
      <c r="B1130" s="6">
        <v>86.12</v>
      </c>
      <c r="C1130" s="1">
        <v>2.51667</v>
      </c>
      <c r="D1130" s="6">
        <v>4.5933299999999999</v>
      </c>
      <c r="E1130" s="6">
        <v>31.2</v>
      </c>
      <c r="F1130" s="1">
        <f t="shared" si="85"/>
        <v>1965.0416666665812</v>
      </c>
      <c r="G1130" s="17">
        <v>4.1900000000000004</v>
      </c>
      <c r="H1130" s="1">
        <f>B1130*$E$1867/E1130</f>
        <v>925.03161955128212</v>
      </c>
      <c r="I1130" s="1">
        <f>C1130*$E$1867/E1130</f>
        <v>27.032040478125001</v>
      </c>
      <c r="J1130" s="26">
        <f t="shared" si="86"/>
        <v>116367.96601537678</v>
      </c>
      <c r="K1130" s="1">
        <f>D1130*$E$1867/E1130</f>
        <v>49.337848223798076</v>
      </c>
      <c r="L1130" s="26">
        <f t="shared" si="84"/>
        <v>6206.6473448375582</v>
      </c>
      <c r="M1130" s="10">
        <f t="shared" si="82"/>
        <v>23.269335081922474</v>
      </c>
      <c r="N1130" s="4">
        <f t="shared" si="83"/>
        <v>27.237870222779165</v>
      </c>
      <c r="O1130" s="36">
        <f>1/M1130-(G1130/100-(((E1130/E1010)^(1/10))-1))</f>
        <v>1.6772396482347504E-2</v>
      </c>
      <c r="P1130" s="48">
        <v>3.81</v>
      </c>
      <c r="R1130" s="30"/>
      <c r="S1130" s="30"/>
    </row>
    <row r="1131" spans="1:19" ht="13" x14ac:dyDescent="0.3">
      <c r="A1131" s="52" t="s">
        <v>1147</v>
      </c>
      <c r="B1131" s="6">
        <v>86.75</v>
      </c>
      <c r="C1131" s="1">
        <v>2.5333299999999999</v>
      </c>
      <c r="D1131" s="6">
        <v>4.6366699999999996</v>
      </c>
      <c r="E1131" s="6">
        <v>31.2</v>
      </c>
      <c r="F1131" s="1">
        <f t="shared" si="85"/>
        <v>1965.1249999999145</v>
      </c>
      <c r="G1131" s="17">
        <v>4.21</v>
      </c>
      <c r="H1131" s="1">
        <f>B1131*$E$1867/E1131</f>
        <v>931.79857171474362</v>
      </c>
      <c r="I1131" s="1">
        <f>C1131*$E$1867/E1131</f>
        <v>27.210988768669871</v>
      </c>
      <c r="J1131" s="26">
        <f t="shared" si="86"/>
        <v>117504.50058189439</v>
      </c>
      <c r="K1131" s="1">
        <f>D1131*$E$1867/E1131</f>
        <v>49.803371567868588</v>
      </c>
      <c r="L1131" s="26">
        <f t="shared" si="84"/>
        <v>6280.4564001504577</v>
      </c>
      <c r="M1131" s="10">
        <f t="shared" si="82"/>
        <v>23.372068272751346</v>
      </c>
      <c r="N1131" s="4">
        <f t="shared" si="83"/>
        <v>27.342132127815155</v>
      </c>
      <c r="O1131" s="36">
        <f>1/M1131-(G1131/100-(((E1131/E1011)^(1/10))-1))</f>
        <v>1.6383497482970667E-2</v>
      </c>
      <c r="P1131" s="48">
        <v>3.93</v>
      </c>
      <c r="R1131" s="30"/>
      <c r="S1131" s="30"/>
    </row>
    <row r="1132" spans="1:19" ht="13" x14ac:dyDescent="0.3">
      <c r="A1132" s="52" t="s">
        <v>1148</v>
      </c>
      <c r="B1132" s="6">
        <v>86.83</v>
      </c>
      <c r="C1132" s="1">
        <v>2.5499999999999998</v>
      </c>
      <c r="D1132" s="6">
        <v>4.68</v>
      </c>
      <c r="E1132" s="6">
        <v>31.3</v>
      </c>
      <c r="F1132" s="1">
        <f t="shared" si="85"/>
        <v>1965.2083333332478</v>
      </c>
      <c r="G1132" s="17">
        <v>4.21</v>
      </c>
      <c r="H1132" s="1">
        <f>B1132*$E$1867/E1132</f>
        <v>929.6781296325878</v>
      </c>
      <c r="I1132" s="1">
        <f>C1132*$E$1867/E1132</f>
        <v>27.302536341853031</v>
      </c>
      <c r="J1132" s="26">
        <f t="shared" si="86"/>
        <v>117524.01776883216</v>
      </c>
      <c r="K1132" s="1">
        <f>D1132*$E$1867/E1132</f>
        <v>50.108184345047917</v>
      </c>
      <c r="L1132" s="26">
        <f t="shared" si="84"/>
        <v>6334.3591288510252</v>
      </c>
      <c r="M1132" s="10">
        <f t="shared" si="82"/>
        <v>23.25352820003485</v>
      </c>
      <c r="N1132" s="4">
        <f t="shared" si="83"/>
        <v>27.187223882061485</v>
      </c>
      <c r="O1132" s="36">
        <f>1/M1132-(G1132/100-(((E1132/E1012)^(1/10))-1))</f>
        <v>1.6926684744402717E-2</v>
      </c>
      <c r="P1132" s="48">
        <v>3.93</v>
      </c>
      <c r="R1132" s="30"/>
      <c r="S1132" s="30"/>
    </row>
    <row r="1133" spans="1:19" ht="13" x14ac:dyDescent="0.3">
      <c r="A1133" s="52" t="s">
        <v>1149</v>
      </c>
      <c r="B1133" s="6">
        <v>87.97</v>
      </c>
      <c r="C1133" s="1">
        <v>2.57</v>
      </c>
      <c r="D1133" s="6">
        <v>4.7333299999999996</v>
      </c>
      <c r="E1133" s="6">
        <v>31.4</v>
      </c>
      <c r="F1133" s="1">
        <f t="shared" si="85"/>
        <v>1965.291666666581</v>
      </c>
      <c r="G1133" s="17">
        <v>4.2</v>
      </c>
      <c r="H1133" s="1">
        <f>B1133*$E$1867/E1133</f>
        <v>938.88433893312106</v>
      </c>
      <c r="I1133" s="1">
        <f>C1133*$E$1867/E1133</f>
        <v>27.429041162420379</v>
      </c>
      <c r="J1133" s="26">
        <f t="shared" si="86"/>
        <v>118976.75887257243</v>
      </c>
      <c r="K1133" s="1">
        <f>D1133*$E$1867/E1133</f>
        <v>50.517783426194264</v>
      </c>
      <c r="L1133" s="26">
        <f t="shared" si="84"/>
        <v>6401.6853708572608</v>
      </c>
      <c r="M1133" s="10">
        <f t="shared" si="82"/>
        <v>23.420551954771305</v>
      </c>
      <c r="N1133" s="4">
        <f t="shared" si="83"/>
        <v>27.36526998387092</v>
      </c>
      <c r="O1133" s="36">
        <f>1/M1133-(G1133/100-(((E1133/E1013)^(1/10))-1))</f>
        <v>1.7044142006345728E-2</v>
      </c>
      <c r="P1133" s="48">
        <v>3.93</v>
      </c>
      <c r="R1133" s="30"/>
      <c r="S1133" s="30"/>
    </row>
    <row r="1134" spans="1:19" ht="13" x14ac:dyDescent="0.3">
      <c r="A1134" s="52" t="s">
        <v>1150</v>
      </c>
      <c r="B1134" s="6">
        <v>89.28</v>
      </c>
      <c r="C1134" s="1">
        <v>2.59</v>
      </c>
      <c r="D1134" s="6">
        <v>4.78667</v>
      </c>
      <c r="E1134" s="6">
        <v>31.4</v>
      </c>
      <c r="F1134" s="1">
        <f t="shared" si="85"/>
        <v>1965.3749999999143</v>
      </c>
      <c r="G1134" s="17">
        <v>4.21</v>
      </c>
      <c r="H1134" s="1">
        <f>B1134*$E$1867/E1134</f>
        <v>952.86567898089174</v>
      </c>
      <c r="I1134" s="1">
        <f>C1134*$E$1867/E1134</f>
        <v>27.642496735668789</v>
      </c>
      <c r="J1134" s="26">
        <f t="shared" si="86"/>
        <v>121040.40221211697</v>
      </c>
      <c r="K1134" s="1">
        <f>D1134*$E$1867/E1134</f>
        <v>51.08706944004777</v>
      </c>
      <c r="L1134" s="26">
        <f t="shared" si="84"/>
        <v>6489.4765015308458</v>
      </c>
      <c r="M1134" s="10">
        <f t="shared" si="82"/>
        <v>23.708808308861958</v>
      </c>
      <c r="N1134" s="4">
        <f t="shared" si="83"/>
        <v>27.683223304413595</v>
      </c>
      <c r="O1134" s="36">
        <f>1/M1134-(G1134/100-(((E1134/E1014)^(1/10))-1))</f>
        <v>1.6425016894026354E-2</v>
      </c>
      <c r="P1134" s="48">
        <v>3.89</v>
      </c>
      <c r="R1134" s="30"/>
      <c r="S1134" s="30"/>
    </row>
    <row r="1135" spans="1:19" ht="13" x14ac:dyDescent="0.3">
      <c r="A1135" s="52" t="s">
        <v>1151</v>
      </c>
      <c r="B1135" s="6">
        <v>85.04</v>
      </c>
      <c r="C1135" s="1">
        <v>2.61</v>
      </c>
      <c r="D1135" s="6">
        <v>4.84</v>
      </c>
      <c r="E1135" s="6">
        <v>31.6</v>
      </c>
      <c r="F1135" s="1">
        <f t="shared" si="85"/>
        <v>1965.4583333332475</v>
      </c>
      <c r="G1135" s="17">
        <v>4.21</v>
      </c>
      <c r="H1135" s="1">
        <f>B1135*$E$1867/E1135</f>
        <v>901.86871075949364</v>
      </c>
      <c r="I1135" s="1">
        <f>C1135*$E$1867/E1135</f>
        <v>27.679648813291138</v>
      </c>
      <c r="J1135" s="26">
        <f t="shared" si="86"/>
        <v>114855.37807247936</v>
      </c>
      <c r="K1135" s="1">
        <f>D1135*$E$1867/E1135</f>
        <v>51.329310443037976</v>
      </c>
      <c r="L1135" s="26">
        <f t="shared" si="84"/>
        <v>6536.9241518203207</v>
      </c>
      <c r="M1135" s="10">
        <f t="shared" si="82"/>
        <v>22.3853429864578</v>
      </c>
      <c r="N1135" s="4">
        <f t="shared" si="83"/>
        <v>26.12273837704231</v>
      </c>
      <c r="O1135" s="36">
        <f>1/M1135-(G1135/100-(((E1135/E1015)^(1/10))-1))</f>
        <v>1.956419400937897E-2</v>
      </c>
      <c r="P1135" s="48">
        <v>3.8</v>
      </c>
      <c r="R1135" s="30"/>
      <c r="S1135" s="30"/>
    </row>
    <row r="1136" spans="1:19" ht="13" x14ac:dyDescent="0.3">
      <c r="A1136" s="52" t="s">
        <v>1152</v>
      </c>
      <c r="B1136" s="6">
        <v>84.91</v>
      </c>
      <c r="C1136" s="1">
        <v>2.6266699999999998</v>
      </c>
      <c r="D1136" s="6">
        <v>4.8866699999999996</v>
      </c>
      <c r="E1136" s="6">
        <v>31.6</v>
      </c>
      <c r="F1136" s="1">
        <f t="shared" si="85"/>
        <v>1965.5416666665808</v>
      </c>
      <c r="G1136" s="17">
        <v>4.2</v>
      </c>
      <c r="H1136" s="1">
        <f>B1136*$E$1867/E1136</f>
        <v>900.49003093354418</v>
      </c>
      <c r="I1136" s="1">
        <f>C1136*$E$1867/E1136</f>
        <v>27.856437987895568</v>
      </c>
      <c r="J1136" s="26">
        <f t="shared" si="86"/>
        <v>114975.43215107823</v>
      </c>
      <c r="K1136" s="1">
        <f>D1136*$E$1867/E1136</f>
        <v>51.824256500553787</v>
      </c>
      <c r="L1136" s="26">
        <f t="shared" si="84"/>
        <v>6616.9708518397065</v>
      </c>
      <c r="M1136" s="10">
        <f t="shared" si="82"/>
        <v>22.300781712174444</v>
      </c>
      <c r="N1136" s="4">
        <f t="shared" si="83"/>
        <v>26.008689840144736</v>
      </c>
      <c r="O1136" s="36">
        <f>1/M1136-(G1136/100-(((E1136/E1016)^(1/10))-1))</f>
        <v>1.9453470620649976E-2</v>
      </c>
      <c r="P1136" s="48">
        <v>3.84</v>
      </c>
      <c r="R1136" s="30"/>
      <c r="S1136" s="30"/>
    </row>
    <row r="1137" spans="1:19" ht="13" x14ac:dyDescent="0.3">
      <c r="A1137" s="52" t="s">
        <v>1153</v>
      </c>
      <c r="B1137" s="6">
        <v>86.49</v>
      </c>
      <c r="C1137" s="1">
        <v>2.6433300000000002</v>
      </c>
      <c r="D1137" s="6">
        <v>4.9333299999999998</v>
      </c>
      <c r="E1137" s="6">
        <v>31.6</v>
      </c>
      <c r="F1137" s="1">
        <f t="shared" si="85"/>
        <v>1965.6249999999141</v>
      </c>
      <c r="G1137" s="17">
        <v>4.25</v>
      </c>
      <c r="H1137" s="1">
        <f>B1137*$E$1867/E1137</f>
        <v>917.24629343354422</v>
      </c>
      <c r="I1137" s="1">
        <f>C1137*$E$1867/E1137</f>
        <v>28.033121110205695</v>
      </c>
      <c r="J1137" s="26">
        <f t="shared" si="86"/>
        <v>117413.16249561199</v>
      </c>
      <c r="K1137" s="1">
        <f>D1137*$E$1867/E1137</f>
        <v>52.319096505775313</v>
      </c>
      <c r="L1137" s="26">
        <f t="shared" si="84"/>
        <v>6697.1658796910333</v>
      </c>
      <c r="M1137" s="10">
        <f t="shared" si="82"/>
        <v>22.6659718459644</v>
      </c>
      <c r="N1137" s="4">
        <f t="shared" si="83"/>
        <v>26.417386639884477</v>
      </c>
      <c r="O1137" s="36">
        <f>1/M1137-(G1137/100-(((E1137/E1017)^(1/10))-1))</f>
        <v>1.8230992658695752E-2</v>
      </c>
      <c r="P1137" s="48">
        <v>3.84</v>
      </c>
      <c r="R1137" s="30"/>
      <c r="S1137" s="30"/>
    </row>
    <row r="1138" spans="1:19" ht="13" x14ac:dyDescent="0.3">
      <c r="A1138" s="52" t="s">
        <v>1154</v>
      </c>
      <c r="B1138" s="6">
        <v>89.38</v>
      </c>
      <c r="C1138" s="1">
        <v>2.66</v>
      </c>
      <c r="D1138" s="6">
        <v>4.9800000000000004</v>
      </c>
      <c r="E1138" s="6">
        <v>31.6</v>
      </c>
      <c r="F1138" s="1">
        <f t="shared" si="85"/>
        <v>1965.7083333332473</v>
      </c>
      <c r="G1138" s="17">
        <v>4.29</v>
      </c>
      <c r="H1138" s="1">
        <f>B1138*$E$1867/E1138</f>
        <v>947.89540648734169</v>
      </c>
      <c r="I1138" s="1">
        <f>C1138*$E$1867/E1138</f>
        <v>28.209910284810125</v>
      </c>
      <c r="J1138" s="26">
        <f t="shared" si="86"/>
        <v>121637.3574772921</v>
      </c>
      <c r="K1138" s="1">
        <f>D1138*$E$1867/E1138</f>
        <v>52.814042563291139</v>
      </c>
      <c r="L1138" s="26">
        <f t="shared" si="84"/>
        <v>6777.2884340670707</v>
      </c>
      <c r="M1138" s="10">
        <f t="shared" si="82"/>
        <v>23.374146831648641</v>
      </c>
      <c r="N1138" s="4">
        <f t="shared" si="83"/>
        <v>27.222292941753487</v>
      </c>
      <c r="O1138" s="36">
        <f>1/M1138-(G1138/100-(((E1138/E1018)^(1/10))-1))</f>
        <v>1.6115746985655773E-2</v>
      </c>
      <c r="P1138" s="48">
        <v>3.92</v>
      </c>
      <c r="R1138" s="30"/>
      <c r="S1138" s="30"/>
    </row>
    <row r="1139" spans="1:19" ht="13" x14ac:dyDescent="0.3">
      <c r="A1139" s="52" t="s">
        <v>1155</v>
      </c>
      <c r="B1139" s="6">
        <v>91.39</v>
      </c>
      <c r="C1139" s="1">
        <v>2.68</v>
      </c>
      <c r="D1139" s="6">
        <v>5.05</v>
      </c>
      <c r="E1139" s="6">
        <v>31.7</v>
      </c>
      <c r="F1139" s="1">
        <f t="shared" si="85"/>
        <v>1965.7916666665806</v>
      </c>
      <c r="G1139" s="17">
        <v>4.3499999999999996</v>
      </c>
      <c r="H1139" s="1">
        <f>B1139*$E$1867/E1139</f>
        <v>966.15446679810725</v>
      </c>
      <c r="I1139" s="1">
        <f>C1139*$E$1867/E1139</f>
        <v>28.332355520504734</v>
      </c>
      <c r="J1139" s="26">
        <f t="shared" si="86"/>
        <v>124283.40179164648</v>
      </c>
      <c r="K1139" s="1">
        <f>D1139*$E$1867/E1139</f>
        <v>53.387460962145106</v>
      </c>
      <c r="L1139" s="26">
        <f t="shared" si="84"/>
        <v>6867.6132951943837</v>
      </c>
      <c r="M1139" s="10">
        <f t="shared" si="82"/>
        <v>23.775745523312704</v>
      </c>
      <c r="N1139" s="4">
        <f t="shared" si="83"/>
        <v>27.667414224244006</v>
      </c>
      <c r="O1139" s="36">
        <f>1/M1139-(G1139/100-(((E1139/E1019)^(1/10))-1))</f>
        <v>1.5114242163623892E-2</v>
      </c>
      <c r="P1139" s="48">
        <v>4.03</v>
      </c>
      <c r="R1139" s="30"/>
      <c r="S1139" s="30"/>
    </row>
    <row r="1140" spans="1:19" ht="13" x14ac:dyDescent="0.3">
      <c r="A1140" s="52" t="s">
        <v>1156</v>
      </c>
      <c r="B1140" s="6">
        <v>92.15</v>
      </c>
      <c r="C1140" s="1">
        <v>2.7</v>
      </c>
      <c r="D1140" s="6">
        <v>5.12</v>
      </c>
      <c r="E1140" s="6">
        <v>31.7</v>
      </c>
      <c r="F1140" s="1">
        <f t="shared" si="85"/>
        <v>1965.8749999999138</v>
      </c>
      <c r="G1140" s="17">
        <v>4.45</v>
      </c>
      <c r="H1140" s="1">
        <f>B1140*$E$1867/E1140</f>
        <v>974.18901537854902</v>
      </c>
      <c r="I1140" s="1">
        <f>C1140*$E$1867/E1140</f>
        <v>28.543791009463725</v>
      </c>
      <c r="J1140" s="26">
        <f t="shared" si="86"/>
        <v>125622.92636506561</v>
      </c>
      <c r="K1140" s="1">
        <f>D1140*$E$1867/E1140</f>
        <v>54.127485173501583</v>
      </c>
      <c r="L1140" s="26">
        <f t="shared" si="84"/>
        <v>6979.808822453997</v>
      </c>
      <c r="M1140" s="10">
        <f t="shared" si="82"/>
        <v>23.925461156673737</v>
      </c>
      <c r="N1140" s="4">
        <f t="shared" si="83"/>
        <v>27.818071369298682</v>
      </c>
      <c r="O1140" s="36">
        <f>1/M1140-(G1140/100-(((E1140/E1020)^(1/10))-1))</f>
        <v>1.3851050159745602E-2</v>
      </c>
      <c r="P1140" s="48">
        <v>4.09</v>
      </c>
      <c r="R1140" s="30"/>
      <c r="S1140" s="30"/>
    </row>
    <row r="1141" spans="1:19" ht="13" x14ac:dyDescent="0.3">
      <c r="A1141" s="52" t="s">
        <v>1157</v>
      </c>
      <c r="B1141" s="6">
        <v>91.73</v>
      </c>
      <c r="C1141" s="1">
        <v>2.72</v>
      </c>
      <c r="D1141" s="6">
        <v>5.19</v>
      </c>
      <c r="E1141" s="6">
        <v>31.8</v>
      </c>
      <c r="F1141" s="1">
        <f t="shared" si="85"/>
        <v>1965.9583333332471</v>
      </c>
      <c r="G1141" s="17">
        <v>4.62</v>
      </c>
      <c r="H1141" s="1">
        <f>B1141*$E$1867/E1141</f>
        <v>966.69934536163521</v>
      </c>
      <c r="I1141" s="1">
        <f>C1141*$E$1867/E1141</f>
        <v>28.664801257861637</v>
      </c>
      <c r="J1141" s="26">
        <f t="shared" si="86"/>
        <v>124965.15403329971</v>
      </c>
      <c r="K1141" s="1">
        <f>D1141*$E$1867/E1141</f>
        <v>54.694970047169811</v>
      </c>
      <c r="L1141" s="26">
        <f t="shared" si="84"/>
        <v>7070.4147981339311</v>
      </c>
      <c r="M1141" s="10">
        <f t="shared" si="82"/>
        <v>23.694111549106342</v>
      </c>
      <c r="N1141" s="4">
        <f t="shared" si="83"/>
        <v>27.525611912109838</v>
      </c>
      <c r="O1141" s="36">
        <f>1/M1141-(G1141/100-(((E1141/E1021)^(1/10))-1))</f>
        <v>1.3258172151926213E-2</v>
      </c>
      <c r="P1141" s="48">
        <v>4.38</v>
      </c>
      <c r="R1141" s="30"/>
      <c r="S1141" s="30"/>
    </row>
    <row r="1142" spans="1:19" ht="13" x14ac:dyDescent="0.3">
      <c r="A1142" s="52" t="s">
        <v>1158</v>
      </c>
      <c r="B1142" s="6">
        <v>93.32</v>
      </c>
      <c r="C1142" s="1">
        <v>2.74</v>
      </c>
      <c r="D1142" s="6">
        <v>5.24</v>
      </c>
      <c r="E1142" s="6">
        <v>31.8</v>
      </c>
      <c r="F1142" s="1">
        <f t="shared" si="85"/>
        <v>1966.0416666665803</v>
      </c>
      <c r="G1142" s="17">
        <v>4.6100000000000003</v>
      </c>
      <c r="H1142" s="1">
        <f>B1142*$E$1867/E1142</f>
        <v>983.45560786163514</v>
      </c>
      <c r="I1142" s="1">
        <f>C1142*$E$1867/E1142</f>
        <v>28.875571855345914</v>
      </c>
      <c r="J1142" s="26">
        <f t="shared" si="86"/>
        <v>127442.29679012825</v>
      </c>
      <c r="K1142" s="1">
        <f>D1142*$E$1867/E1142</f>
        <v>55.2218965408805</v>
      </c>
      <c r="L1142" s="26">
        <f t="shared" si="84"/>
        <v>7155.9969479240463</v>
      </c>
      <c r="M1142" s="10">
        <f t="shared" si="82"/>
        <v>24.058483388421763</v>
      </c>
      <c r="N1142" s="4">
        <f t="shared" si="83"/>
        <v>27.923438274605267</v>
      </c>
      <c r="O1142" s="36">
        <f>1/M1142-(G1142/100-(((E1142/E1022)^(1/10))-1))</f>
        <v>1.2718973089049984E-2</v>
      </c>
      <c r="P1142" s="48">
        <v>4.59</v>
      </c>
      <c r="R1142" s="30"/>
      <c r="S1142" s="30"/>
    </row>
    <row r="1143" spans="1:19" ht="13" x14ac:dyDescent="0.3">
      <c r="A1143" s="52" t="s">
        <v>1159</v>
      </c>
      <c r="B1143" s="6">
        <v>92.69</v>
      </c>
      <c r="C1143" s="1">
        <v>2.76</v>
      </c>
      <c r="D1143" s="6">
        <v>5.29</v>
      </c>
      <c r="E1143" s="6">
        <v>32</v>
      </c>
      <c r="F1143" s="1">
        <f t="shared" si="85"/>
        <v>1966.1249999999136</v>
      </c>
      <c r="G1143" s="17">
        <v>4.83</v>
      </c>
      <c r="H1143" s="1">
        <f>B1143*$E$1867/E1143</f>
        <v>970.71123195312498</v>
      </c>
      <c r="I1143" s="1">
        <f>C1143*$E$1867/E1143</f>
        <v>28.904552812499997</v>
      </c>
      <c r="J1143" s="26">
        <f t="shared" si="86"/>
        <v>126102.93724686939</v>
      </c>
      <c r="K1143" s="1">
        <f>D1143*$E$1867/E1143</f>
        <v>55.400392890625</v>
      </c>
      <c r="L1143" s="26">
        <f t="shared" si="84"/>
        <v>7196.9418279851016</v>
      </c>
      <c r="M1143" s="10">
        <f t="shared" si="82"/>
        <v>23.700027145579423</v>
      </c>
      <c r="N1143" s="4">
        <f t="shared" si="83"/>
        <v>27.482994403460872</v>
      </c>
      <c r="O1143" s="36">
        <f>1/M1143-(G1143/100-(((E1143/E1023)^(1/10))-1))</f>
        <v>1.1785616374618835E-2</v>
      </c>
      <c r="P1143" s="48">
        <v>4.6500000000000004</v>
      </c>
      <c r="R1143" s="30"/>
      <c r="S1143" s="30"/>
    </row>
    <row r="1144" spans="1:19" ht="13" x14ac:dyDescent="0.3">
      <c r="A1144" s="52" t="s">
        <v>1160</v>
      </c>
      <c r="B1144" s="6">
        <v>88.88</v>
      </c>
      <c r="C1144" s="1">
        <v>2.78</v>
      </c>
      <c r="D1144" s="6">
        <v>5.34</v>
      </c>
      <c r="E1144" s="6">
        <v>32.1</v>
      </c>
      <c r="F1144" s="1">
        <f t="shared" si="85"/>
        <v>1966.2083333332469</v>
      </c>
      <c r="G1144" s="17">
        <v>4.87</v>
      </c>
      <c r="H1144" s="1">
        <f>B1144*$E$1867/E1144</f>
        <v>927.91066105918992</v>
      </c>
      <c r="I1144" s="1">
        <f>C1144*$E$1867/E1144</f>
        <v>29.02330825545171</v>
      </c>
      <c r="J1144" s="26">
        <f t="shared" si="86"/>
        <v>120857.00639090725</v>
      </c>
      <c r="K1144" s="1">
        <f>D1144*$E$1867/E1144</f>
        <v>55.749807943925227</v>
      </c>
      <c r="L1144" s="26">
        <f t="shared" si="84"/>
        <v>7261.2107800117537</v>
      </c>
      <c r="M1144" s="10">
        <f t="shared" si="82"/>
        <v>22.611112582290019</v>
      </c>
      <c r="N1144" s="4">
        <f t="shared" si="83"/>
        <v>26.200300759745204</v>
      </c>
      <c r="O1144" s="36">
        <f>1/M1144-(G1144/100-(((E1144/E1024)^(1/10))-1))</f>
        <v>1.373525790835254E-2</v>
      </c>
      <c r="P1144" s="48">
        <v>4.59</v>
      </c>
      <c r="R1144" s="30"/>
      <c r="S1144" s="30"/>
    </row>
    <row r="1145" spans="1:19" ht="13" x14ac:dyDescent="0.3">
      <c r="A1145" s="52" t="s">
        <v>1161</v>
      </c>
      <c r="B1145" s="6">
        <v>91.6</v>
      </c>
      <c r="C1145" s="1">
        <v>2.7966700000000002</v>
      </c>
      <c r="D1145" s="6">
        <v>5.38</v>
      </c>
      <c r="E1145" s="6">
        <v>32.299999999999997</v>
      </c>
      <c r="F1145" s="1">
        <f t="shared" si="85"/>
        <v>1966.2916666665801</v>
      </c>
      <c r="G1145" s="17">
        <v>4.75</v>
      </c>
      <c r="H1145" s="1">
        <f>B1145*$E$1867/E1145</f>
        <v>950.38615789473681</v>
      </c>
      <c r="I1145" s="1">
        <f>C1145*$E$1867/E1145</f>
        <v>29.016555198684216</v>
      </c>
      <c r="J1145" s="26">
        <f t="shared" si="86"/>
        <v>124099.30031427817</v>
      </c>
      <c r="K1145" s="1">
        <f>D1145*$E$1867/E1145</f>
        <v>55.819623684210534</v>
      </c>
      <c r="L1145" s="26">
        <f t="shared" si="84"/>
        <v>7288.801699681404</v>
      </c>
      <c r="M1145" s="10">
        <f t="shared" si="82"/>
        <v>23.113696462615845</v>
      </c>
      <c r="N1145" s="4">
        <f t="shared" si="83"/>
        <v>26.760408948311401</v>
      </c>
      <c r="O1145" s="36">
        <f>1/M1145-(G1145/100-(((E1145/E1025)^(1/10))-1))</f>
        <v>1.4226847363845677E-2</v>
      </c>
      <c r="P1145" s="48">
        <v>4.62</v>
      </c>
      <c r="R1145" s="30"/>
      <c r="S1145" s="30"/>
    </row>
    <row r="1146" spans="1:19" ht="13" x14ac:dyDescent="0.3">
      <c r="A1146" s="52" t="s">
        <v>1162</v>
      </c>
      <c r="B1146" s="6">
        <v>86.78</v>
      </c>
      <c r="C1146" s="1">
        <v>2.8133300000000001</v>
      </c>
      <c r="D1146" s="6">
        <v>5.42</v>
      </c>
      <c r="E1146" s="6">
        <v>32.299999999999997</v>
      </c>
      <c r="F1146" s="1">
        <f t="shared" si="85"/>
        <v>1966.3749999999134</v>
      </c>
      <c r="G1146" s="17">
        <v>4.78</v>
      </c>
      <c r="H1146" s="1">
        <f>B1146*$E$1867/E1146</f>
        <v>900.37675526315797</v>
      </c>
      <c r="I1146" s="1">
        <f>C1146*$E$1867/E1146</f>
        <v>29.189409275000003</v>
      </c>
      <c r="J1146" s="26">
        <f t="shared" si="86"/>
        <v>117886.80827859344</v>
      </c>
      <c r="K1146" s="1">
        <f>D1146*$E$1867/E1146</f>
        <v>56.234639473684211</v>
      </c>
      <c r="L1146" s="26">
        <f t="shared" si="84"/>
        <v>7362.8313075590731</v>
      </c>
      <c r="M1146" s="10">
        <f t="shared" ref="M1146:M1209" si="87">H1146/AVERAGE(K1026:K1145)</f>
        <v>21.852177976763112</v>
      </c>
      <c r="N1146" s="4">
        <f t="shared" ref="N1146:N1209" si="88">J1146/AVERAGE(L1026:L1145)</f>
        <v>25.283601610272157</v>
      </c>
      <c r="O1146" s="36">
        <f>1/M1146-(G1146/100-(((E1146/E1026)^(1/10))-1))</f>
        <v>1.6046646835388999E-2</v>
      </c>
      <c r="P1146" s="48">
        <v>4.6399999999999997</v>
      </c>
      <c r="R1146" s="30"/>
      <c r="S1146" s="30"/>
    </row>
    <row r="1147" spans="1:19" ht="13" x14ac:dyDescent="0.3">
      <c r="A1147" s="52" t="s">
        <v>1163</v>
      </c>
      <c r="B1147" s="6">
        <v>86.06</v>
      </c>
      <c r="C1147" s="1">
        <v>2.83</v>
      </c>
      <c r="D1147" s="6">
        <v>5.46</v>
      </c>
      <c r="E1147" s="6">
        <v>32.4</v>
      </c>
      <c r="F1147" s="1">
        <f t="shared" si="85"/>
        <v>1966.4583333332466</v>
      </c>
      <c r="G1147" s="17">
        <v>4.8099999999999996</v>
      </c>
      <c r="H1147" s="1">
        <f>B1147*$E$1867/E1147</f>
        <v>890.15058688271608</v>
      </c>
      <c r="I1147" s="1">
        <f>C1147*$E$1867/E1147</f>
        <v>29.271742515432102</v>
      </c>
      <c r="J1147" s="26">
        <f t="shared" si="86"/>
        <v>116867.27100774281</v>
      </c>
      <c r="K1147" s="1">
        <f>D1147*$E$1867/E1147</f>
        <v>56.47481064814815</v>
      </c>
      <c r="L1147" s="26">
        <f t="shared" si="84"/>
        <v>7414.5398524549819</v>
      </c>
      <c r="M1147" s="10">
        <f t="shared" si="87"/>
        <v>21.555253383226262</v>
      </c>
      <c r="N1147" s="4">
        <f t="shared" si="88"/>
        <v>24.925488570872432</v>
      </c>
      <c r="O1147" s="36">
        <f>1/M1147-(G1147/100-(((E1147/E1027)^(1/10))-1))</f>
        <v>1.5940466672773553E-2</v>
      </c>
      <c r="P1147" s="48">
        <v>4.5</v>
      </c>
      <c r="R1147" s="30"/>
      <c r="S1147" s="30"/>
    </row>
    <row r="1148" spans="1:19" ht="13" x14ac:dyDescent="0.3">
      <c r="A1148" s="52" t="s">
        <v>1164</v>
      </c>
      <c r="B1148" s="6">
        <v>85.84</v>
      </c>
      <c r="C1148" s="1">
        <v>2.85</v>
      </c>
      <c r="D1148" s="6">
        <v>5.4766700000000004</v>
      </c>
      <c r="E1148" s="6">
        <v>32.5</v>
      </c>
      <c r="F1148" s="1">
        <f t="shared" si="85"/>
        <v>1966.5416666665799</v>
      </c>
      <c r="G1148" s="17">
        <v>5.0199999999999996</v>
      </c>
      <c r="H1148" s="1">
        <f>B1148*$E$1867/E1148</f>
        <v>885.14312184615392</v>
      </c>
      <c r="I1148" s="1">
        <f>C1148*$E$1867/E1148</f>
        <v>29.387906538461539</v>
      </c>
      <c r="J1148" s="26">
        <f t="shared" si="86"/>
        <v>116531.37083375642</v>
      </c>
      <c r="K1148" s="1">
        <f>D1148*$E$1867/E1148</f>
        <v>56.47293547438462</v>
      </c>
      <c r="L1148" s="26">
        <f t="shared" si="84"/>
        <v>7434.8073474383591</v>
      </c>
      <c r="M1148" s="10">
        <f t="shared" si="87"/>
        <v>21.381702007433425</v>
      </c>
      <c r="N1148" s="4">
        <f t="shared" si="88"/>
        <v>24.711793345102844</v>
      </c>
      <c r="O1148" s="36">
        <f>1/M1148-(G1148/100-(((E1148/E1028)^(1/10))-1))</f>
        <v>1.3785189143865215E-2</v>
      </c>
      <c r="P1148" s="48">
        <v>4.8</v>
      </c>
      <c r="R1148" s="30"/>
      <c r="S1148" s="30"/>
    </row>
    <row r="1149" spans="1:19" ht="13" x14ac:dyDescent="0.3">
      <c r="A1149" s="52" t="s">
        <v>1165</v>
      </c>
      <c r="B1149" s="6">
        <v>80.650000000000006</v>
      </c>
      <c r="C1149" s="1">
        <v>2.87</v>
      </c>
      <c r="D1149" s="6">
        <v>5.4933300000000003</v>
      </c>
      <c r="E1149" s="6">
        <v>32.700000000000003</v>
      </c>
      <c r="F1149" s="1">
        <f t="shared" si="85"/>
        <v>1966.6249999999131</v>
      </c>
      <c r="G1149" s="17">
        <v>5.22</v>
      </c>
      <c r="H1149" s="1">
        <f>B1149*$E$1867/E1149</f>
        <v>826.53979854740055</v>
      </c>
      <c r="I1149" s="1">
        <f>C1149*$E$1867/E1149</f>
        <v>29.413133562691129</v>
      </c>
      <c r="J1149" s="26">
        <f t="shared" si="86"/>
        <v>109138.78534104164</v>
      </c>
      <c r="K1149" s="1">
        <f>D1149*$E$1867/E1149</f>
        <v>56.29827491077981</v>
      </c>
      <c r="L1149" s="26">
        <f t="shared" si="84"/>
        <v>7433.7924820521293</v>
      </c>
      <c r="M1149" s="10">
        <f t="shared" si="87"/>
        <v>19.913903864009814</v>
      </c>
      <c r="N1149" s="4">
        <f t="shared" si="88"/>
        <v>23.008866665632215</v>
      </c>
      <c r="O1149" s="36">
        <f>1/M1149-(G1149/100-(((E1149/E1029)^(1/10))-1))</f>
        <v>1.6228873124906541E-2</v>
      </c>
      <c r="P1149" s="48">
        <v>4.96</v>
      </c>
      <c r="R1149" s="30"/>
      <c r="S1149" s="30"/>
    </row>
    <row r="1150" spans="1:19" ht="13" x14ac:dyDescent="0.3">
      <c r="A1150" s="52" t="s">
        <v>1166</v>
      </c>
      <c r="B1150" s="6">
        <v>77.81</v>
      </c>
      <c r="C1150" s="1">
        <v>2.89</v>
      </c>
      <c r="D1150" s="6">
        <v>5.51</v>
      </c>
      <c r="E1150" s="6">
        <v>32.700000000000003</v>
      </c>
      <c r="F1150" s="1">
        <f t="shared" si="85"/>
        <v>1966.7083333332464</v>
      </c>
      <c r="G1150" s="17">
        <v>5.18</v>
      </c>
      <c r="H1150" s="1">
        <f>B1150*$E$1867/E1150</f>
        <v>797.43411934250753</v>
      </c>
      <c r="I1150" s="1">
        <f>C1150*$E$1867/E1150</f>
        <v>29.618103134556574</v>
      </c>
      <c r="J1150" s="26">
        <f t="shared" si="86"/>
        <v>105621.48970683302</v>
      </c>
      <c r="K1150" s="1">
        <f>D1150*$E$1867/E1150</f>
        <v>56.469117048929654</v>
      </c>
      <c r="L1150" s="26">
        <f t="shared" si="84"/>
        <v>7479.4294857299828</v>
      </c>
      <c r="M1150" s="10">
        <f t="shared" si="87"/>
        <v>19.161676250615017</v>
      </c>
      <c r="N1150" s="4">
        <f t="shared" si="88"/>
        <v>22.136998500688104</v>
      </c>
      <c r="O1150" s="36">
        <f>1/M1150-(G1150/100-(((E1150/E1030)^(1/10))-1))</f>
        <v>1.8227981090812195E-2</v>
      </c>
      <c r="P1150" s="48">
        <v>5.37</v>
      </c>
      <c r="R1150" s="30"/>
      <c r="S1150" s="30"/>
    </row>
    <row r="1151" spans="1:19" ht="13" x14ac:dyDescent="0.3">
      <c r="A1151" s="52" t="s">
        <v>1167</v>
      </c>
      <c r="B1151" s="6">
        <v>77.13</v>
      </c>
      <c r="C1151" s="1">
        <v>2.8833299999999999</v>
      </c>
      <c r="D1151" s="6">
        <v>5.5233299999999996</v>
      </c>
      <c r="E1151" s="6">
        <v>32.9</v>
      </c>
      <c r="F1151" s="1">
        <f t="shared" si="85"/>
        <v>1966.7916666665797</v>
      </c>
      <c r="G1151" s="17">
        <v>5.01</v>
      </c>
      <c r="H1151" s="1">
        <f>B1151*$E$1867/E1151</f>
        <v>785.65989460486321</v>
      </c>
      <c r="I1151" s="1">
        <f>C1151*$E$1867/E1151</f>
        <v>29.370112069376901</v>
      </c>
      <c r="J1151" s="26">
        <f t="shared" si="86"/>
        <v>104386.15057276565</v>
      </c>
      <c r="K1151" s="1">
        <f>D1151*$E$1867/E1151</f>
        <v>56.261621491869299</v>
      </c>
      <c r="L1151" s="26">
        <f t="shared" si="84"/>
        <v>7475.160858849652</v>
      </c>
      <c r="M1151" s="10">
        <f t="shared" si="87"/>
        <v>18.825409371315686</v>
      </c>
      <c r="N1151" s="4">
        <f t="shared" si="88"/>
        <v>21.746931566579899</v>
      </c>
      <c r="O1151" s="36">
        <f>1/M1151-(G1151/100-(((E1151/E1031)^(1/10))-1))</f>
        <v>2.1110043424481015E-2</v>
      </c>
      <c r="P1151" s="48">
        <v>5.35</v>
      </c>
      <c r="R1151" s="30"/>
      <c r="S1151" s="30"/>
    </row>
    <row r="1152" spans="1:19" ht="13" x14ac:dyDescent="0.3">
      <c r="A1152" s="52" t="s">
        <v>1168</v>
      </c>
      <c r="B1152" s="6">
        <v>80.989999999999995</v>
      </c>
      <c r="C1152" s="1">
        <v>2.8766699999999998</v>
      </c>
      <c r="D1152" s="6">
        <v>5.53667</v>
      </c>
      <c r="E1152" s="6">
        <v>32.9</v>
      </c>
      <c r="F1152" s="1">
        <f t="shared" si="85"/>
        <v>1966.8749999999129</v>
      </c>
      <c r="G1152" s="17">
        <v>5.16</v>
      </c>
      <c r="H1152" s="1">
        <f>B1152*$E$1867/E1152</f>
        <v>824.97854095744674</v>
      </c>
      <c r="I1152" s="1">
        <f>C1152*$E$1867/E1152</f>
        <v>29.302272125151976</v>
      </c>
      <c r="J1152" s="26">
        <f t="shared" si="86"/>
        <v>109934.63041448162</v>
      </c>
      <c r="K1152" s="1">
        <f>D1152*$E$1867/E1152</f>
        <v>56.397505103875382</v>
      </c>
      <c r="L1152" s="26">
        <f t="shared" si="84"/>
        <v>7515.3941249160143</v>
      </c>
      <c r="M1152" s="10">
        <f t="shared" si="87"/>
        <v>19.711251211928975</v>
      </c>
      <c r="N1152" s="4">
        <f t="shared" si="88"/>
        <v>22.765719180291445</v>
      </c>
      <c r="O1152" s="36">
        <f>1/M1152-(G1152/100-(((E1152/E1032)^(1/10))-1))</f>
        <v>1.7222795263777992E-2</v>
      </c>
      <c r="P1152" s="48">
        <v>5.32</v>
      </c>
      <c r="R1152" s="30"/>
      <c r="S1152" s="30"/>
    </row>
    <row r="1153" spans="1:19" ht="13" x14ac:dyDescent="0.3">
      <c r="A1153" s="52" t="s">
        <v>1169</v>
      </c>
      <c r="B1153" s="6">
        <v>81.33</v>
      </c>
      <c r="C1153" s="1">
        <v>2.87</v>
      </c>
      <c r="D1153" s="6">
        <v>5.55</v>
      </c>
      <c r="E1153" s="6">
        <v>32.9</v>
      </c>
      <c r="F1153" s="1">
        <f t="shared" si="85"/>
        <v>1966.9583333332462</v>
      </c>
      <c r="G1153" s="17">
        <v>4.84</v>
      </c>
      <c r="H1153" s="1">
        <f>B1153*$E$1867/E1153</f>
        <v>828.44184141337382</v>
      </c>
      <c r="I1153" s="1">
        <f>C1153*$E$1867/E1153</f>
        <v>29.234330319148938</v>
      </c>
      <c r="J1153" s="26">
        <f t="shared" si="86"/>
        <v>110720.78269807696</v>
      </c>
      <c r="K1153" s="1">
        <f>D1153*$E$1867/E1153</f>
        <v>56.533286854103345</v>
      </c>
      <c r="L1153" s="26">
        <f t="shared" si="84"/>
        <v>7555.6417554940017</v>
      </c>
      <c r="M1153" s="10">
        <f t="shared" si="87"/>
        <v>19.736473752791976</v>
      </c>
      <c r="N1153" s="4">
        <f t="shared" si="88"/>
        <v>22.790219081135159</v>
      </c>
      <c r="O1153" s="36">
        <f>1/M1153-(G1153/100-(((E1153/E1033)^(1/10))-1))</f>
        <v>1.9988484803566034E-2</v>
      </c>
      <c r="P1153" s="48">
        <v>4.96</v>
      </c>
      <c r="R1153" s="30"/>
      <c r="S1153" s="30"/>
    </row>
    <row r="1154" spans="1:19" ht="13" x14ac:dyDescent="0.3">
      <c r="A1154" s="52" t="s">
        <v>1170</v>
      </c>
      <c r="B1154" s="6">
        <v>84.45</v>
      </c>
      <c r="C1154" s="1">
        <v>2.88</v>
      </c>
      <c r="D1154" s="6">
        <v>5.5166700000000004</v>
      </c>
      <c r="E1154" s="6">
        <v>32.9</v>
      </c>
      <c r="F1154" s="1">
        <f t="shared" si="85"/>
        <v>1967.0416666665794</v>
      </c>
      <c r="G1154" s="17">
        <v>4.58</v>
      </c>
      <c r="H1154" s="1">
        <f>B1154*$E$1867/E1154</f>
        <v>860.22271618541038</v>
      </c>
      <c r="I1154" s="1">
        <f>C1154*$E$1867/E1154</f>
        <v>29.336192097264437</v>
      </c>
      <c r="J1154" s="26">
        <f t="shared" si="86"/>
        <v>115295.00905815982</v>
      </c>
      <c r="K1154" s="1">
        <f>D1154*$E$1867/E1154</f>
        <v>56.193781547644377</v>
      </c>
      <c r="L1154" s="26">
        <f t="shared" si="84"/>
        <v>7531.6106290216521</v>
      </c>
      <c r="M1154" s="10">
        <f t="shared" si="87"/>
        <v>20.432242125384285</v>
      </c>
      <c r="N1154" s="4">
        <f t="shared" si="88"/>
        <v>23.586985839267907</v>
      </c>
      <c r="O1154" s="36">
        <f>1/M1154-(G1154/100-(((E1154/E1034)^(1/10))-1))</f>
        <v>2.0863127305986426E-2</v>
      </c>
      <c r="P1154" s="48">
        <v>4.72</v>
      </c>
      <c r="R1154" s="30"/>
      <c r="S1154" s="30"/>
    </row>
    <row r="1155" spans="1:19" ht="13" x14ac:dyDescent="0.3">
      <c r="A1155" s="52" t="s">
        <v>1171</v>
      </c>
      <c r="B1155" s="6">
        <v>87.36</v>
      </c>
      <c r="C1155" s="1">
        <v>2.89</v>
      </c>
      <c r="D1155" s="6">
        <v>5.4833299999999996</v>
      </c>
      <c r="E1155" s="6">
        <v>32.9</v>
      </c>
      <c r="F1155" s="1">
        <f t="shared" si="85"/>
        <v>1967.1249999999127</v>
      </c>
      <c r="G1155" s="17">
        <v>4.63</v>
      </c>
      <c r="H1155" s="1">
        <f>B1155*$E$1867/E1155</f>
        <v>889.86449361702125</v>
      </c>
      <c r="I1155" s="1">
        <f>C1155*$E$1867/E1155</f>
        <v>29.438053875379943</v>
      </c>
      <c r="J1155" s="26">
        <f t="shared" si="86"/>
        <v>119596.67107956205</v>
      </c>
      <c r="K1155" s="1">
        <f>D1155*$E$1867/E1155</f>
        <v>55.85417437940729</v>
      </c>
      <c r="L1155" s="26">
        <f t="shared" ref="L1155:L1218" si="89">K1155*(J1155/H1155)</f>
        <v>7506.7309344172945</v>
      </c>
      <c r="M1155" s="10">
        <f t="shared" si="87"/>
        <v>21.074443163678446</v>
      </c>
      <c r="N1155" s="4">
        <f t="shared" si="88"/>
        <v>24.320019544824319</v>
      </c>
      <c r="O1155" s="36">
        <f>1/M1155-(G1155/100-(((E1155/E1035)^(1/10))-1))</f>
        <v>1.850370456509897E-2</v>
      </c>
      <c r="P1155" s="48">
        <v>4.5599999999999996</v>
      </c>
      <c r="R1155" s="30"/>
      <c r="S1155" s="30"/>
    </row>
    <row r="1156" spans="1:19" ht="13" x14ac:dyDescent="0.3">
      <c r="A1156" s="52" t="s">
        <v>1172</v>
      </c>
      <c r="B1156" s="6">
        <v>89.42</v>
      </c>
      <c r="C1156" s="1">
        <v>2.9</v>
      </c>
      <c r="D1156" s="6">
        <v>5.45</v>
      </c>
      <c r="E1156" s="6">
        <v>33</v>
      </c>
      <c r="F1156" s="1">
        <f t="shared" ref="F1156:F1219" si="90">F1155+1/12</f>
        <v>1967.2083333332459</v>
      </c>
      <c r="G1156" s="17">
        <v>4.54</v>
      </c>
      <c r="H1156" s="1">
        <f>B1156*$E$1867/E1156</f>
        <v>908.08787439393939</v>
      </c>
      <c r="I1156" s="1">
        <f>C1156*$E$1867/E1156</f>
        <v>29.450400757575757</v>
      </c>
      <c r="J1156" s="26">
        <f t="shared" ref="J1156:J1219" si="91">J1155*((H1156+(I1156/12))/H1155)</f>
        <v>122375.71199218076</v>
      </c>
      <c r="K1156" s="1">
        <f>D1156*$E$1867/E1156</f>
        <v>55.3464428030303</v>
      </c>
      <c r="L1156" s="26">
        <f t="shared" si="89"/>
        <v>7458.5957320217531</v>
      </c>
      <c r="M1156" s="10">
        <f t="shared" si="87"/>
        <v>21.443898602019107</v>
      </c>
      <c r="N1156" s="4">
        <f t="shared" si="88"/>
        <v>24.737345583070852</v>
      </c>
      <c r="O1156" s="36">
        <f>1/M1156-(G1156/100-(((E1156/E1036)^(1/10))-1))</f>
        <v>1.8528321766579793E-2</v>
      </c>
      <c r="P1156" s="48">
        <v>4.26</v>
      </c>
      <c r="R1156" s="30"/>
      <c r="S1156" s="30"/>
    </row>
    <row r="1157" spans="1:19" ht="13" x14ac:dyDescent="0.3">
      <c r="A1157" s="52" t="s">
        <v>1173</v>
      </c>
      <c r="B1157" s="6">
        <v>90.96</v>
      </c>
      <c r="C1157" s="1">
        <v>2.9</v>
      </c>
      <c r="D1157" s="6">
        <v>5.41</v>
      </c>
      <c r="E1157" s="6">
        <v>33.1</v>
      </c>
      <c r="F1157" s="1">
        <f t="shared" si="90"/>
        <v>1967.2916666665792</v>
      </c>
      <c r="G1157" s="17">
        <v>4.59</v>
      </c>
      <c r="H1157" s="1">
        <f>B1157*$E$1867/E1157</f>
        <v>920.9363365558911</v>
      </c>
      <c r="I1157" s="1">
        <f>C1157*$E$1867/E1157</f>
        <v>29.361426737160119</v>
      </c>
      <c r="J1157" s="26">
        <f t="shared" si="91"/>
        <v>124436.9297256461</v>
      </c>
      <c r="K1157" s="1">
        <f>D1157*$E$1867/E1157</f>
        <v>54.774247809667671</v>
      </c>
      <c r="L1157" s="26">
        <f t="shared" si="89"/>
        <v>7401.097073611978</v>
      </c>
      <c r="M1157" s="10">
        <f t="shared" si="87"/>
        <v>21.686025566746252</v>
      </c>
      <c r="N1157" s="4">
        <f t="shared" si="88"/>
        <v>25.007294802946522</v>
      </c>
      <c r="O1157" s="36">
        <f>1/M1157-(G1157/100-(((E1157/E1037)^(1/10))-1))</f>
        <v>1.7450185317673478E-2</v>
      </c>
      <c r="P1157" s="48">
        <v>3.84</v>
      </c>
      <c r="R1157" s="30"/>
      <c r="S1157" s="30"/>
    </row>
    <row r="1158" spans="1:19" ht="13" x14ac:dyDescent="0.3">
      <c r="A1158" s="52" t="s">
        <v>1174</v>
      </c>
      <c r="B1158" s="6">
        <v>92.59</v>
      </c>
      <c r="C1158" s="1">
        <v>2.9</v>
      </c>
      <c r="D1158" s="6">
        <v>5.37</v>
      </c>
      <c r="E1158" s="6">
        <v>33.200000000000003</v>
      </c>
      <c r="F1158" s="1">
        <f t="shared" si="90"/>
        <v>1967.3749999999125</v>
      </c>
      <c r="G1158" s="17">
        <v>4.8499999999999996</v>
      </c>
      <c r="H1158" s="1">
        <f>B1158*$E$1867/E1158</f>
        <v>934.61587040662641</v>
      </c>
      <c r="I1158" s="1">
        <f>C1158*$E$1867/E1158</f>
        <v>29.272988704819273</v>
      </c>
      <c r="J1158" s="26">
        <f t="shared" si="91"/>
        <v>126614.92240118567</v>
      </c>
      <c r="K1158" s="1">
        <f>D1158*$E$1867/E1158</f>
        <v>54.205499774096381</v>
      </c>
      <c r="L1158" s="26">
        <f t="shared" si="89"/>
        <v>7343.3646537894701</v>
      </c>
      <c r="M1158" s="10">
        <f t="shared" si="87"/>
        <v>21.948477389658414</v>
      </c>
      <c r="N1158" s="4">
        <f t="shared" si="88"/>
        <v>25.300129034292652</v>
      </c>
      <c r="O1158" s="36">
        <f>1/M1158-(G1158/100-(((E1158/E1038)^(1/10))-1))</f>
        <v>1.4241698664414534E-2</v>
      </c>
      <c r="P1158" s="48">
        <v>3.6</v>
      </c>
      <c r="R1158" s="30"/>
      <c r="S1158" s="30"/>
    </row>
    <row r="1159" spans="1:19" ht="13" x14ac:dyDescent="0.3">
      <c r="A1159" s="52" t="s">
        <v>1175</v>
      </c>
      <c r="B1159" s="6">
        <v>91.43</v>
      </c>
      <c r="C1159" s="1">
        <v>2.9</v>
      </c>
      <c r="D1159" s="6">
        <v>5.33</v>
      </c>
      <c r="E1159" s="6">
        <v>33.299999999999997</v>
      </c>
      <c r="F1159" s="1">
        <f t="shared" si="90"/>
        <v>1967.4583333332457</v>
      </c>
      <c r="G1159" s="17">
        <v>5.0199999999999996</v>
      </c>
      <c r="H1159" s="1">
        <f>B1159*$E$1867/E1159</f>
        <v>920.13518340840858</v>
      </c>
      <c r="I1159" s="1">
        <f>C1159*$E$1867/E1159</f>
        <v>29.185081831831834</v>
      </c>
      <c r="J1159" s="26">
        <f t="shared" si="91"/>
        <v>124982.6666232256</v>
      </c>
      <c r="K1159" s="1">
        <f>D1159*$E$1867/E1159</f>
        <v>53.640167642642645</v>
      </c>
      <c r="L1159" s="26">
        <f t="shared" si="89"/>
        <v>7285.98504978445</v>
      </c>
      <c r="M1159" s="10">
        <f t="shared" si="87"/>
        <v>21.552097609793492</v>
      </c>
      <c r="N1159" s="4">
        <f t="shared" si="88"/>
        <v>24.835207934713083</v>
      </c>
      <c r="O1159" s="36">
        <f>1/M1159-(G1159/100-(((E1159/E1039)^(1/10))-1))</f>
        <v>1.3322936774481049E-2</v>
      </c>
      <c r="P1159" s="48">
        <v>3.54</v>
      </c>
      <c r="R1159" s="30"/>
      <c r="S1159" s="30"/>
    </row>
    <row r="1160" spans="1:19" ht="13" x14ac:dyDescent="0.3">
      <c r="A1160" s="52" t="s">
        <v>1176</v>
      </c>
      <c r="B1160" s="6">
        <v>93.01</v>
      </c>
      <c r="C1160" s="1">
        <v>2.9066700000000001</v>
      </c>
      <c r="D1160" s="6">
        <v>5.32</v>
      </c>
      <c r="E1160" s="6">
        <v>33.4</v>
      </c>
      <c r="F1160" s="1">
        <f t="shared" si="90"/>
        <v>1967.541666666579</v>
      </c>
      <c r="G1160" s="17">
        <v>5.16</v>
      </c>
      <c r="H1160" s="1">
        <f>B1160*$E$1867/E1160</f>
        <v>933.23351803892228</v>
      </c>
      <c r="I1160" s="1">
        <f>C1160*$E$1867/E1160</f>
        <v>29.164626060404196</v>
      </c>
      <c r="J1160" s="26">
        <f t="shared" si="91"/>
        <v>127091.944571491</v>
      </c>
      <c r="K1160" s="1">
        <f>D1160*$E$1867/E1160</f>
        <v>53.379231437125753</v>
      </c>
      <c r="L1160" s="26">
        <f t="shared" si="89"/>
        <v>7269.4242029924962</v>
      </c>
      <c r="M1160" s="10">
        <f t="shared" si="87"/>
        <v>21.804196245666375</v>
      </c>
      <c r="N1160" s="4">
        <f t="shared" si="88"/>
        <v>25.117400694974108</v>
      </c>
      <c r="O1160" s="36">
        <f>1/M1160-(G1160/100-(((E1160/E1040)^(1/10))-1))</f>
        <v>1.0970175118491597E-2</v>
      </c>
      <c r="P1160" s="48">
        <v>4.21</v>
      </c>
      <c r="R1160" s="30"/>
      <c r="S1160" s="30"/>
    </row>
    <row r="1161" spans="1:19" ht="13" x14ac:dyDescent="0.3">
      <c r="A1161" s="52" t="s">
        <v>1177</v>
      </c>
      <c r="B1161" s="6">
        <v>94.49</v>
      </c>
      <c r="C1161" s="1">
        <v>2.9133300000000002</v>
      </c>
      <c r="D1161" s="6">
        <v>5.31</v>
      </c>
      <c r="E1161" s="6">
        <v>33.5</v>
      </c>
      <c r="F1161" s="1">
        <f t="shared" si="90"/>
        <v>1967.6249999999122</v>
      </c>
      <c r="G1161" s="17">
        <v>5.28</v>
      </c>
      <c r="H1161" s="1">
        <f>B1161*$E$1867/E1161</f>
        <v>945.25327977611937</v>
      </c>
      <c r="I1161" s="1">
        <f>C1161*$E$1867/E1161</f>
        <v>29.144192375597015</v>
      </c>
      <c r="J1161" s="26">
        <f t="shared" si="91"/>
        <v>129059.59882286937</v>
      </c>
      <c r="K1161" s="1">
        <f>D1161*$E$1867/E1161</f>
        <v>53.119853059701484</v>
      </c>
      <c r="L1161" s="26">
        <f t="shared" si="89"/>
        <v>7252.6877949987966</v>
      </c>
      <c r="M1161" s="10">
        <f t="shared" si="87"/>
        <v>22.030627049126029</v>
      </c>
      <c r="N1161" s="4">
        <f t="shared" si="88"/>
        <v>25.36952475396928</v>
      </c>
      <c r="O1161" s="36">
        <f>1/M1161-(G1161/100-(((E1161/E1041)^(1/10))-1))</f>
        <v>9.6027920021896987E-3</v>
      </c>
      <c r="P1161" s="48">
        <v>4.2699999999999996</v>
      </c>
      <c r="R1161" s="30"/>
      <c r="S1161" s="30"/>
    </row>
    <row r="1162" spans="1:19" ht="13" x14ac:dyDescent="0.3">
      <c r="A1162" s="52" t="s">
        <v>1178</v>
      </c>
      <c r="B1162" s="6">
        <v>95.81</v>
      </c>
      <c r="C1162" s="1">
        <v>2.92</v>
      </c>
      <c r="D1162" s="6">
        <v>5.3</v>
      </c>
      <c r="E1162" s="6">
        <v>33.6</v>
      </c>
      <c r="F1162" s="1">
        <f t="shared" si="90"/>
        <v>1967.7083333332455</v>
      </c>
      <c r="G1162" s="17">
        <v>5.3</v>
      </c>
      <c r="H1162" s="1">
        <f>B1162*$E$1867/E1162</f>
        <v>955.60566078869044</v>
      </c>
      <c r="I1162" s="1">
        <f>C1162*$E$1867/E1162</f>
        <v>29.123980059523806</v>
      </c>
      <c r="J1162" s="26">
        <f t="shared" si="91"/>
        <v>130804.42384227421</v>
      </c>
      <c r="K1162" s="1">
        <f>D1162*$E$1867/E1162</f>
        <v>52.862018601190471</v>
      </c>
      <c r="L1162" s="26">
        <f t="shared" si="89"/>
        <v>7235.8151170447063</v>
      </c>
      <c r="M1162" s="10">
        <f t="shared" si="87"/>
        <v>22.2191454886648</v>
      </c>
      <c r="N1162" s="4">
        <f t="shared" si="88"/>
        <v>25.577428710702126</v>
      </c>
      <c r="O1162" s="36">
        <f>1/M1162-(G1162/100-(((E1162/E1042)^(1/10))-1))</f>
        <v>9.3208473238869105E-3</v>
      </c>
      <c r="P1162" s="48">
        <v>4.42</v>
      </c>
      <c r="R1162" s="30"/>
      <c r="S1162" s="30"/>
    </row>
    <row r="1163" spans="1:19" ht="13" x14ac:dyDescent="0.3">
      <c r="A1163" s="52" t="s">
        <v>1179</v>
      </c>
      <c r="B1163" s="6">
        <v>95.66</v>
      </c>
      <c r="C1163" s="1">
        <v>2.92</v>
      </c>
      <c r="D1163" s="6">
        <v>5.31</v>
      </c>
      <c r="E1163" s="6">
        <v>33.700000000000003</v>
      </c>
      <c r="F1163" s="1">
        <f t="shared" si="90"/>
        <v>1967.7916666665787</v>
      </c>
      <c r="G1163" s="17">
        <v>5.48</v>
      </c>
      <c r="H1163" s="1">
        <f>B1163*$E$1867/E1163</f>
        <v>951.27838026706218</v>
      </c>
      <c r="I1163" s="1">
        <f>C1163*$E$1867/E1163</f>
        <v>29.037558753709195</v>
      </c>
      <c r="J1163" s="26">
        <f t="shared" si="91"/>
        <v>130543.32520037646</v>
      </c>
      <c r="K1163" s="1">
        <f>D1163*$E$1867/E1163</f>
        <v>52.804601706231445</v>
      </c>
      <c r="L1163" s="26">
        <f t="shared" si="89"/>
        <v>7246.3418023625236</v>
      </c>
      <c r="M1163" s="10">
        <f t="shared" si="87"/>
        <v>22.06819919418389</v>
      </c>
      <c r="N1163" s="4">
        <f t="shared" si="88"/>
        <v>25.39502305583051</v>
      </c>
      <c r="O1163" s="36">
        <f>1/M1163-(G1163/100-(((E1163/E1043)^(1/10))-1))</f>
        <v>8.1310570335601726E-3</v>
      </c>
      <c r="P1163" s="48">
        <v>4.5599999999999996</v>
      </c>
      <c r="R1163" s="30"/>
      <c r="S1163" s="30"/>
    </row>
    <row r="1164" spans="1:19" ht="13" x14ac:dyDescent="0.3">
      <c r="A1164" s="52" t="s">
        <v>1180</v>
      </c>
      <c r="B1164" s="6">
        <v>92.66</v>
      </c>
      <c r="C1164" s="1">
        <v>2.92</v>
      </c>
      <c r="D1164" s="6">
        <v>5.32</v>
      </c>
      <c r="E1164" s="6">
        <v>33.799999999999997</v>
      </c>
      <c r="F1164" s="1">
        <f t="shared" si="90"/>
        <v>1967.874999999912</v>
      </c>
      <c r="G1164" s="17">
        <v>5.75</v>
      </c>
      <c r="H1164" s="1">
        <f>B1164*$E$1867/E1164</f>
        <v>918.71910251479289</v>
      </c>
      <c r="I1164" s="1">
        <f>C1164*$E$1867/E1164</f>
        <v>28.951648816568046</v>
      </c>
      <c r="J1164" s="26">
        <f t="shared" si="91"/>
        <v>126406.32097883617</v>
      </c>
      <c r="K1164" s="1">
        <f>D1164*$E$1867/E1164</f>
        <v>52.747524556213023</v>
      </c>
      <c r="L1164" s="26">
        <f t="shared" si="89"/>
        <v>7257.5181049795874</v>
      </c>
      <c r="M1164" s="10">
        <f t="shared" si="87"/>
        <v>21.263102968336284</v>
      </c>
      <c r="N1164" s="4">
        <f t="shared" si="88"/>
        <v>24.462965360562389</v>
      </c>
      <c r="O1164" s="36">
        <f>1/M1164-(G1164/100-(((E1164/E1044)^(1/10))-1))</f>
        <v>7.0893778261975626E-3</v>
      </c>
      <c r="P1164" s="48">
        <v>4.7300000000000004</v>
      </c>
      <c r="R1164" s="30"/>
      <c r="S1164" s="30"/>
    </row>
    <row r="1165" spans="1:19" ht="13" x14ac:dyDescent="0.3">
      <c r="A1165" s="52" t="s">
        <v>1181</v>
      </c>
      <c r="B1165" s="6">
        <v>95.3</v>
      </c>
      <c r="C1165" s="1">
        <v>2.92</v>
      </c>
      <c r="D1165" s="6">
        <v>5.33</v>
      </c>
      <c r="E1165" s="6">
        <v>33.9</v>
      </c>
      <c r="F1165" s="1">
        <f t="shared" si="90"/>
        <v>1967.9583333332453</v>
      </c>
      <c r="G1165" s="17">
        <v>5.7</v>
      </c>
      <c r="H1165" s="1">
        <f>B1165*$E$1867/E1165</f>
        <v>942.10726622418883</v>
      </c>
      <c r="I1165" s="1">
        <f>C1165*$E$1867/E1165</f>
        <v>28.866245722713863</v>
      </c>
      <c r="J1165" s="26">
        <f t="shared" si="91"/>
        <v>129955.26723842073</v>
      </c>
      <c r="K1165" s="1">
        <f>D1165*$E$1867/E1165</f>
        <v>52.690784144542775</v>
      </c>
      <c r="L1165" s="26">
        <f t="shared" si="89"/>
        <v>7268.2221865769416</v>
      </c>
      <c r="M1165" s="10">
        <f t="shared" si="87"/>
        <v>21.751597808723638</v>
      </c>
      <c r="N1165" s="4">
        <f t="shared" si="88"/>
        <v>25.018284016206451</v>
      </c>
      <c r="O1165" s="36">
        <f>1/M1165-(G1165/100-(((E1165/E1045)^(1/10))-1))</f>
        <v>6.8338405886379031E-3</v>
      </c>
      <c r="P1165" s="48">
        <v>4.97</v>
      </c>
      <c r="R1165" s="30"/>
      <c r="S1165" s="30"/>
    </row>
    <row r="1166" spans="1:19" ht="13" x14ac:dyDescent="0.3">
      <c r="A1166" s="52" t="s">
        <v>1182</v>
      </c>
      <c r="B1166" s="6">
        <v>95.04</v>
      </c>
      <c r="C1166" s="1">
        <v>2.93</v>
      </c>
      <c r="D1166" s="6">
        <v>5.3666700000000001</v>
      </c>
      <c r="E1166" s="6">
        <v>34.1</v>
      </c>
      <c r="F1166" s="1">
        <f t="shared" si="90"/>
        <v>1968.0416666665785</v>
      </c>
      <c r="G1166" s="17">
        <v>5.53</v>
      </c>
      <c r="H1166" s="1">
        <f>B1166*$E$1867/E1166</f>
        <v>934.02650322580644</v>
      </c>
      <c r="I1166" s="1">
        <f>C1166*$E$1867/E1166</f>
        <v>28.795219428152492</v>
      </c>
      <c r="J1166" s="26">
        <f t="shared" si="91"/>
        <v>129171.60186214192</v>
      </c>
      <c r="K1166" s="1">
        <f>D1166*$E$1867/E1166</f>
        <v>52.742129777639292</v>
      </c>
      <c r="L1166" s="26">
        <f t="shared" si="89"/>
        <v>7293.9957971959293</v>
      </c>
      <c r="M1166" s="10">
        <f t="shared" si="87"/>
        <v>21.511535896332184</v>
      </c>
      <c r="N1166" s="4">
        <f t="shared" si="88"/>
        <v>24.736682989926916</v>
      </c>
      <c r="O1166" s="36">
        <f>1/M1166-(G1166/100-(((E1166/E1046)^(1/10))-1))</f>
        <v>8.9313505399880866E-3</v>
      </c>
      <c r="P1166" s="48">
        <v>5</v>
      </c>
      <c r="R1166" s="30"/>
      <c r="S1166" s="30"/>
    </row>
    <row r="1167" spans="1:19" ht="13" x14ac:dyDescent="0.3">
      <c r="A1167" s="52" t="s">
        <v>1183</v>
      </c>
      <c r="B1167" s="6">
        <v>90.75</v>
      </c>
      <c r="C1167" s="1">
        <v>2.94</v>
      </c>
      <c r="D1167" s="6">
        <v>5.4033300000000004</v>
      </c>
      <c r="E1167" s="6">
        <v>34.200000000000003</v>
      </c>
      <c r="F1167" s="1">
        <f t="shared" si="90"/>
        <v>1968.1249999999118</v>
      </c>
      <c r="G1167" s="17">
        <v>5.56</v>
      </c>
      <c r="H1167" s="1">
        <f>B1167*$E$1867/E1167</f>
        <v>889.25779057017542</v>
      </c>
      <c r="I1167" s="1">
        <f>C1167*$E$1867/E1167</f>
        <v>28.809012719298245</v>
      </c>
      <c r="J1167" s="26">
        <f t="shared" si="91"/>
        <v>123312.30616973065</v>
      </c>
      <c r="K1167" s="1">
        <f>D1167*$E$1867/E1167</f>
        <v>52.947143774342109</v>
      </c>
      <c r="L1167" s="26">
        <f t="shared" si="89"/>
        <v>7342.1166203425983</v>
      </c>
      <c r="M1167" s="10">
        <f t="shared" si="87"/>
        <v>20.424992376214227</v>
      </c>
      <c r="N1167" s="4">
        <f t="shared" si="88"/>
        <v>23.486290074730892</v>
      </c>
      <c r="O1167" s="36">
        <f>1/M1167-(G1167/100-(((E1167/E1047)^(1/10))-1))</f>
        <v>1.140235753135415E-2</v>
      </c>
      <c r="P1167" s="48">
        <v>4.9800000000000004</v>
      </c>
      <c r="R1167" s="30"/>
      <c r="S1167" s="30"/>
    </row>
    <row r="1168" spans="1:19" ht="13" x14ac:dyDescent="0.3">
      <c r="A1168" s="52" t="s">
        <v>1184</v>
      </c>
      <c r="B1168" s="6">
        <v>89.09</v>
      </c>
      <c r="C1168" s="1">
        <v>2.95</v>
      </c>
      <c r="D1168" s="6">
        <v>5.44</v>
      </c>
      <c r="E1168" s="6">
        <v>34.299999999999997</v>
      </c>
      <c r="F1168" s="1">
        <f t="shared" si="90"/>
        <v>1968.208333333245</v>
      </c>
      <c r="G1168" s="17">
        <v>5.74</v>
      </c>
      <c r="H1168" s="1">
        <f>B1168*$E$1867/E1168</f>
        <v>870.44631260932954</v>
      </c>
      <c r="I1168" s="1">
        <f>C1168*$E$1867/E1168</f>
        <v>28.822725583090381</v>
      </c>
      <c r="J1168" s="26">
        <f t="shared" si="91"/>
        <v>121036.80890921578</v>
      </c>
      <c r="K1168" s="1">
        <f>D1168*$E$1867/E1168</f>
        <v>53.151060058309049</v>
      </c>
      <c r="L1168" s="26">
        <f t="shared" si="89"/>
        <v>7390.7311759584009</v>
      </c>
      <c r="M1168" s="10">
        <f t="shared" si="87"/>
        <v>19.934711308295704</v>
      </c>
      <c r="N1168" s="4">
        <f t="shared" si="88"/>
        <v>22.923790260635641</v>
      </c>
      <c r="O1168" s="36">
        <f>1/M1168-(G1168/100-(((E1168/E1048)^(1/10))-1))</f>
        <v>1.0394369323284212E-2</v>
      </c>
      <c r="P1168" s="48">
        <v>5.17</v>
      </c>
      <c r="R1168" s="30"/>
      <c r="S1168" s="30"/>
    </row>
    <row r="1169" spans="1:19" ht="13" x14ac:dyDescent="0.3">
      <c r="A1169" s="52" t="s">
        <v>1185</v>
      </c>
      <c r="B1169" s="6">
        <v>95.67</v>
      </c>
      <c r="C1169" s="1">
        <v>2.96333</v>
      </c>
      <c r="D1169" s="6">
        <v>5.4833299999999996</v>
      </c>
      <c r="E1169" s="6">
        <v>34.4</v>
      </c>
      <c r="F1169" s="1">
        <f t="shared" si="90"/>
        <v>1968.2916666665783</v>
      </c>
      <c r="G1169" s="17">
        <v>5.64</v>
      </c>
      <c r="H1169" s="1">
        <f>B1169*$E$1867/E1169</f>
        <v>932.01839149709315</v>
      </c>
      <c r="I1169" s="1">
        <f>C1169*$E$1867/E1169</f>
        <v>28.868799624491281</v>
      </c>
      <c r="J1169" s="26">
        <f t="shared" si="91"/>
        <v>129933.0155060752</v>
      </c>
      <c r="K1169" s="1">
        <f>D1169*$E$1867/E1169</f>
        <v>53.418672589607553</v>
      </c>
      <c r="L1169" s="26">
        <f t="shared" si="89"/>
        <v>7447.1161483738597</v>
      </c>
      <c r="M1169" s="10">
        <f t="shared" si="87"/>
        <v>21.277356015671749</v>
      </c>
      <c r="N1169" s="4">
        <f t="shared" si="88"/>
        <v>24.465807304987667</v>
      </c>
      <c r="O1169" s="36">
        <f>1/M1169-(G1169/100-(((E1169/E1049)^(1/10))-1))</f>
        <v>8.1724569389255847E-3</v>
      </c>
      <c r="P1169" s="48">
        <v>5.38</v>
      </c>
      <c r="R1169" s="30"/>
      <c r="S1169" s="30"/>
    </row>
    <row r="1170" spans="1:19" ht="13" x14ac:dyDescent="0.3">
      <c r="A1170" s="52" t="s">
        <v>1186</v>
      </c>
      <c r="B1170" s="6">
        <v>97.87</v>
      </c>
      <c r="C1170" s="1">
        <v>2.9766699999999999</v>
      </c>
      <c r="D1170" s="6">
        <v>5.5266700000000002</v>
      </c>
      <c r="E1170" s="6">
        <v>34.5</v>
      </c>
      <c r="F1170" s="1">
        <f t="shared" si="90"/>
        <v>1968.3749999999116</v>
      </c>
      <c r="G1170" s="17">
        <v>5.87</v>
      </c>
      <c r="H1170" s="1">
        <f>B1170*$E$1867/E1170</f>
        <v>950.68719471014504</v>
      </c>
      <c r="I1170" s="1">
        <f>C1170*$E$1867/E1170</f>
        <v>28.91470370775362</v>
      </c>
      <c r="J1170" s="26">
        <f t="shared" si="91"/>
        <v>132871.55743054999</v>
      </c>
      <c r="K1170" s="1">
        <f>D1170*$E$1867/E1170</f>
        <v>53.68483088166667</v>
      </c>
      <c r="L1170" s="26">
        <f t="shared" si="89"/>
        <v>7503.1904598416031</v>
      </c>
      <c r="M1170" s="10">
        <f t="shared" si="87"/>
        <v>21.630227142779884</v>
      </c>
      <c r="N1170" s="4">
        <f t="shared" si="88"/>
        <v>24.869313748785807</v>
      </c>
      <c r="O1170" s="36">
        <f>1/M1170-(G1170/100-(((E1170/E1050)^(1/10))-1))</f>
        <v>5.4011560832052871E-3</v>
      </c>
      <c r="P1170" s="48">
        <v>5.66</v>
      </c>
      <c r="R1170" s="30"/>
      <c r="S1170" s="30"/>
    </row>
    <row r="1171" spans="1:19" ht="13" x14ac:dyDescent="0.3">
      <c r="A1171" s="52" t="s">
        <v>1187</v>
      </c>
      <c r="B1171" s="6">
        <v>100.5</v>
      </c>
      <c r="C1171" s="1">
        <v>2.99</v>
      </c>
      <c r="D1171" s="6">
        <v>5.57</v>
      </c>
      <c r="E1171" s="6">
        <v>34.700000000000003</v>
      </c>
      <c r="F1171" s="1">
        <f t="shared" si="90"/>
        <v>1968.4583333332448</v>
      </c>
      <c r="G1171" s="17">
        <v>5.72</v>
      </c>
      <c r="H1171" s="1">
        <f>B1171*$E$1867/E1171</f>
        <v>970.60771253602297</v>
      </c>
      <c r="I1171" s="1">
        <f>C1171*$E$1867/E1171</f>
        <v>28.876786671469741</v>
      </c>
      <c r="J1171" s="26">
        <f t="shared" si="91"/>
        <v>135992.04986283832</v>
      </c>
      <c r="K1171" s="1">
        <f>D1171*$E$1867/E1171</f>
        <v>53.793880187319886</v>
      </c>
      <c r="L1171" s="26">
        <f t="shared" si="89"/>
        <v>7537.0718182687515</v>
      </c>
      <c r="M1171" s="10">
        <f t="shared" si="87"/>
        <v>22.004623431346534</v>
      </c>
      <c r="N1171" s="4">
        <f t="shared" si="88"/>
        <v>25.296903018034918</v>
      </c>
      <c r="O1171" s="36">
        <f>1/M1171-(G1171/100-(((E1171/E1051)^(1/10))-1))</f>
        <v>6.7030870496969652E-3</v>
      </c>
      <c r="P1171" s="48">
        <v>5.52</v>
      </c>
      <c r="R1171" s="30"/>
      <c r="S1171" s="30"/>
    </row>
    <row r="1172" spans="1:19" ht="13" x14ac:dyDescent="0.3">
      <c r="A1172" s="52" t="s">
        <v>1188</v>
      </c>
      <c r="B1172" s="6">
        <v>100.3</v>
      </c>
      <c r="C1172" s="1">
        <v>3.0033300000000001</v>
      </c>
      <c r="D1172" s="6">
        <v>5.6</v>
      </c>
      <c r="E1172" s="6">
        <v>34.9</v>
      </c>
      <c r="F1172" s="1">
        <f t="shared" si="90"/>
        <v>1968.5416666665781</v>
      </c>
      <c r="G1172" s="17">
        <v>5.5</v>
      </c>
      <c r="H1172" s="1">
        <f>B1172*$E$1867/E1172</f>
        <v>963.12500214899705</v>
      </c>
      <c r="I1172" s="1">
        <f>C1172*$E$1867/E1172</f>
        <v>28.839304214398283</v>
      </c>
      <c r="J1172" s="26">
        <f t="shared" si="91"/>
        <v>135280.36915626095</v>
      </c>
      <c r="K1172" s="1">
        <f>D1172*$E$1867/E1172</f>
        <v>53.773679083094557</v>
      </c>
      <c r="L1172" s="26">
        <f t="shared" si="89"/>
        <v>7553.0415481062946</v>
      </c>
      <c r="M1172" s="10">
        <f t="shared" si="87"/>
        <v>21.753537415670948</v>
      </c>
      <c r="N1172" s="4">
        <f t="shared" si="88"/>
        <v>25.006714675274822</v>
      </c>
      <c r="O1172" s="36">
        <f>1/M1172-(G1172/100-(((E1172/E1052)^(1/10))-1))</f>
        <v>9.6611769330873093E-3</v>
      </c>
      <c r="P1172" s="48">
        <v>5.31</v>
      </c>
      <c r="R1172" s="30"/>
      <c r="S1172" s="30"/>
    </row>
    <row r="1173" spans="1:19" ht="13" x14ac:dyDescent="0.3">
      <c r="A1173" s="52" t="s">
        <v>1189</v>
      </c>
      <c r="B1173" s="6">
        <v>98.11</v>
      </c>
      <c r="C1173" s="1">
        <v>3.01667</v>
      </c>
      <c r="D1173" s="6">
        <v>5.63</v>
      </c>
      <c r="E1173" s="6">
        <v>35</v>
      </c>
      <c r="F1173" s="1">
        <f t="shared" si="90"/>
        <v>1968.6249999999113</v>
      </c>
      <c r="G1173" s="17">
        <v>5.42</v>
      </c>
      <c r="H1173" s="1">
        <f>B1173*$E$1867/E1173</f>
        <v>939.4039507857143</v>
      </c>
      <c r="I1173" s="1">
        <f>C1173*$E$1867/E1173</f>
        <v>28.884636797642859</v>
      </c>
      <c r="J1173" s="26">
        <f t="shared" si="91"/>
        <v>132286.60868762486</v>
      </c>
      <c r="K1173" s="1">
        <f>D1173*$E$1867/E1173</f>
        <v>53.907290214285716</v>
      </c>
      <c r="L1173" s="26">
        <f t="shared" si="89"/>
        <v>7591.2099369210882</v>
      </c>
      <c r="M1173" s="10">
        <f t="shared" si="87"/>
        <v>21.137766793617853</v>
      </c>
      <c r="N1173" s="4">
        <f t="shared" si="88"/>
        <v>24.29955806039349</v>
      </c>
      <c r="O1173" s="36">
        <f>1/M1173-(G1173/100-(((E1173/E1053)^(1/10))-1))</f>
        <v>1.2443883796378667E-2</v>
      </c>
      <c r="P1173" s="48">
        <v>5.09</v>
      </c>
      <c r="R1173" s="30"/>
      <c r="S1173" s="30"/>
    </row>
    <row r="1174" spans="1:19" ht="13" x14ac:dyDescent="0.3">
      <c r="A1174" s="52" t="s">
        <v>1190</v>
      </c>
      <c r="B1174" s="6">
        <v>101.3</v>
      </c>
      <c r="C1174" s="1">
        <v>3.03</v>
      </c>
      <c r="D1174" s="6">
        <v>5.66</v>
      </c>
      <c r="E1174" s="6">
        <v>35.1</v>
      </c>
      <c r="F1174" s="1">
        <f t="shared" si="90"/>
        <v>1968.7083333332446</v>
      </c>
      <c r="G1174" s="17">
        <v>5.46</v>
      </c>
      <c r="H1174" s="1">
        <f>B1174*$E$1867/E1174</f>
        <v>967.18483831908827</v>
      </c>
      <c r="I1174" s="1">
        <f>C1174*$E$1867/E1174</f>
        <v>28.929615598290592</v>
      </c>
      <c r="J1174" s="26">
        <f t="shared" si="91"/>
        <v>136538.19409234848</v>
      </c>
      <c r="K1174" s="1">
        <f>D1174*$E$1867/E1174</f>
        <v>54.040140028490029</v>
      </c>
      <c r="L1174" s="26">
        <f t="shared" si="89"/>
        <v>7628.8862641924234</v>
      </c>
      <c r="M1174" s="10">
        <f t="shared" si="87"/>
        <v>21.680275633292922</v>
      </c>
      <c r="N1174" s="4">
        <f t="shared" si="88"/>
        <v>24.922460342186518</v>
      </c>
      <c r="O1174" s="36">
        <f>1/M1174-(G1174/100-(((E1174/E1054)^(1/10))-1))</f>
        <v>1.1150936161089045E-2</v>
      </c>
      <c r="P1174" s="48">
        <v>5.19</v>
      </c>
      <c r="R1174" s="30"/>
      <c r="S1174" s="30"/>
    </row>
    <row r="1175" spans="1:19" ht="13" x14ac:dyDescent="0.3">
      <c r="A1175" s="52" t="s">
        <v>1191</v>
      </c>
      <c r="B1175" s="6">
        <v>103.8</v>
      </c>
      <c r="C1175" s="1">
        <v>3.0433300000000001</v>
      </c>
      <c r="D1175" s="6">
        <v>5.6933299999999996</v>
      </c>
      <c r="E1175" s="6">
        <v>35.299999999999997</v>
      </c>
      <c r="F1175" s="1">
        <f t="shared" si="90"/>
        <v>1968.7916666665778</v>
      </c>
      <c r="G1175" s="17">
        <v>5.58</v>
      </c>
      <c r="H1175" s="1">
        <f>B1175*$E$1867/E1175</f>
        <v>985.43912039660074</v>
      </c>
      <c r="I1175" s="1">
        <f>C1175*$E$1867/E1175</f>
        <v>28.892258557577904</v>
      </c>
      <c r="J1175" s="26">
        <f t="shared" si="91"/>
        <v>139455.05961598226</v>
      </c>
      <c r="K1175" s="1">
        <f>D1175*$E$1867/E1175</f>
        <v>54.050386390439094</v>
      </c>
      <c r="L1175" s="26">
        <f t="shared" si="89"/>
        <v>7648.9756701682099</v>
      </c>
      <c r="M1175" s="10">
        <f t="shared" si="87"/>
        <v>22.004606927956885</v>
      </c>
      <c r="N1175" s="4">
        <f t="shared" si="88"/>
        <v>25.293645118119258</v>
      </c>
      <c r="O1175" s="36">
        <f>1/M1175-(G1175/100-(((E1175/E1055)^(1/10))-1))</f>
        <v>9.8505894892879434E-3</v>
      </c>
      <c r="P1175" s="48">
        <v>5.35</v>
      </c>
      <c r="R1175" s="30"/>
      <c r="S1175" s="30"/>
    </row>
    <row r="1176" spans="1:19" ht="13" x14ac:dyDescent="0.3">
      <c r="A1176" s="52" t="s">
        <v>1192</v>
      </c>
      <c r="B1176" s="6">
        <v>105.4</v>
      </c>
      <c r="C1176" s="1">
        <v>3.05667</v>
      </c>
      <c r="D1176" s="6">
        <v>5.7266700000000004</v>
      </c>
      <c r="E1176" s="6">
        <v>35.4</v>
      </c>
      <c r="F1176" s="1">
        <f t="shared" si="90"/>
        <v>1968.8749999999111</v>
      </c>
      <c r="G1176" s="17">
        <v>5.7</v>
      </c>
      <c r="H1176" s="1">
        <f>B1176*$E$1867/E1176</f>
        <v>997.80229802259896</v>
      </c>
      <c r="I1176" s="1">
        <f>C1176*$E$1867/E1176</f>
        <v>28.936929319703392</v>
      </c>
      <c r="J1176" s="26">
        <f t="shared" si="91"/>
        <v>141545.89512661487</v>
      </c>
      <c r="K1176" s="1">
        <f>D1176*$E$1867/E1176</f>
        <v>54.213325294279663</v>
      </c>
      <c r="L1176" s="26">
        <f t="shared" si="89"/>
        <v>7690.5752490012483</v>
      </c>
      <c r="M1176" s="10">
        <f t="shared" si="87"/>
        <v>22.195529227158154</v>
      </c>
      <c r="N1176" s="4">
        <f t="shared" si="88"/>
        <v>25.511036361496682</v>
      </c>
      <c r="O1176" s="36">
        <f>1/M1176-(G1176/100-(((E1176/E1056)^(1/10))-1))</f>
        <v>8.1958793247940628E-3</v>
      </c>
      <c r="P1176" s="48">
        <v>5.45</v>
      </c>
      <c r="R1176" s="30"/>
      <c r="S1176" s="30"/>
    </row>
    <row r="1177" spans="1:19" ht="13" x14ac:dyDescent="0.3">
      <c r="A1177" s="52" t="s">
        <v>1193</v>
      </c>
      <c r="B1177" s="6">
        <v>106.5</v>
      </c>
      <c r="C1177" s="1">
        <v>3.07</v>
      </c>
      <c r="D1177" s="6">
        <v>5.76</v>
      </c>
      <c r="E1177" s="6">
        <v>35.5</v>
      </c>
      <c r="F1177" s="1">
        <f t="shared" si="90"/>
        <v>1968.9583333332444</v>
      </c>
      <c r="G1177" s="17">
        <v>6.03</v>
      </c>
      <c r="H1177" s="1">
        <f>B1177*$E$1867/E1177</f>
        <v>1005.3757499999999</v>
      </c>
      <c r="I1177" s="1">
        <f>C1177*$E$1867/E1177</f>
        <v>28.981254014084506</v>
      </c>
      <c r="J1177" s="26">
        <f t="shared" si="91"/>
        <v>142962.848335266</v>
      </c>
      <c r="K1177" s="1">
        <f>D1177*$E$1867/E1177</f>
        <v>54.375251830985917</v>
      </c>
      <c r="L1177" s="26">
        <f t="shared" si="89"/>
        <v>7732.075177569317</v>
      </c>
      <c r="M1177" s="10">
        <f t="shared" si="87"/>
        <v>22.277872995434876</v>
      </c>
      <c r="N1177" s="4">
        <f t="shared" si="88"/>
        <v>25.603481925014695</v>
      </c>
      <c r="O1177" s="36">
        <f>1/M1177-(G1177/100-(((E1177/E1057)^(1/10))-1))</f>
        <v>5.3697008905874283E-3</v>
      </c>
      <c r="P1177" s="48">
        <v>5.96</v>
      </c>
      <c r="R1177" s="30"/>
      <c r="S1177" s="30"/>
    </row>
    <row r="1178" spans="1:19" ht="13" x14ac:dyDescent="0.3">
      <c r="A1178" s="52" t="s">
        <v>1194</v>
      </c>
      <c r="B1178" s="6">
        <v>102</v>
      </c>
      <c r="C1178" s="1">
        <v>3.08</v>
      </c>
      <c r="D1178" s="6">
        <v>5.78</v>
      </c>
      <c r="E1178" s="6">
        <v>35.6</v>
      </c>
      <c r="F1178" s="1">
        <f t="shared" si="90"/>
        <v>1969.0416666665776</v>
      </c>
      <c r="G1178" s="17">
        <v>6.04</v>
      </c>
      <c r="H1178" s="1">
        <f>B1178*$E$1867/E1178</f>
        <v>960.19032303370773</v>
      </c>
      <c r="I1178" s="1">
        <f>C1178*$E$1867/E1178</f>
        <v>28.993982303370785</v>
      </c>
      <c r="J1178" s="26">
        <f t="shared" si="91"/>
        <v>136881.12666607223</v>
      </c>
      <c r="K1178" s="1">
        <f>D1178*$E$1867/E1178</f>
        <v>54.410784971910111</v>
      </c>
      <c r="L1178" s="26">
        <f t="shared" si="89"/>
        <v>7756.5971777440946</v>
      </c>
      <c r="M1178" s="10">
        <f t="shared" si="87"/>
        <v>21.19496807284715</v>
      </c>
      <c r="N1178" s="4">
        <f t="shared" si="88"/>
        <v>24.359671474340782</v>
      </c>
      <c r="O1178" s="36">
        <f>1/M1178-(G1178/100-(((E1178/E1058)^(1/10))-1))</f>
        <v>7.4976621748610375E-3</v>
      </c>
      <c r="P1178" s="48">
        <v>6.14</v>
      </c>
      <c r="R1178" s="30"/>
      <c r="S1178" s="30"/>
    </row>
    <row r="1179" spans="1:19" ht="13" x14ac:dyDescent="0.3">
      <c r="A1179" s="52" t="s">
        <v>1195</v>
      </c>
      <c r="B1179" s="6">
        <v>101.5</v>
      </c>
      <c r="C1179" s="1">
        <v>3.09</v>
      </c>
      <c r="D1179" s="6">
        <v>5.8</v>
      </c>
      <c r="E1179" s="6">
        <v>35.799999999999997</v>
      </c>
      <c r="F1179" s="1">
        <f t="shared" si="90"/>
        <v>1969.1249999999109</v>
      </c>
      <c r="G1179" s="17">
        <v>6.19</v>
      </c>
      <c r="H1179" s="1">
        <f>B1179*$E$1867/E1179</f>
        <v>950.14561103351957</v>
      </c>
      <c r="I1179" s="1">
        <f>C1179*$E$1867/E1179</f>
        <v>28.925615153631284</v>
      </c>
      <c r="J1179" s="26">
        <f t="shared" si="91"/>
        <v>135792.8175000913</v>
      </c>
      <c r="K1179" s="1">
        <f>D1179*$E$1867/E1179</f>
        <v>54.29403491620112</v>
      </c>
      <c r="L1179" s="26">
        <f t="shared" si="89"/>
        <v>7759.5895714337894</v>
      </c>
      <c r="M1179" s="10">
        <f t="shared" si="87"/>
        <v>20.895729901987234</v>
      </c>
      <c r="N1179" s="4">
        <f t="shared" si="88"/>
        <v>24.01667442699468</v>
      </c>
      <c r="O1179" s="36">
        <f>1/M1179-(G1179/100-(((E1179/E1059)^(1/10))-1))</f>
        <v>7.5981495746427138E-3</v>
      </c>
      <c r="P1179" s="48">
        <v>6.12</v>
      </c>
      <c r="R1179" s="30"/>
      <c r="S1179" s="30"/>
    </row>
    <row r="1180" spans="1:19" ht="13" x14ac:dyDescent="0.3">
      <c r="A1180" s="52" t="s">
        <v>1196</v>
      </c>
      <c r="B1180" s="6">
        <v>99.3</v>
      </c>
      <c r="C1180" s="1">
        <v>3.1</v>
      </c>
      <c r="D1180" s="6">
        <v>5.82</v>
      </c>
      <c r="E1180" s="6">
        <v>36.1</v>
      </c>
      <c r="F1180" s="1">
        <f t="shared" si="90"/>
        <v>1969.2083333332441</v>
      </c>
      <c r="G1180" s="17">
        <v>6.3</v>
      </c>
      <c r="H1180" s="1">
        <f>B1180*$E$1867/E1180</f>
        <v>921.82651869806091</v>
      </c>
      <c r="I1180" s="1">
        <f>C1180*$E$1867/E1180</f>
        <v>28.778068559556786</v>
      </c>
      <c r="J1180" s="26">
        <f t="shared" si="91"/>
        <v>132088.25399732211</v>
      </c>
      <c r="K1180" s="1">
        <f>D1180*$E$1867/E1180</f>
        <v>54.028502908587257</v>
      </c>
      <c r="L1180" s="26">
        <f t="shared" si="89"/>
        <v>7741.7284820182749</v>
      </c>
      <c r="M1180" s="10">
        <f t="shared" si="87"/>
        <v>20.202287616481655</v>
      </c>
      <c r="N1180" s="4">
        <f t="shared" si="88"/>
        <v>23.221677104407643</v>
      </c>
      <c r="O1180" s="36">
        <f>1/M1180-(G1180/100-(((E1180/E1060)^(1/10))-1))</f>
        <v>8.9937395359405356E-3</v>
      </c>
      <c r="P1180" s="48">
        <v>6.02</v>
      </c>
      <c r="R1180" s="30"/>
      <c r="S1180" s="30"/>
    </row>
    <row r="1181" spans="1:19" ht="13" x14ac:dyDescent="0.3">
      <c r="A1181" s="52" t="s">
        <v>1197</v>
      </c>
      <c r="B1181" s="6">
        <v>101.3</v>
      </c>
      <c r="C1181" s="1">
        <v>3.11</v>
      </c>
      <c r="D1181" s="6">
        <v>5.82667</v>
      </c>
      <c r="E1181" s="6">
        <v>36.299999999999997</v>
      </c>
      <c r="F1181" s="1">
        <f t="shared" si="90"/>
        <v>1969.2916666665774</v>
      </c>
      <c r="G1181" s="17">
        <v>6.17</v>
      </c>
      <c r="H1181" s="1">
        <f>B1181*$E$1867/E1181</f>
        <v>935.21178581267225</v>
      </c>
      <c r="I1181" s="1">
        <f>C1181*$E$1867/E1181</f>
        <v>28.711832713498623</v>
      </c>
      <c r="J1181" s="26">
        <f t="shared" si="91"/>
        <v>134349.06754650924</v>
      </c>
      <c r="K1181" s="1">
        <f>D1181*$E$1867/E1181</f>
        <v>53.792403317286507</v>
      </c>
      <c r="L1181" s="26">
        <f t="shared" si="89"/>
        <v>7727.6177828353311</v>
      </c>
      <c r="M1181" s="10">
        <f t="shared" si="87"/>
        <v>20.428608081932154</v>
      </c>
      <c r="N1181" s="4">
        <f t="shared" si="88"/>
        <v>23.482621868082429</v>
      </c>
      <c r="O1181" s="36">
        <f>1/M1181-(G1181/100-(((E1181/E1061)^(1/10))-1))</f>
        <v>9.957099691437217E-3</v>
      </c>
      <c r="P1181" s="48">
        <v>6.11</v>
      </c>
      <c r="R1181" s="30"/>
      <c r="S1181" s="30"/>
    </row>
    <row r="1182" spans="1:19" ht="13" x14ac:dyDescent="0.3">
      <c r="A1182" s="52" t="s">
        <v>1198</v>
      </c>
      <c r="B1182" s="6">
        <v>104.6</v>
      </c>
      <c r="C1182" s="1">
        <v>3.12</v>
      </c>
      <c r="D1182" s="6">
        <v>5.8333300000000001</v>
      </c>
      <c r="E1182" s="6">
        <v>36.4</v>
      </c>
      <c r="F1182" s="1">
        <f t="shared" si="90"/>
        <v>1969.3749999999106</v>
      </c>
      <c r="G1182" s="17">
        <v>6.32</v>
      </c>
      <c r="H1182" s="1">
        <f>B1182*$E$1867/E1182</f>
        <v>963.02475686813182</v>
      </c>
      <c r="I1182" s="1">
        <f>C1182*$E$1867/E1182</f>
        <v>28.725021428571431</v>
      </c>
      <c r="J1182" s="26">
        <f t="shared" si="91"/>
        <v>138688.45367156866</v>
      </c>
      <c r="K1182" s="1">
        <f>D1182*$E$1867/E1182</f>
        <v>53.705938862156593</v>
      </c>
      <c r="L1182" s="26">
        <f t="shared" si="89"/>
        <v>7734.373971854413</v>
      </c>
      <c r="M1182" s="10">
        <f t="shared" si="87"/>
        <v>20.972258271972091</v>
      </c>
      <c r="N1182" s="4">
        <f t="shared" si="88"/>
        <v>24.106259591810353</v>
      </c>
      <c r="O1182" s="36">
        <f>1/M1182-(G1182/100-(((E1182/E1062)^(1/10))-1))</f>
        <v>7.4695643878682841E-3</v>
      </c>
      <c r="P1182" s="48">
        <v>6.04</v>
      </c>
      <c r="R1182" s="30"/>
      <c r="S1182" s="30"/>
    </row>
    <row r="1183" spans="1:19" ht="13" x14ac:dyDescent="0.3">
      <c r="A1183" s="52" t="s">
        <v>1199</v>
      </c>
      <c r="B1183" s="6">
        <v>99.14</v>
      </c>
      <c r="C1183" s="1">
        <v>3.13</v>
      </c>
      <c r="D1183" s="6">
        <v>5.84</v>
      </c>
      <c r="E1183" s="6">
        <v>36.6</v>
      </c>
      <c r="F1183" s="1">
        <f t="shared" si="90"/>
        <v>1969.4583333332439</v>
      </c>
      <c r="G1183" s="17">
        <v>6.57</v>
      </c>
      <c r="H1183" s="1">
        <f>B1183*$E$1867/E1183</f>
        <v>907.76823183060094</v>
      </c>
      <c r="I1183" s="1">
        <f>C1183*$E$1867/E1183</f>
        <v>28.659618374316935</v>
      </c>
      <c r="J1183" s="26">
        <f t="shared" si="91"/>
        <v>131074.72192255102</v>
      </c>
      <c r="K1183" s="1">
        <f>D1183*$E$1867/E1183</f>
        <v>53.473537158469938</v>
      </c>
      <c r="L1183" s="26">
        <f t="shared" si="89"/>
        <v>7721.1657860368978</v>
      </c>
      <c r="M1183" s="10">
        <f t="shared" si="87"/>
        <v>19.713341583757625</v>
      </c>
      <c r="N1183" s="4">
        <f t="shared" si="88"/>
        <v>22.660788139262035</v>
      </c>
      <c r="O1183" s="36">
        <f>1/M1183-(G1183/100-(((E1183/E1063)^(1/10))-1))</f>
        <v>8.2230104032739726E-3</v>
      </c>
      <c r="P1183" s="48">
        <v>6.44</v>
      </c>
      <c r="R1183" s="30"/>
      <c r="S1183" s="30"/>
    </row>
    <row r="1184" spans="1:19" ht="13" x14ac:dyDescent="0.3">
      <c r="A1184" s="52" t="s">
        <v>1200</v>
      </c>
      <c r="B1184" s="6">
        <v>94.71</v>
      </c>
      <c r="C1184" s="1">
        <v>3.1366700000000001</v>
      </c>
      <c r="D1184" s="6">
        <v>5.8566700000000003</v>
      </c>
      <c r="E1184" s="6">
        <v>36.799999999999997</v>
      </c>
      <c r="F1184" s="1">
        <f t="shared" si="90"/>
        <v>1969.5416666665772</v>
      </c>
      <c r="G1184" s="17">
        <v>6.72</v>
      </c>
      <c r="H1184" s="1">
        <f>B1184*$E$1867/E1184</f>
        <v>862.49218552989134</v>
      </c>
      <c r="I1184" s="1">
        <f>C1184*$E$1867/E1184</f>
        <v>28.564601030366848</v>
      </c>
      <c r="J1184" s="26">
        <f t="shared" si="91"/>
        <v>124880.91948848769</v>
      </c>
      <c r="K1184" s="1">
        <f>D1184*$E$1867/E1184</f>
        <v>53.334728204279898</v>
      </c>
      <c r="L1184" s="26">
        <f t="shared" si="89"/>
        <v>7722.3770957727938</v>
      </c>
      <c r="M1184" s="10">
        <f t="shared" si="87"/>
        <v>18.681708207192759</v>
      </c>
      <c r="N1184" s="4">
        <f t="shared" si="88"/>
        <v>21.478815780067094</v>
      </c>
      <c r="O1184" s="36">
        <f>1/M1184-(G1184/100-(((E1184/E1064)^(1/10))-1))</f>
        <v>9.7308502568546201E-3</v>
      </c>
      <c r="P1184" s="48">
        <v>7</v>
      </c>
      <c r="R1184" s="30"/>
      <c r="S1184" s="30"/>
    </row>
    <row r="1185" spans="1:19" ht="13" x14ac:dyDescent="0.3">
      <c r="A1185" s="52" t="s">
        <v>1201</v>
      </c>
      <c r="B1185" s="6">
        <v>94.18</v>
      </c>
      <c r="C1185" s="1">
        <v>3.1433300000000002</v>
      </c>
      <c r="D1185" s="6">
        <v>5.8733300000000002</v>
      </c>
      <c r="E1185" s="6">
        <v>37</v>
      </c>
      <c r="F1185" s="1">
        <f t="shared" si="90"/>
        <v>1969.6249999999104</v>
      </c>
      <c r="G1185" s="17">
        <v>6.69</v>
      </c>
      <c r="H1185" s="1">
        <f>B1185*$E$1867/E1185</f>
        <v>853.02962283783791</v>
      </c>
      <c r="I1185" s="1">
        <f>C1185*$E$1867/E1185</f>
        <v>28.470520326554052</v>
      </c>
      <c r="J1185" s="26">
        <f t="shared" si="91"/>
        <v>123854.35003294438</v>
      </c>
      <c r="K1185" s="1">
        <f>D1185*$E$1867/E1185</f>
        <v>53.197329313040541</v>
      </c>
      <c r="L1185" s="26">
        <f t="shared" si="89"/>
        <v>7723.9060275960201</v>
      </c>
      <c r="M1185" s="10">
        <f t="shared" si="87"/>
        <v>18.429515590207743</v>
      </c>
      <c r="N1185" s="4">
        <f t="shared" si="88"/>
        <v>21.193349289269673</v>
      </c>
      <c r="O1185" s="36">
        <f>1/M1185-(G1185/100-(((E1185/E1065)^(1/10))-1))</f>
        <v>1.1318181972567835E-2</v>
      </c>
      <c r="P1185" s="48">
        <v>6.98</v>
      </c>
      <c r="R1185" s="30"/>
      <c r="S1185" s="30"/>
    </row>
    <row r="1186" spans="1:19" ht="13" x14ac:dyDescent="0.3">
      <c r="A1186" s="52" t="s">
        <v>1202</v>
      </c>
      <c r="B1186" s="6">
        <v>94.51</v>
      </c>
      <c r="C1186" s="1">
        <v>3.15</v>
      </c>
      <c r="D1186" s="6">
        <v>5.89</v>
      </c>
      <c r="E1186" s="6">
        <v>37.1</v>
      </c>
      <c r="F1186" s="1">
        <f t="shared" si="90"/>
        <v>1969.7083333332437</v>
      </c>
      <c r="G1186" s="17">
        <v>7.16</v>
      </c>
      <c r="H1186" s="1">
        <f>B1186*$E$1867/E1186</f>
        <v>853.71125006738544</v>
      </c>
      <c r="I1186" s="1">
        <f>C1186*$E$1867/E1186</f>
        <v>28.454030660377352</v>
      </c>
      <c r="J1186" s="26">
        <f t="shared" si="91"/>
        <v>124297.5962111885</v>
      </c>
      <c r="K1186" s="1">
        <f>D1186*$E$1867/E1186</f>
        <v>53.204520822102424</v>
      </c>
      <c r="L1186" s="26">
        <f t="shared" si="89"/>
        <v>7746.4061124103291</v>
      </c>
      <c r="M1186" s="10">
        <f t="shared" si="87"/>
        <v>18.398046344676974</v>
      </c>
      <c r="N1186" s="4">
        <f t="shared" si="88"/>
        <v>21.161648629370418</v>
      </c>
      <c r="O1186" s="36">
        <f>1/M1186-(G1186/100-(((E1186/E1066)^(1/10))-1))</f>
        <v>6.6372965809133322E-3</v>
      </c>
      <c r="P1186" s="48">
        <v>7.09</v>
      </c>
      <c r="R1186" s="30"/>
      <c r="S1186" s="30"/>
    </row>
    <row r="1187" spans="1:19" ht="13" x14ac:dyDescent="0.3">
      <c r="A1187" s="52" t="s">
        <v>1203</v>
      </c>
      <c r="B1187" s="6">
        <v>95.52</v>
      </c>
      <c r="C1187" s="1">
        <v>3.15333</v>
      </c>
      <c r="D1187" s="6">
        <v>5.8533299999999997</v>
      </c>
      <c r="E1187" s="6">
        <v>37.299999999999997</v>
      </c>
      <c r="F1187" s="1">
        <f t="shared" si="90"/>
        <v>1969.7916666665769</v>
      </c>
      <c r="G1187" s="17">
        <v>7.1</v>
      </c>
      <c r="H1187" s="1">
        <f>B1187*$E$1867/E1187</f>
        <v>858.20814691689009</v>
      </c>
      <c r="I1187" s="1">
        <f>C1187*$E$1867/E1187</f>
        <v>28.331380819906169</v>
      </c>
      <c r="J1187" s="26">
        <f t="shared" si="91"/>
        <v>125296.07629428527</v>
      </c>
      <c r="K1187" s="1">
        <f>D1187*$E$1867/E1187</f>
        <v>52.589776932506702</v>
      </c>
      <c r="L1187" s="26">
        <f t="shared" si="89"/>
        <v>7677.9656852557446</v>
      </c>
      <c r="M1187" s="10">
        <f t="shared" si="87"/>
        <v>18.448662031815356</v>
      </c>
      <c r="N1187" s="4">
        <f t="shared" si="88"/>
        <v>21.223912918013685</v>
      </c>
      <c r="O1187" s="36">
        <f>1/M1187-(G1187/100-(((E1187/E1067)^(1/10))-1))</f>
        <v>7.2898151339660239E-3</v>
      </c>
      <c r="P1187" s="48">
        <v>7</v>
      </c>
      <c r="R1187" s="30"/>
      <c r="S1187" s="30"/>
    </row>
    <row r="1188" spans="1:19" ht="13" x14ac:dyDescent="0.3">
      <c r="A1188" s="52" t="s">
        <v>1204</v>
      </c>
      <c r="B1188" s="6">
        <v>96.21</v>
      </c>
      <c r="C1188" s="1">
        <v>3.1566700000000001</v>
      </c>
      <c r="D1188" s="6">
        <v>5.8166700000000002</v>
      </c>
      <c r="E1188" s="6">
        <v>37.5</v>
      </c>
      <c r="F1188" s="1">
        <f t="shared" si="90"/>
        <v>1969.8749999999102</v>
      </c>
      <c r="G1188" s="17">
        <v>7.14</v>
      </c>
      <c r="H1188" s="1">
        <f>B1188*$E$1867/E1188</f>
        <v>859.79734139999994</v>
      </c>
      <c r="I1188" s="1">
        <f>C1188*$E$1867/E1188</f>
        <v>28.210128611133332</v>
      </c>
      <c r="J1188" s="26">
        <f t="shared" si="91"/>
        <v>125871.3113005442</v>
      </c>
      <c r="K1188" s="1">
        <f>D1188*$E$1867/E1188</f>
        <v>51.981679677800003</v>
      </c>
      <c r="L1188" s="26">
        <f t="shared" si="89"/>
        <v>7609.9353529002856</v>
      </c>
      <c r="M1188" s="10">
        <f t="shared" si="87"/>
        <v>18.437760084691039</v>
      </c>
      <c r="N1188" s="4">
        <f t="shared" si="88"/>
        <v>21.215681439338887</v>
      </c>
      <c r="O1188" s="36">
        <f>1/M1188-(G1188/100-(((E1188/E1068)^(1/10))-1))</f>
        <v>7.4696523355253508E-3</v>
      </c>
      <c r="P1188" s="48">
        <v>7.24</v>
      </c>
      <c r="R1188" s="30"/>
      <c r="S1188" s="30"/>
    </row>
    <row r="1189" spans="1:19" ht="13" x14ac:dyDescent="0.3">
      <c r="A1189" s="52" t="s">
        <v>1205</v>
      </c>
      <c r="B1189" s="6">
        <v>91.11</v>
      </c>
      <c r="C1189" s="1">
        <v>3.16</v>
      </c>
      <c r="D1189" s="6">
        <v>5.78</v>
      </c>
      <c r="E1189" s="6">
        <v>37.700000000000003</v>
      </c>
      <c r="F1189" s="1">
        <f t="shared" si="90"/>
        <v>1969.9583333332434</v>
      </c>
      <c r="G1189" s="17">
        <v>7.65</v>
      </c>
      <c r="H1189" s="1">
        <f>B1189*$E$1867/E1189</f>
        <v>809.90083627320951</v>
      </c>
      <c r="I1189" s="1">
        <f>C1189*$E$1867/E1189</f>
        <v>28.090074005305038</v>
      </c>
      <c r="J1189" s="26">
        <f t="shared" si="91"/>
        <v>118909.32886127321</v>
      </c>
      <c r="K1189" s="1">
        <f>D1189*$E$1867/E1189</f>
        <v>51.379945490716182</v>
      </c>
      <c r="L1189" s="26">
        <f t="shared" si="89"/>
        <v>7543.5838087823422</v>
      </c>
      <c r="M1189" s="10">
        <f t="shared" si="87"/>
        <v>17.326929913742688</v>
      </c>
      <c r="N1189" s="4">
        <f t="shared" si="88"/>
        <v>19.9451447524721</v>
      </c>
      <c r="O1189" s="36">
        <f>1/M1189-(G1189/100-(((E1189/E1069)^(1/10))-1))</f>
        <v>6.3919218866562086E-3</v>
      </c>
      <c r="P1189" s="48">
        <v>7.82</v>
      </c>
      <c r="R1189" s="30"/>
      <c r="S1189" s="30"/>
    </row>
    <row r="1190" spans="1:19" ht="13" x14ac:dyDescent="0.3">
      <c r="A1190" s="52" t="s">
        <v>1206</v>
      </c>
      <c r="B1190" s="6">
        <v>90.31</v>
      </c>
      <c r="C1190" s="1">
        <v>3.1633300000000002</v>
      </c>
      <c r="D1190" s="6">
        <v>5.73</v>
      </c>
      <c r="E1190" s="6">
        <v>37.799999999999997</v>
      </c>
      <c r="F1190" s="1">
        <f t="shared" si="90"/>
        <v>1970.0416666665767</v>
      </c>
      <c r="G1190" s="17">
        <v>7.79</v>
      </c>
      <c r="H1190" s="1">
        <f>B1190*$E$1867/E1190</f>
        <v>800.66564358465621</v>
      </c>
      <c r="I1190" s="1">
        <f>C1190*$E$1867/E1190</f>
        <v>28.045284578902116</v>
      </c>
      <c r="J1190" s="26">
        <f t="shared" si="91"/>
        <v>117896.55458425009</v>
      </c>
      <c r="K1190" s="1">
        <f>D1190*$E$1867/E1190</f>
        <v>50.80073234126985</v>
      </c>
      <c r="L1190" s="26">
        <f t="shared" si="89"/>
        <v>7480.3151120335842</v>
      </c>
      <c r="M1190" s="10">
        <f t="shared" si="87"/>
        <v>17.090541395140207</v>
      </c>
      <c r="N1190" s="4">
        <f t="shared" si="88"/>
        <v>19.681596538879784</v>
      </c>
      <c r="O1190" s="36">
        <f>1/M1190-(G1190/100-(((E1190/E1070)^(1/10))-1))</f>
        <v>6.4112433742652061E-3</v>
      </c>
      <c r="P1190" s="48">
        <v>7.87</v>
      </c>
      <c r="R1190" s="30"/>
      <c r="S1190" s="30"/>
    </row>
    <row r="1191" spans="1:19" ht="13" x14ac:dyDescent="0.3">
      <c r="A1191" s="52" t="s">
        <v>1207</v>
      </c>
      <c r="B1191" s="6">
        <v>87.16</v>
      </c>
      <c r="C1191" s="1">
        <v>3.1666699999999999</v>
      </c>
      <c r="D1191" s="6">
        <v>5.68</v>
      </c>
      <c r="E1191" s="6">
        <v>38</v>
      </c>
      <c r="F1191" s="1">
        <f t="shared" si="90"/>
        <v>1970.12499999991</v>
      </c>
      <c r="G1191" s="17">
        <v>7.24</v>
      </c>
      <c r="H1191" s="1">
        <f>B1191*$E$1867/E1191</f>
        <v>768.67149447368411</v>
      </c>
      <c r="I1191" s="1">
        <f>C1191*$E$1867/E1191</f>
        <v>27.927133563618423</v>
      </c>
      <c r="J1191" s="26">
        <f t="shared" si="91"/>
        <v>113528.15947927372</v>
      </c>
      <c r="K1191" s="1">
        <f>D1191*$E$1867/E1191</f>
        <v>50.09240578947368</v>
      </c>
      <c r="L1191" s="26">
        <f t="shared" si="89"/>
        <v>7398.3472446337164</v>
      </c>
      <c r="M1191" s="10">
        <f t="shared" si="87"/>
        <v>16.372586787159847</v>
      </c>
      <c r="N1191" s="4">
        <f t="shared" si="88"/>
        <v>18.865300867228132</v>
      </c>
      <c r="O1191" s="36">
        <f>1/M1191-(G1191/100-(((E1191/E1071)^(1/10))-1))</f>
        <v>1.4668881693785996E-2</v>
      </c>
      <c r="P1191" s="48">
        <v>7.13</v>
      </c>
      <c r="R1191" s="30"/>
      <c r="S1191" s="30"/>
    </row>
    <row r="1192" spans="1:19" ht="13" x14ac:dyDescent="0.3">
      <c r="A1192" s="52" t="s">
        <v>1208</v>
      </c>
      <c r="B1192" s="6">
        <v>88.65</v>
      </c>
      <c r="C1192" s="1">
        <v>3.17</v>
      </c>
      <c r="D1192" s="6">
        <v>5.63</v>
      </c>
      <c r="E1192" s="6">
        <v>38.200000000000003</v>
      </c>
      <c r="F1192" s="1">
        <f t="shared" si="90"/>
        <v>1970.2083333332432</v>
      </c>
      <c r="G1192" s="17">
        <v>7.07</v>
      </c>
      <c r="H1192" s="1">
        <f>B1192*$E$1867/E1192</f>
        <v>777.71867571989526</v>
      </c>
      <c r="I1192" s="1">
        <f>C1192*$E$1867/E1192</f>
        <v>27.810132002617799</v>
      </c>
      <c r="J1192" s="26">
        <f t="shared" si="91"/>
        <v>115206.65621430472</v>
      </c>
      <c r="K1192" s="1">
        <f>D1192*$E$1867/E1192</f>
        <v>49.391496269633507</v>
      </c>
      <c r="L1192" s="26">
        <f t="shared" si="89"/>
        <v>7316.5648560240907</v>
      </c>
      <c r="M1192" s="10">
        <f t="shared" si="87"/>
        <v>16.531690813943616</v>
      </c>
      <c r="N1192" s="4">
        <f t="shared" si="88"/>
        <v>19.058795732982503</v>
      </c>
      <c r="O1192" s="36">
        <f>1/M1192-(G1192/100-(((E1192/E1072)^(1/10))-1))</f>
        <v>1.6319779332802591E-2</v>
      </c>
      <c r="P1192" s="48">
        <v>6.63</v>
      </c>
      <c r="R1192" s="30"/>
      <c r="S1192" s="30"/>
    </row>
    <row r="1193" spans="1:19" ht="13" x14ac:dyDescent="0.3">
      <c r="A1193" s="52" t="s">
        <v>1209</v>
      </c>
      <c r="B1193" s="6">
        <v>85.95</v>
      </c>
      <c r="C1193" s="1">
        <v>3.17333</v>
      </c>
      <c r="D1193" s="6">
        <v>5.5933299999999999</v>
      </c>
      <c r="E1193" s="6">
        <v>38.5</v>
      </c>
      <c r="F1193" s="1">
        <f t="shared" si="90"/>
        <v>1970.2916666665765</v>
      </c>
      <c r="G1193" s="17">
        <v>7.39</v>
      </c>
      <c r="H1193" s="1">
        <f>B1193*$E$1867/E1193</f>
        <v>748.15623993506495</v>
      </c>
      <c r="I1193" s="1">
        <f>C1193*$E$1867/E1193</f>
        <v>27.622415833311688</v>
      </c>
      <c r="J1193" s="26">
        <f t="shared" si="91"/>
        <v>111168.43653327816</v>
      </c>
      <c r="K1193" s="1">
        <f>D1193*$E$1867/E1193</f>
        <v>48.687431547597406</v>
      </c>
      <c r="L1193" s="26">
        <f t="shared" si="89"/>
        <v>7234.4590007525403</v>
      </c>
      <c r="M1193" s="10">
        <f t="shared" si="87"/>
        <v>15.873067819354059</v>
      </c>
      <c r="N1193" s="4">
        <f t="shared" si="88"/>
        <v>18.311411111344018</v>
      </c>
      <c r="O1193" s="36">
        <f>1/M1193-(G1193/100-(((E1193/E1073)^(1/10))-1))</f>
        <v>1.6084252196537183E-2</v>
      </c>
      <c r="P1193" s="48">
        <v>6.51</v>
      </c>
      <c r="R1193" s="30"/>
      <c r="S1193" s="30"/>
    </row>
    <row r="1194" spans="1:19" ht="13" x14ac:dyDescent="0.3">
      <c r="A1194" s="52" t="s">
        <v>1210</v>
      </c>
      <c r="B1194" s="6">
        <v>76.06</v>
      </c>
      <c r="C1194" s="1">
        <v>3.1766700000000001</v>
      </c>
      <c r="D1194" s="6">
        <v>5.5566700000000004</v>
      </c>
      <c r="E1194" s="6">
        <v>38.6</v>
      </c>
      <c r="F1194" s="1">
        <f t="shared" si="90"/>
        <v>1970.3749999999097</v>
      </c>
      <c r="G1194" s="17">
        <v>7.91</v>
      </c>
      <c r="H1194" s="1">
        <f>B1194*$E$1867/E1194</f>
        <v>660.353018523316</v>
      </c>
      <c r="I1194" s="1">
        <f>C1194*$E$1867/E1194</f>
        <v>27.579853054857509</v>
      </c>
      <c r="J1194" s="26">
        <f t="shared" si="91"/>
        <v>98463.274726754229</v>
      </c>
      <c r="K1194" s="1">
        <f>D1194*$E$1867/E1194</f>
        <v>48.243016137759071</v>
      </c>
      <c r="L1194" s="26">
        <f t="shared" si="89"/>
        <v>7193.3726633698861</v>
      </c>
      <c r="M1194" s="10">
        <f t="shared" si="87"/>
        <v>13.983836060789191</v>
      </c>
      <c r="N1194" s="4">
        <f t="shared" si="88"/>
        <v>16.14957014615355</v>
      </c>
      <c r="O1194" s="36">
        <f>1/M1194-(G1194/100-(((E1194/E1074)^(1/10))-1))</f>
        <v>1.9662032140303626E-2</v>
      </c>
      <c r="P1194" s="48">
        <v>6.84</v>
      </c>
      <c r="R1194" s="30"/>
      <c r="S1194" s="30"/>
    </row>
    <row r="1195" spans="1:19" ht="13" x14ac:dyDescent="0.3">
      <c r="A1195" s="52" t="s">
        <v>1211</v>
      </c>
      <c r="B1195" s="6">
        <v>75.59</v>
      </c>
      <c r="C1195" s="1">
        <v>3.18</v>
      </c>
      <c r="D1195" s="6">
        <v>5.52</v>
      </c>
      <c r="E1195" s="6">
        <v>38.799999999999997</v>
      </c>
      <c r="F1195" s="1">
        <f t="shared" si="90"/>
        <v>1970.458333333243</v>
      </c>
      <c r="G1195" s="17">
        <v>7.84</v>
      </c>
      <c r="H1195" s="1">
        <f>B1195*$E$1867/E1195</f>
        <v>652.8896300902062</v>
      </c>
      <c r="I1195" s="1">
        <f>C1195*$E$1867/E1195</f>
        <v>27.466450902061862</v>
      </c>
      <c r="J1195" s="26">
        <f t="shared" si="91"/>
        <v>97691.717807482622</v>
      </c>
      <c r="K1195" s="1">
        <f>D1195*$E$1867/E1195</f>
        <v>47.677612886597935</v>
      </c>
      <c r="L1195" s="26">
        <f t="shared" si="89"/>
        <v>7133.989711566398</v>
      </c>
      <c r="M1195" s="10">
        <f t="shared" si="87"/>
        <v>13.799691797725183</v>
      </c>
      <c r="N1195" s="4">
        <f t="shared" si="88"/>
        <v>15.955062559858002</v>
      </c>
      <c r="O1195" s="36">
        <f>1/M1195-(G1195/100-(((E1195/E1075)^(1/10))-1))</f>
        <v>2.1499547604048055E-2</v>
      </c>
      <c r="P1195" s="48">
        <v>6.68</v>
      </c>
      <c r="R1195" s="30"/>
      <c r="S1195" s="30"/>
    </row>
    <row r="1196" spans="1:19" ht="13" x14ac:dyDescent="0.3">
      <c r="A1196" s="52" t="s">
        <v>1212</v>
      </c>
      <c r="B1196" s="6">
        <v>75.72</v>
      </c>
      <c r="C1196" s="1">
        <v>3.1833300000000002</v>
      </c>
      <c r="D1196" s="6">
        <v>5.4666699999999997</v>
      </c>
      <c r="E1196" s="6">
        <v>39</v>
      </c>
      <c r="F1196" s="1">
        <f t="shared" si="90"/>
        <v>1970.5416666665762</v>
      </c>
      <c r="G1196" s="17">
        <v>7.46</v>
      </c>
      <c r="H1196" s="1">
        <f>B1196*$E$1867/E1196</f>
        <v>650.65856230769225</v>
      </c>
      <c r="I1196" s="1">
        <f>C1196*$E$1867/E1196</f>
        <v>27.354211848269234</v>
      </c>
      <c r="J1196" s="26">
        <f t="shared" si="91"/>
        <v>97698.967350065446</v>
      </c>
      <c r="K1196" s="1">
        <f>D1196*$E$1867/E1196</f>
        <v>46.974850010705119</v>
      </c>
      <c r="L1196" s="26">
        <f t="shared" si="89"/>
        <v>7053.4602990436115</v>
      </c>
      <c r="M1196" s="10">
        <f t="shared" si="87"/>
        <v>13.726499744359774</v>
      </c>
      <c r="N1196" s="4">
        <f t="shared" si="88"/>
        <v>15.888935332500376</v>
      </c>
      <c r="O1196" s="36">
        <f>1/M1196-(G1196/100-(((E1196/E1076)^(1/10))-1))</f>
        <v>2.6214326254140566E-2</v>
      </c>
      <c r="P1196" s="48">
        <v>6.45</v>
      </c>
      <c r="R1196" s="30"/>
      <c r="S1196" s="30"/>
    </row>
    <row r="1197" spans="1:19" ht="13" x14ac:dyDescent="0.3">
      <c r="A1197" s="52" t="s">
        <v>1213</v>
      </c>
      <c r="B1197" s="6">
        <v>77.92</v>
      </c>
      <c r="C1197" s="1">
        <v>3.1866699999999999</v>
      </c>
      <c r="D1197" s="6">
        <v>5.4133300000000002</v>
      </c>
      <c r="E1197" s="6">
        <v>39</v>
      </c>
      <c r="F1197" s="1">
        <f t="shared" si="90"/>
        <v>1970.6249999999095</v>
      </c>
      <c r="G1197" s="17">
        <v>7.53</v>
      </c>
      <c r="H1197" s="1">
        <f>B1197*$E$1867/E1197</f>
        <v>669.56306358974359</v>
      </c>
      <c r="I1197" s="1">
        <f>C1197*$E$1867/E1197</f>
        <v>27.382912318397437</v>
      </c>
      <c r="J1197" s="26">
        <f t="shared" si="91"/>
        <v>100880.19105398246</v>
      </c>
      <c r="K1197" s="1">
        <f>D1197*$E$1867/E1197</f>
        <v>46.516501784166671</v>
      </c>
      <c r="L1197" s="26">
        <f t="shared" si="89"/>
        <v>7008.4415379652846</v>
      </c>
      <c r="M1197" s="10">
        <f t="shared" si="87"/>
        <v>14.10045651681545</v>
      </c>
      <c r="N1197" s="4">
        <f t="shared" si="88"/>
        <v>16.339508329168638</v>
      </c>
      <c r="O1197" s="36">
        <f>1/M1197-(G1197/100-(((E1197/E1077)^(1/10))-1))</f>
        <v>2.3582231493170847E-2</v>
      </c>
      <c r="P1197" s="48">
        <v>6.41</v>
      </c>
      <c r="R1197" s="30"/>
      <c r="S1197" s="30"/>
    </row>
    <row r="1198" spans="1:19" ht="13" x14ac:dyDescent="0.3">
      <c r="A1198" s="52" t="s">
        <v>1214</v>
      </c>
      <c r="B1198" s="6">
        <v>82.58</v>
      </c>
      <c r="C1198" s="1">
        <v>3.19</v>
      </c>
      <c r="D1198" s="6">
        <v>5.36</v>
      </c>
      <c r="E1198" s="6">
        <v>39.200000000000003</v>
      </c>
      <c r="F1198" s="1">
        <f t="shared" si="90"/>
        <v>1970.7083333332428</v>
      </c>
      <c r="G1198" s="17">
        <v>7.39</v>
      </c>
      <c r="H1198" s="1">
        <f>B1198*$E$1867/E1198</f>
        <v>705.985794515306</v>
      </c>
      <c r="I1198" s="1">
        <f>C1198*$E$1867/E1198</f>
        <v>27.27167213010204</v>
      </c>
      <c r="J1198" s="26">
        <f t="shared" si="91"/>
        <v>106710.25629800487</v>
      </c>
      <c r="K1198" s="1">
        <f>D1198*$E$1867/E1198</f>
        <v>45.82324846938775</v>
      </c>
      <c r="L1198" s="26">
        <f t="shared" si="89"/>
        <v>6926.216683910221</v>
      </c>
      <c r="M1198" s="10">
        <f t="shared" si="87"/>
        <v>14.842661145242229</v>
      </c>
      <c r="N1198" s="4">
        <f t="shared" si="88"/>
        <v>17.215125541252277</v>
      </c>
      <c r="O1198" s="36">
        <f>1/M1198-(G1198/100-(((E1198/E1078)^(1/10))-1))</f>
        <v>2.1961852727596279E-2</v>
      </c>
      <c r="P1198" s="48">
        <v>6.12</v>
      </c>
      <c r="R1198" s="30"/>
      <c r="S1198" s="30"/>
    </row>
    <row r="1199" spans="1:19" ht="13" x14ac:dyDescent="0.3">
      <c r="A1199" s="52" t="s">
        <v>1215</v>
      </c>
      <c r="B1199" s="6">
        <v>84.37</v>
      </c>
      <c r="C1199" s="1">
        <v>3.17333</v>
      </c>
      <c r="D1199" s="6">
        <v>5.2833300000000003</v>
      </c>
      <c r="E1199" s="6">
        <v>39.4</v>
      </c>
      <c r="F1199" s="1">
        <f t="shared" si="90"/>
        <v>1970.791666666576</v>
      </c>
      <c r="G1199" s="17">
        <v>7.33</v>
      </c>
      <c r="H1199" s="1">
        <f>B1199*$E$1867/E1199</f>
        <v>717.62734371827412</v>
      </c>
      <c r="I1199" s="1">
        <f>C1199*$E$1867/E1199</f>
        <v>26.991446943718277</v>
      </c>
      <c r="J1199" s="26">
        <f t="shared" si="91"/>
        <v>108809.86613308245</v>
      </c>
      <c r="K1199" s="1">
        <f>D1199*$E$1867/E1199</f>
        <v>44.938509824428941</v>
      </c>
      <c r="L1199" s="26">
        <f t="shared" si="89"/>
        <v>6813.7777650456155</v>
      </c>
      <c r="M1199" s="10">
        <f t="shared" si="87"/>
        <v>15.064185404089642</v>
      </c>
      <c r="N1199" s="4">
        <f t="shared" si="88"/>
        <v>17.486678518763014</v>
      </c>
      <c r="O1199" s="36">
        <f>1/M1199-(G1199/100-(((E1199/E1079)^(1/10))-1))</f>
        <v>2.1401934611650048E-2</v>
      </c>
      <c r="P1199" s="48">
        <v>5.91</v>
      </c>
      <c r="R1199" s="30"/>
      <c r="S1199" s="30"/>
    </row>
    <row r="1200" spans="1:19" ht="13" x14ac:dyDescent="0.3">
      <c r="A1200" s="52" t="s">
        <v>1216</v>
      </c>
      <c r="B1200" s="6">
        <v>84.28</v>
      </c>
      <c r="C1200" s="1">
        <v>3.1566700000000001</v>
      </c>
      <c r="D1200" s="6">
        <v>5.2066699999999999</v>
      </c>
      <c r="E1200" s="6">
        <v>39.6</v>
      </c>
      <c r="F1200" s="1">
        <f t="shared" si="90"/>
        <v>1970.8749999999093</v>
      </c>
      <c r="G1200" s="17">
        <v>6.84</v>
      </c>
      <c r="H1200" s="1">
        <f>B1200*$E$1867/E1200</f>
        <v>713.24131489898991</v>
      </c>
      <c r="I1200" s="1">
        <f>C1200*$E$1867/E1200</f>
        <v>26.714136942361108</v>
      </c>
      <c r="J1200" s="26">
        <f t="shared" si="91"/>
        <v>108482.37990777893</v>
      </c>
      <c r="K1200" s="1">
        <f>D1200*$E$1867/E1200</f>
        <v>44.062792561047978</v>
      </c>
      <c r="L1200" s="26">
        <f t="shared" si="89"/>
        <v>6701.8504152163659</v>
      </c>
      <c r="M1200" s="10">
        <f t="shared" si="87"/>
        <v>14.95076190879174</v>
      </c>
      <c r="N1200" s="4">
        <f t="shared" si="88"/>
        <v>17.369848985307819</v>
      </c>
      <c r="O1200" s="36">
        <f>1/M1200-(G1200/100-(((E1200/E1080)^(1/10))-1))</f>
        <v>2.7326345228659774E-2</v>
      </c>
      <c r="P1200" s="48">
        <v>5.28</v>
      </c>
      <c r="R1200" s="30"/>
      <c r="S1200" s="30"/>
    </row>
    <row r="1201" spans="1:19" ht="13" x14ac:dyDescent="0.3">
      <c r="A1201" s="52" t="s">
        <v>1217</v>
      </c>
      <c r="B1201" s="6">
        <v>90.05</v>
      </c>
      <c r="C1201" s="1">
        <v>3.14</v>
      </c>
      <c r="D1201" s="6">
        <v>5.13</v>
      </c>
      <c r="E1201" s="6">
        <v>39.799999999999997</v>
      </c>
      <c r="F1201" s="1">
        <f t="shared" si="90"/>
        <v>1970.9583333332425</v>
      </c>
      <c r="G1201" s="17">
        <v>6.39</v>
      </c>
      <c r="H1201" s="1">
        <f>B1201*$E$1867/E1201</f>
        <v>758.24192870603019</v>
      </c>
      <c r="I1201" s="1">
        <f>C1201*$E$1867/E1201</f>
        <v>26.439529773869349</v>
      </c>
      <c r="J1201" s="26">
        <f t="shared" si="91"/>
        <v>115661.98682190792</v>
      </c>
      <c r="K1201" s="1">
        <f>D1201*$E$1867/E1201</f>
        <v>43.195792273869351</v>
      </c>
      <c r="L1201" s="26">
        <f t="shared" si="89"/>
        <v>6589.0726529304566</v>
      </c>
      <c r="M1201" s="10">
        <f t="shared" si="87"/>
        <v>15.873840687205751</v>
      </c>
      <c r="N1201" s="4">
        <f t="shared" si="88"/>
        <v>18.454515548006174</v>
      </c>
      <c r="O1201" s="36">
        <f>1/M1201-(G1201/100-(((E1201/E1081)^(1/10))-1))</f>
        <v>2.8455287421124506E-2</v>
      </c>
      <c r="P1201" s="48">
        <v>4.87</v>
      </c>
      <c r="R1201" s="30"/>
      <c r="S1201" s="30"/>
    </row>
    <row r="1202" spans="1:19" ht="13" x14ac:dyDescent="0.3">
      <c r="A1202" s="52" t="s">
        <v>1218</v>
      </c>
      <c r="B1202" s="6">
        <v>93.49</v>
      </c>
      <c r="C1202" s="1">
        <v>3.13</v>
      </c>
      <c r="D1202" s="6">
        <v>5.16</v>
      </c>
      <c r="E1202" s="6">
        <v>39.799999999999997</v>
      </c>
      <c r="F1202" s="1">
        <f t="shared" si="90"/>
        <v>1971.0416666665758</v>
      </c>
      <c r="G1202" s="17">
        <v>6.24</v>
      </c>
      <c r="H1202" s="1">
        <f>B1202*$E$1867/E1202</f>
        <v>787.20752820351754</v>
      </c>
      <c r="I1202" s="1">
        <f>C1202*$E$1867/E1202</f>
        <v>26.355327449748742</v>
      </c>
      <c r="J1202" s="26">
        <f t="shared" si="91"/>
        <v>120415.40976727243</v>
      </c>
      <c r="K1202" s="1">
        <f>D1202*$E$1867/E1202</f>
        <v>43.448399246231162</v>
      </c>
      <c r="L1202" s="26">
        <f t="shared" si="89"/>
        <v>6646.0959931449988</v>
      </c>
      <c r="M1202" s="10">
        <f t="shared" si="87"/>
        <v>16.461793943491941</v>
      </c>
      <c r="N1202" s="4">
        <f t="shared" si="88"/>
        <v>19.149002748259761</v>
      </c>
      <c r="O1202" s="36">
        <f>1/M1202-(G1202/100-(((E1202/E1082)^(1/10))-1))</f>
        <v>2.7705281704982716E-2</v>
      </c>
      <c r="P1202" s="48">
        <v>4.4400000000000004</v>
      </c>
      <c r="R1202" s="30"/>
      <c r="S1202" s="30"/>
    </row>
    <row r="1203" spans="1:19" ht="13" x14ac:dyDescent="0.3">
      <c r="A1203" s="52" t="s">
        <v>1219</v>
      </c>
      <c r="B1203" s="6">
        <v>97.11</v>
      </c>
      <c r="C1203" s="1">
        <v>3.12</v>
      </c>
      <c r="D1203" s="6">
        <v>5.19</v>
      </c>
      <c r="E1203" s="6">
        <v>39.9</v>
      </c>
      <c r="F1203" s="1">
        <f t="shared" si="90"/>
        <v>1971.1249999999091</v>
      </c>
      <c r="G1203" s="17">
        <v>6.11</v>
      </c>
      <c r="H1203" s="1">
        <f>B1203*$E$1867/E1203</f>
        <v>815.63942424812035</v>
      </c>
      <c r="I1203" s="1">
        <f>C1203*$E$1867/E1203</f>
        <v>26.205282706766919</v>
      </c>
      <c r="J1203" s="26">
        <f t="shared" si="91"/>
        <v>125098.54384376945</v>
      </c>
      <c r="K1203" s="1">
        <f>D1203*$E$1867/E1203</f>
        <v>43.59147988721805</v>
      </c>
      <c r="L1203" s="26">
        <f t="shared" si="89"/>
        <v>6685.8350586877095</v>
      </c>
      <c r="M1203" s="10">
        <f t="shared" si="87"/>
        <v>17.034534781502135</v>
      </c>
      <c r="N1203" s="4">
        <f t="shared" si="88"/>
        <v>19.82457423268762</v>
      </c>
      <c r="O1203" s="36">
        <f>1/M1203-(G1203/100-(((E1203/E1083)^(1/10))-1))</f>
        <v>2.7221175943178043E-2</v>
      </c>
      <c r="P1203" s="48">
        <v>3.7</v>
      </c>
      <c r="R1203" s="30"/>
      <c r="S1203" s="30"/>
    </row>
    <row r="1204" spans="1:19" ht="13" x14ac:dyDescent="0.3">
      <c r="A1204" s="52" t="s">
        <v>1220</v>
      </c>
      <c r="B1204" s="6">
        <v>99.6</v>
      </c>
      <c r="C1204" s="1">
        <v>3.11</v>
      </c>
      <c r="D1204" s="6">
        <v>5.22</v>
      </c>
      <c r="E1204" s="6">
        <v>40</v>
      </c>
      <c r="F1204" s="1">
        <f t="shared" si="90"/>
        <v>1971.2083333332423</v>
      </c>
      <c r="G1204" s="17">
        <v>5.7</v>
      </c>
      <c r="H1204" s="1">
        <f>B1204*$E$1867/E1204</f>
        <v>834.46187250000003</v>
      </c>
      <c r="I1204" s="1">
        <f>C1204*$E$1867/E1204</f>
        <v>26.055988187499999</v>
      </c>
      <c r="J1204" s="26">
        <f t="shared" si="91"/>
        <v>128318.46100920247</v>
      </c>
      <c r="K1204" s="1">
        <f>D1204*$E$1867/E1204</f>
        <v>43.733845125000002</v>
      </c>
      <c r="L1204" s="26">
        <f t="shared" si="89"/>
        <v>6725.1241613256716</v>
      </c>
      <c r="M1204" s="10">
        <f t="shared" si="87"/>
        <v>17.402902607188885</v>
      </c>
      <c r="N1204" s="4">
        <f t="shared" si="88"/>
        <v>20.261603158151743</v>
      </c>
      <c r="O1204" s="36">
        <f>1/M1204-(G1204/100-(((E1204/E1084)^(1/10))-1))</f>
        <v>3.033633937147414E-2</v>
      </c>
      <c r="P1204" s="48">
        <v>3.38</v>
      </c>
      <c r="R1204" s="30"/>
      <c r="S1204" s="30"/>
    </row>
    <row r="1205" spans="1:19" ht="13" x14ac:dyDescent="0.3">
      <c r="A1205" s="52" t="s">
        <v>1221</v>
      </c>
      <c r="B1205" s="6">
        <v>103</v>
      </c>
      <c r="C1205" s="1">
        <v>3.1066699999999998</v>
      </c>
      <c r="D1205" s="6">
        <v>5.2533300000000001</v>
      </c>
      <c r="E1205" s="6">
        <v>40.1</v>
      </c>
      <c r="F1205" s="1">
        <f t="shared" si="90"/>
        <v>1971.2916666665756</v>
      </c>
      <c r="G1205" s="17">
        <v>5.83</v>
      </c>
      <c r="H1205" s="1">
        <f>B1205*$E$1867/E1205</f>
        <v>860.795529925187</v>
      </c>
      <c r="I1205" s="1">
        <f>C1205*$E$1867/E1205</f>
        <v>25.963181057793015</v>
      </c>
      <c r="J1205" s="26">
        <f t="shared" si="91"/>
        <v>132700.59533281729</v>
      </c>
      <c r="K1205" s="1">
        <f>D1205*$E$1867/E1205</f>
        <v>43.903329914775561</v>
      </c>
      <c r="L1205" s="26">
        <f t="shared" si="89"/>
        <v>6768.1555192208643</v>
      </c>
      <c r="M1205" s="10">
        <f t="shared" si="87"/>
        <v>17.924110447959613</v>
      </c>
      <c r="N1205" s="4">
        <f t="shared" si="88"/>
        <v>20.875485334712319</v>
      </c>
      <c r="O1205" s="36">
        <f>1/M1205-(G1205/100-(((E1205/E1085)^(1/10))-1))</f>
        <v>2.762261430118261E-2</v>
      </c>
      <c r="P1205" s="48">
        <v>3.86</v>
      </c>
      <c r="R1205" s="30"/>
      <c r="S1205" s="30"/>
    </row>
    <row r="1206" spans="1:19" ht="13" x14ac:dyDescent="0.3">
      <c r="A1206" s="52" t="s">
        <v>1222</v>
      </c>
      <c r="B1206" s="6">
        <v>101.6</v>
      </c>
      <c r="C1206" s="1">
        <v>3.1033300000000001</v>
      </c>
      <c r="D1206" s="6">
        <v>5.28667</v>
      </c>
      <c r="E1206" s="6">
        <v>40.299999999999997</v>
      </c>
      <c r="F1206" s="1">
        <f t="shared" si="90"/>
        <v>1971.3749999999088</v>
      </c>
      <c r="G1206" s="17">
        <v>6.39</v>
      </c>
      <c r="H1206" s="1">
        <f>B1206*$E$1867/E1206</f>
        <v>844.88152357320098</v>
      </c>
      <c r="I1206" s="1">
        <f>C1206*$E$1867/E1206</f>
        <v>25.80655687549628</v>
      </c>
      <c r="J1206" s="26">
        <f t="shared" si="91"/>
        <v>130578.81464839412</v>
      </c>
      <c r="K1206" s="1">
        <f>D1206*$E$1867/E1206</f>
        <v>43.962694923511172</v>
      </c>
      <c r="L1206" s="26">
        <f t="shared" si="89"/>
        <v>6794.5580909175769</v>
      </c>
      <c r="M1206" s="10">
        <f t="shared" si="87"/>
        <v>17.564153279699394</v>
      </c>
      <c r="N1206" s="4">
        <f t="shared" si="88"/>
        <v>20.463891147264587</v>
      </c>
      <c r="O1206" s="36">
        <f>1/M1206-(G1206/100-(((E1206/E1086)^(1/10))-1))</f>
        <v>2.3678614175411568E-2</v>
      </c>
      <c r="P1206" s="48">
        <v>4.1399999999999997</v>
      </c>
      <c r="R1206" s="30"/>
      <c r="S1206" s="30"/>
    </row>
    <row r="1207" spans="1:19" ht="13" x14ac:dyDescent="0.3">
      <c r="A1207" s="52" t="s">
        <v>1223</v>
      </c>
      <c r="B1207" s="6">
        <v>99.72</v>
      </c>
      <c r="C1207" s="1">
        <v>3.1</v>
      </c>
      <c r="D1207" s="6">
        <v>5.32</v>
      </c>
      <c r="E1207" s="6">
        <v>40.6</v>
      </c>
      <c r="F1207" s="1">
        <f t="shared" si="90"/>
        <v>1971.4583333332421</v>
      </c>
      <c r="G1207" s="17">
        <v>6.52</v>
      </c>
      <c r="H1207" s="1">
        <f>B1207*$E$1867/E1207</f>
        <v>823.12044162561574</v>
      </c>
      <c r="I1207" s="1">
        <f>C1207*$E$1867/E1207</f>
        <v>25.588381157635467</v>
      </c>
      <c r="J1207" s="26">
        <f t="shared" si="91"/>
        <v>127545.14127766195</v>
      </c>
      <c r="K1207" s="1">
        <f>D1207*$E$1867/E1207</f>
        <v>43.912963793103451</v>
      </c>
      <c r="L1207" s="26">
        <f t="shared" si="89"/>
        <v>6804.4539871355964</v>
      </c>
      <c r="M1207" s="10">
        <f t="shared" si="87"/>
        <v>17.083166880070717</v>
      </c>
      <c r="N1207" s="4">
        <f t="shared" si="88"/>
        <v>19.911939063113639</v>
      </c>
      <c r="O1207" s="36">
        <f>1/M1207-(G1207/100-(((E1207/E1087)^(1/10))-1))</f>
        <v>2.4746298795041664E-2</v>
      </c>
      <c r="P1207" s="48">
        <v>4.75</v>
      </c>
      <c r="R1207" s="30"/>
      <c r="S1207" s="30"/>
    </row>
    <row r="1208" spans="1:19" ht="13" x14ac:dyDescent="0.3">
      <c r="A1208" s="52" t="s">
        <v>1224</v>
      </c>
      <c r="B1208" s="6">
        <v>99</v>
      </c>
      <c r="C1208" s="1">
        <v>3.09667</v>
      </c>
      <c r="D1208" s="6">
        <v>5.3566700000000003</v>
      </c>
      <c r="E1208" s="6">
        <v>40.700000000000003</v>
      </c>
      <c r="F1208" s="1">
        <f t="shared" si="90"/>
        <v>1971.5416666665753</v>
      </c>
      <c r="G1208" s="17">
        <v>6.73</v>
      </c>
      <c r="H1208" s="1">
        <f>B1208*$E$1867/E1208</f>
        <v>815.1695270270269</v>
      </c>
      <c r="I1208" s="1">
        <f>C1208*$E$1867/E1208</f>
        <v>25.498091103624077</v>
      </c>
      <c r="J1208" s="26">
        <f t="shared" si="91"/>
        <v>126642.37255491479</v>
      </c>
      <c r="K1208" s="1">
        <f>D1208*$E$1867/E1208</f>
        <v>44.107011619594594</v>
      </c>
      <c r="L1208" s="26">
        <f t="shared" si="89"/>
        <v>6852.3373514518744</v>
      </c>
      <c r="M1208" s="10">
        <f t="shared" si="87"/>
        <v>16.889414708693366</v>
      </c>
      <c r="N1208" s="4">
        <f t="shared" si="88"/>
        <v>19.694941690150486</v>
      </c>
      <c r="O1208" s="36">
        <f>1/M1208-(G1208/100-(((E1208/E1088)^(1/10))-1))</f>
        <v>2.2881739151916637E-2</v>
      </c>
      <c r="P1208" s="48">
        <v>5.4</v>
      </c>
      <c r="R1208" s="30"/>
      <c r="S1208" s="30"/>
    </row>
    <row r="1209" spans="1:19" ht="13" x14ac:dyDescent="0.3">
      <c r="A1209" s="52" t="s">
        <v>1225</v>
      </c>
      <c r="B1209" s="6">
        <v>97.24</v>
      </c>
      <c r="C1209" s="1">
        <v>3.0933299999999999</v>
      </c>
      <c r="D1209" s="6">
        <v>5.3933299999999997</v>
      </c>
      <c r="E1209" s="6">
        <v>40.799999999999997</v>
      </c>
      <c r="F1209" s="1">
        <f t="shared" si="90"/>
        <v>1971.6249999999086</v>
      </c>
      <c r="G1209" s="17">
        <v>6.58</v>
      </c>
      <c r="H1209" s="1">
        <f>B1209*$E$1867/E1209</f>
        <v>798.71517916666664</v>
      </c>
      <c r="I1209" s="1">
        <f>C1209*$E$1867/E1209</f>
        <v>25.408161509374999</v>
      </c>
      <c r="J1209" s="26">
        <f t="shared" si="91"/>
        <v>124415.01766692649</v>
      </c>
      <c r="K1209" s="1">
        <f>D1209*$E$1867/E1209</f>
        <v>44.300026092708336</v>
      </c>
      <c r="L1209" s="26">
        <f t="shared" si="89"/>
        <v>6900.568153368622</v>
      </c>
      <c r="M1209" s="10">
        <f t="shared" si="87"/>
        <v>16.519449443051574</v>
      </c>
      <c r="N1209" s="4">
        <f t="shared" si="88"/>
        <v>19.273018870882726</v>
      </c>
      <c r="O1209" s="36">
        <f>1/M1209-(G1209/100-(((E1209/E1089)^(1/10))-1))</f>
        <v>2.6305165708427107E-2</v>
      </c>
      <c r="P1209" s="48">
        <v>4.9400000000000004</v>
      </c>
      <c r="R1209" s="30"/>
      <c r="S1209" s="30"/>
    </row>
    <row r="1210" spans="1:19" ht="13" x14ac:dyDescent="0.3">
      <c r="A1210" s="52" t="s">
        <v>1226</v>
      </c>
      <c r="B1210" s="6">
        <v>99.4</v>
      </c>
      <c r="C1210" s="1">
        <v>3.09</v>
      </c>
      <c r="D1210" s="6">
        <v>5.43</v>
      </c>
      <c r="E1210" s="6">
        <v>40.799999999999997</v>
      </c>
      <c r="F1210" s="1">
        <f t="shared" si="90"/>
        <v>1971.7083333332419</v>
      </c>
      <c r="G1210" s="17">
        <v>6.14</v>
      </c>
      <c r="H1210" s="1">
        <f>B1210*$E$1867/E1210</f>
        <v>816.4571041666668</v>
      </c>
      <c r="I1210" s="1">
        <f>C1210*$E$1867/E1210</f>
        <v>25.380809374999998</v>
      </c>
      <c r="J1210" s="26">
        <f t="shared" si="91"/>
        <v>127508.12035316463</v>
      </c>
      <c r="K1210" s="1">
        <f>D1210*$E$1867/E1210</f>
        <v>44.601228124999999</v>
      </c>
      <c r="L1210" s="26">
        <f t="shared" si="89"/>
        <v>6965.4838382060752</v>
      </c>
      <c r="M1210" s="10">
        <f t="shared" ref="M1210:M1273" si="92">H1210/AVERAGE(K1090:K1209)</f>
        <v>16.856792547836012</v>
      </c>
      <c r="N1210" s="4">
        <f t="shared" ref="N1210:N1273" si="93">J1210/AVERAGE(L1090:L1209)</f>
        <v>19.674910494388243</v>
      </c>
      <c r="O1210" s="36">
        <f>1/M1210-(G1210/100-(((E1210/E1090)^(1/10))-1))</f>
        <v>2.9149353637379909E-2</v>
      </c>
      <c r="P1210" s="48">
        <v>4.6900000000000004</v>
      </c>
      <c r="R1210" s="30"/>
      <c r="S1210" s="30"/>
    </row>
    <row r="1211" spans="1:19" ht="13" x14ac:dyDescent="0.3">
      <c r="A1211" s="52" t="s">
        <v>1227</v>
      </c>
      <c r="B1211" s="6">
        <v>97.29</v>
      </c>
      <c r="C1211" s="1">
        <v>3.0833300000000001</v>
      </c>
      <c r="D1211" s="6">
        <v>5.52</v>
      </c>
      <c r="E1211" s="6">
        <v>40.9</v>
      </c>
      <c r="F1211" s="1">
        <f t="shared" si="90"/>
        <v>1971.7916666665751</v>
      </c>
      <c r="G1211" s="17">
        <v>5.93</v>
      </c>
      <c r="H1211" s="1">
        <f>B1211*$E$1867/E1211</f>
        <v>797.17201888753061</v>
      </c>
      <c r="I1211" s="1">
        <f>C1211*$E$1867/E1211</f>
        <v>25.26410115116137</v>
      </c>
      <c r="J1211" s="26">
        <f t="shared" si="91"/>
        <v>124825.11742163985</v>
      </c>
      <c r="K1211" s="1">
        <f>D1211*$E$1867/E1211</f>
        <v>45.229618092909533</v>
      </c>
      <c r="L1211" s="26">
        <f t="shared" si="89"/>
        <v>7082.2761657667988</v>
      </c>
      <c r="M1211" s="10">
        <f t="shared" si="92"/>
        <v>16.428862709159482</v>
      </c>
      <c r="N1211" s="4">
        <f t="shared" si="93"/>
        <v>19.18439734475173</v>
      </c>
      <c r="O1211" s="36">
        <f>1/M1211-(G1211/100-(((E1211/E1091)^(1/10))-1))</f>
        <v>3.3047046104171356E-2</v>
      </c>
      <c r="P1211" s="48">
        <v>4.46</v>
      </c>
      <c r="R1211" s="30"/>
      <c r="S1211" s="30"/>
    </row>
    <row r="1212" spans="1:19" ht="13" x14ac:dyDescent="0.3">
      <c r="A1212" s="52" t="s">
        <v>1228</v>
      </c>
      <c r="B1212" s="6">
        <v>92.78</v>
      </c>
      <c r="C1212" s="1">
        <v>3.07667</v>
      </c>
      <c r="D1212" s="6">
        <v>5.61</v>
      </c>
      <c r="E1212" s="6">
        <v>40.9</v>
      </c>
      <c r="F1212" s="1">
        <f t="shared" si="90"/>
        <v>1971.8749999999084</v>
      </c>
      <c r="G1212" s="17">
        <v>5.81</v>
      </c>
      <c r="H1212" s="1">
        <f>B1212*$E$1867/E1212</f>
        <v>760.21810990220058</v>
      </c>
      <c r="I1212" s="1">
        <f>C1212*$E$1867/E1212</f>
        <v>25.209530633679709</v>
      </c>
      <c r="J1212" s="26">
        <f t="shared" si="91"/>
        <v>119367.64520726229</v>
      </c>
      <c r="K1212" s="1">
        <f>D1212*$E$1867/E1212</f>
        <v>45.967057518337413</v>
      </c>
      <c r="L1212" s="26">
        <f t="shared" si="89"/>
        <v>7217.6383877208609</v>
      </c>
      <c r="M1212" s="10">
        <f t="shared" si="92"/>
        <v>15.638712654326659</v>
      </c>
      <c r="N1212" s="4">
        <f t="shared" si="93"/>
        <v>18.271922182649167</v>
      </c>
      <c r="O1212" s="36">
        <f>1/M1212-(G1212/100-(((E1212/E1092)^(1/10))-1))</f>
        <v>3.7322442309907E-2</v>
      </c>
      <c r="P1212" s="48">
        <v>4.22</v>
      </c>
      <c r="R1212" s="30"/>
      <c r="S1212" s="30"/>
    </row>
    <row r="1213" spans="1:19" ht="13" x14ac:dyDescent="0.3">
      <c r="A1213" s="52" t="s">
        <v>1229</v>
      </c>
      <c r="B1213" s="6">
        <v>99.17</v>
      </c>
      <c r="C1213" s="1">
        <v>3.07</v>
      </c>
      <c r="D1213" s="6">
        <v>5.7</v>
      </c>
      <c r="E1213" s="6">
        <v>41.1</v>
      </c>
      <c r="F1213" s="1">
        <f t="shared" si="90"/>
        <v>1971.9583333332416</v>
      </c>
      <c r="G1213" s="17">
        <v>5.93</v>
      </c>
      <c r="H1213" s="1">
        <f>B1213*$E$1867/E1213</f>
        <v>808.62216648418496</v>
      </c>
      <c r="I1213" s="1">
        <f>C1213*$E$1867/E1213</f>
        <v>25.032470012165447</v>
      </c>
      <c r="J1213" s="26">
        <f t="shared" si="91"/>
        <v>127295.48033434449</v>
      </c>
      <c r="K1213" s="1">
        <f>D1213*$E$1867/E1213</f>
        <v>46.477224452554744</v>
      </c>
      <c r="L1213" s="26">
        <f t="shared" si="89"/>
        <v>7316.5699093048661</v>
      </c>
      <c r="M1213" s="10">
        <f t="shared" si="92"/>
        <v>16.603557212925345</v>
      </c>
      <c r="N1213" s="4">
        <f t="shared" si="93"/>
        <v>19.405829401067063</v>
      </c>
      <c r="O1213" s="36">
        <f>1/M1213-(G1213/100-(((E1213/E1093)^(1/10))-1))</f>
        <v>3.2909901694790113E-2</v>
      </c>
      <c r="P1213" s="48">
        <v>4.01</v>
      </c>
      <c r="R1213" s="30"/>
      <c r="S1213" s="30"/>
    </row>
    <row r="1214" spans="1:19" ht="13" x14ac:dyDescent="0.3">
      <c r="A1214" s="52" t="s">
        <v>1230</v>
      </c>
      <c r="B1214" s="6">
        <v>103.3</v>
      </c>
      <c r="C1214" s="1">
        <v>3.07</v>
      </c>
      <c r="D1214" s="6">
        <v>5.7366700000000002</v>
      </c>
      <c r="E1214" s="6">
        <v>41.1</v>
      </c>
      <c r="F1214" s="1">
        <f t="shared" si="90"/>
        <v>1972.0416666665749</v>
      </c>
      <c r="G1214" s="17">
        <v>5.95</v>
      </c>
      <c r="H1214" s="1">
        <f>B1214*$E$1867/E1214</f>
        <v>842.29776946472009</v>
      </c>
      <c r="I1214" s="1">
        <f>C1214*$E$1867/E1214</f>
        <v>25.032470012165447</v>
      </c>
      <c r="J1214" s="26">
        <f t="shared" si="91"/>
        <v>132925.1744034485</v>
      </c>
      <c r="K1214" s="1">
        <f>D1214*$E$1867/E1214</f>
        <v>46.776227929866181</v>
      </c>
      <c r="L1214" s="26">
        <f t="shared" si="89"/>
        <v>7381.8766722655464</v>
      </c>
      <c r="M1214" s="10">
        <f t="shared" si="92"/>
        <v>17.262996797035182</v>
      </c>
      <c r="N1214" s="4">
        <f t="shared" si="93"/>
        <v>20.180821727051899</v>
      </c>
      <c r="O1214" s="36">
        <f>1/M1214-(G1214/100-(((E1214/E1094)^(1/10))-1))</f>
        <v>3.0409213945432341E-2</v>
      </c>
      <c r="P1214" s="48">
        <v>3.38</v>
      </c>
      <c r="R1214" s="30"/>
      <c r="S1214" s="30"/>
    </row>
    <row r="1215" spans="1:19" ht="13" x14ac:dyDescent="0.3">
      <c r="A1215" s="52" t="s">
        <v>1231</v>
      </c>
      <c r="B1215" s="6">
        <v>105.2</v>
      </c>
      <c r="C1215" s="1">
        <v>3.07</v>
      </c>
      <c r="D1215" s="6">
        <v>5.7733299999999996</v>
      </c>
      <c r="E1215" s="6">
        <v>41.3</v>
      </c>
      <c r="F1215" s="1">
        <f t="shared" si="90"/>
        <v>1972.1249999999081</v>
      </c>
      <c r="G1215" s="17">
        <v>6.08</v>
      </c>
      <c r="H1215" s="1">
        <f>B1215*$E$1867/E1215</f>
        <v>853.63623002421309</v>
      </c>
      <c r="I1215" s="1">
        <f>C1215*$E$1867/E1215</f>
        <v>24.911247397094431</v>
      </c>
      <c r="J1215" s="26">
        <f t="shared" si="91"/>
        <v>135042.13498126875</v>
      </c>
      <c r="K1215" s="1">
        <f>D1215*$E$1867/E1215</f>
        <v>46.8471830407385</v>
      </c>
      <c r="L1215" s="26">
        <f t="shared" si="89"/>
        <v>7411.0533189297375</v>
      </c>
      <c r="M1215" s="10">
        <f t="shared" si="92"/>
        <v>17.464147605486176</v>
      </c>
      <c r="N1215" s="4">
        <f t="shared" si="93"/>
        <v>20.418898605460907</v>
      </c>
      <c r="O1215" s="36">
        <f>1/M1215-(G1215/100-(((E1215/E1095)^(1/10))-1))</f>
        <v>2.8599563798766707E-2</v>
      </c>
      <c r="P1215" s="48">
        <v>3.2</v>
      </c>
      <c r="R1215" s="30"/>
      <c r="S1215" s="30"/>
    </row>
    <row r="1216" spans="1:19" ht="13" x14ac:dyDescent="0.3">
      <c r="A1216" s="52" t="s">
        <v>1232</v>
      </c>
      <c r="B1216" s="6">
        <v>107.7</v>
      </c>
      <c r="C1216" s="1">
        <v>3.07</v>
      </c>
      <c r="D1216" s="6">
        <v>5.81</v>
      </c>
      <c r="E1216" s="6">
        <v>41.4</v>
      </c>
      <c r="F1216" s="1">
        <f t="shared" si="90"/>
        <v>1972.2083333332414</v>
      </c>
      <c r="G1216" s="17">
        <v>6.07</v>
      </c>
      <c r="H1216" s="1">
        <f>B1216*$E$1867/E1216</f>
        <v>871.811338768116</v>
      </c>
      <c r="I1216" s="1">
        <f>C1216*$E$1867/E1216</f>
        <v>24.851075301932365</v>
      </c>
      <c r="J1216" s="26">
        <f t="shared" si="91"/>
        <v>138244.98327610031</v>
      </c>
      <c r="K1216" s="1">
        <f>D1216*$E$1867/E1216</f>
        <v>47.030862379227052</v>
      </c>
      <c r="L1216" s="26">
        <f t="shared" si="89"/>
        <v>7457.784148877834</v>
      </c>
      <c r="M1216" s="10">
        <f t="shared" si="92"/>
        <v>17.805643849614945</v>
      </c>
      <c r="N1216" s="4">
        <f t="shared" si="93"/>
        <v>20.819715240429719</v>
      </c>
      <c r="O1216" s="36">
        <f>1/M1216-(G1216/100-(((E1216/E1096)^(1/10))-1))</f>
        <v>2.7851006076088446E-2</v>
      </c>
      <c r="P1216" s="48">
        <v>3.73</v>
      </c>
      <c r="R1216" s="30"/>
      <c r="S1216" s="30"/>
    </row>
    <row r="1217" spans="1:19" ht="13" x14ac:dyDescent="0.3">
      <c r="A1217" s="52" t="s">
        <v>1233</v>
      </c>
      <c r="B1217" s="6">
        <v>108.8</v>
      </c>
      <c r="C1217" s="1">
        <v>3.07</v>
      </c>
      <c r="D1217" s="6">
        <v>5.8633300000000004</v>
      </c>
      <c r="E1217" s="6">
        <v>41.5</v>
      </c>
      <c r="F1217" s="1">
        <f t="shared" si="90"/>
        <v>1972.2916666665747</v>
      </c>
      <c r="G1217" s="17">
        <v>6.19</v>
      </c>
      <c r="H1217" s="1">
        <f>B1217*$E$1867/E1217</f>
        <v>878.593426506024</v>
      </c>
      <c r="I1217" s="1">
        <f>C1217*$E$1867/E1217</f>
        <v>24.791193192771082</v>
      </c>
      <c r="J1217" s="26">
        <f t="shared" si="91"/>
        <v>139648.03275734084</v>
      </c>
      <c r="K1217" s="1">
        <f>D1217*$E$1867/E1217</f>
        <v>47.348191134518075</v>
      </c>
      <c r="L1217" s="26">
        <f t="shared" si="89"/>
        <v>7525.758271204958</v>
      </c>
      <c r="M1217" s="10">
        <f t="shared" si="92"/>
        <v>17.915161678498301</v>
      </c>
      <c r="N1217" s="4">
        <f t="shared" si="93"/>
        <v>20.948428276212113</v>
      </c>
      <c r="O1217" s="36">
        <f>1/M1217-(G1217/100-(((E1217/E1097)^(1/10))-1))</f>
        <v>2.6214335260434131E-2</v>
      </c>
      <c r="P1217" s="48">
        <v>3.71</v>
      </c>
      <c r="R1217" s="30"/>
      <c r="S1217" s="30"/>
    </row>
    <row r="1218" spans="1:19" ht="13" x14ac:dyDescent="0.3">
      <c r="A1218" s="52" t="s">
        <v>1234</v>
      </c>
      <c r="B1218" s="6">
        <v>107.7</v>
      </c>
      <c r="C1218" s="1">
        <v>3.07</v>
      </c>
      <c r="D1218" s="6">
        <v>5.9166699999999999</v>
      </c>
      <c r="E1218" s="6">
        <v>41.6</v>
      </c>
      <c r="F1218" s="1">
        <f t="shared" si="90"/>
        <v>1972.3749999999079</v>
      </c>
      <c r="G1218" s="17">
        <v>6.13</v>
      </c>
      <c r="H1218" s="1">
        <f>B1218*$E$1867/E1218</f>
        <v>867.61993810096146</v>
      </c>
      <c r="I1218" s="1">
        <f>C1218*$E$1867/E1218</f>
        <v>24.731598978365383</v>
      </c>
      <c r="J1218" s="26">
        <f t="shared" si="91"/>
        <v>138231.43197020236</v>
      </c>
      <c r="K1218" s="1">
        <f>D1218*$E$1867/E1218</f>
        <v>47.664074829747591</v>
      </c>
      <c r="L1218" s="26">
        <f t="shared" si="89"/>
        <v>7593.9625496298713</v>
      </c>
      <c r="M1218" s="10">
        <f t="shared" si="92"/>
        <v>17.66264620037256</v>
      </c>
      <c r="N1218" s="4">
        <f t="shared" si="93"/>
        <v>20.654075196229293</v>
      </c>
      <c r="O1218" s="36">
        <f>1/M1218-(G1218/100-(((E1218/E1098)^(1/10))-1))</f>
        <v>2.7860827719040623E-2</v>
      </c>
      <c r="P1218" s="48">
        <v>3.69</v>
      </c>
      <c r="R1218" s="30"/>
      <c r="S1218" s="30"/>
    </row>
    <row r="1219" spans="1:19" ht="13" x14ac:dyDescent="0.3">
      <c r="A1219" s="52" t="s">
        <v>1235</v>
      </c>
      <c r="B1219" s="6">
        <v>108</v>
      </c>
      <c r="C1219" s="1">
        <v>3.07</v>
      </c>
      <c r="D1219" s="6">
        <v>5.97</v>
      </c>
      <c r="E1219" s="6">
        <v>41.7</v>
      </c>
      <c r="F1219" s="1">
        <f t="shared" si="90"/>
        <v>1972.4583333332412</v>
      </c>
      <c r="G1219" s="17">
        <v>6.11</v>
      </c>
      <c r="H1219" s="1">
        <f>B1219*$E$1867/E1219</f>
        <v>867.95028776978415</v>
      </c>
      <c r="I1219" s="1">
        <f>C1219*$E$1867/E1219</f>
        <v>24.672290587529972</v>
      </c>
      <c r="J1219" s="26">
        <f t="shared" si="91"/>
        <v>138611.63517298477</v>
      </c>
      <c r="K1219" s="1">
        <f>D1219*$E$1867/E1219</f>
        <v>47.978363129496394</v>
      </c>
      <c r="L1219" s="26">
        <f t="shared" ref="L1219:L1282" si="94">K1219*(J1219/H1219)</f>
        <v>7662.1431665066566</v>
      </c>
      <c r="M1219" s="10">
        <f t="shared" si="92"/>
        <v>17.640857315740263</v>
      </c>
      <c r="N1219" s="4">
        <f t="shared" si="93"/>
        <v>20.629105958815561</v>
      </c>
      <c r="O1219" s="36">
        <f>1/M1219-(G1219/100-(((E1219/E1099)^(1/10))-1))</f>
        <v>2.837869672445413E-2</v>
      </c>
      <c r="P1219" s="48">
        <v>3.91</v>
      </c>
      <c r="R1219" s="30"/>
      <c r="S1219" s="30"/>
    </row>
    <row r="1220" spans="1:19" ht="13" x14ac:dyDescent="0.3">
      <c r="A1220" s="52" t="s">
        <v>1236</v>
      </c>
      <c r="B1220" s="6">
        <v>107.2</v>
      </c>
      <c r="C1220" s="1">
        <v>3.0733299999999999</v>
      </c>
      <c r="D1220" s="6">
        <v>6.0266700000000002</v>
      </c>
      <c r="E1220" s="6">
        <v>41.9</v>
      </c>
      <c r="F1220" s="1">
        <f t="shared" ref="F1220:F1283" si="95">F1219+1/12</f>
        <v>1972.5416666665744</v>
      </c>
      <c r="G1220" s="17">
        <v>6.11</v>
      </c>
      <c r="H1220" s="1">
        <f>B1220*$E$1867/E1220</f>
        <v>857.40875417661107</v>
      </c>
      <c r="I1220" s="1">
        <f>C1220*$E$1867/E1220</f>
        <v>24.581157149940335</v>
      </c>
      <c r="J1220" s="26">
        <f t="shared" ref="J1220:J1283" si="96">J1219*((H1220+(I1220/12))/H1219)</f>
        <v>137255.2867435267</v>
      </c>
      <c r="K1220" s="1">
        <f>D1220*$E$1867/E1220</f>
        <v>48.202608363186158</v>
      </c>
      <c r="L1220" s="26">
        <f t="shared" si="94"/>
        <v>7716.346258942257</v>
      </c>
      <c r="M1220" s="10">
        <f t="shared" si="92"/>
        <v>17.39869003113818</v>
      </c>
      <c r="N1220" s="4">
        <f t="shared" si="93"/>
        <v>20.346611167293169</v>
      </c>
      <c r="O1220" s="36">
        <f>1/M1220-(G1220/100-(((E1220/E1100)^(1/10))-1))</f>
        <v>2.9320452728723488E-2</v>
      </c>
      <c r="P1220" s="48">
        <v>3.98</v>
      </c>
      <c r="R1220" s="30"/>
      <c r="S1220" s="30"/>
    </row>
    <row r="1221" spans="1:19" ht="13" x14ac:dyDescent="0.3">
      <c r="A1221" s="52" t="s">
        <v>1237</v>
      </c>
      <c r="B1221" s="6">
        <v>111</v>
      </c>
      <c r="C1221" s="1">
        <v>3.07667</v>
      </c>
      <c r="D1221" s="6">
        <v>6.0833300000000001</v>
      </c>
      <c r="E1221" s="6">
        <v>42</v>
      </c>
      <c r="F1221" s="1">
        <f t="shared" si="95"/>
        <v>1972.6249999999077</v>
      </c>
      <c r="G1221" s="17">
        <v>6.21</v>
      </c>
      <c r="H1221" s="1">
        <f>B1221*$E$1867/E1221</f>
        <v>885.68816071428569</v>
      </c>
      <c r="I1221" s="1">
        <f>C1221*$E$1867/E1221</f>
        <v>24.549281021845239</v>
      </c>
      <c r="J1221" s="26">
        <f t="shared" si="96"/>
        <v>142109.78729551742</v>
      </c>
      <c r="K1221" s="1">
        <f>D1221*$E$1867/E1221</f>
        <v>48.539940168630949</v>
      </c>
      <c r="L1221" s="26">
        <f t="shared" si="94"/>
        <v>7788.2948860219813</v>
      </c>
      <c r="M1221" s="10">
        <f t="shared" si="92"/>
        <v>17.943404688029805</v>
      </c>
      <c r="N1221" s="4">
        <f t="shared" si="93"/>
        <v>20.982640900740641</v>
      </c>
      <c r="O1221" s="36">
        <f>1/M1221-(G1221/100-(((E1221/E1101)^(1/10))-1))</f>
        <v>2.6821906525101379E-2</v>
      </c>
      <c r="P1221" s="48">
        <v>4.0199999999999996</v>
      </c>
      <c r="R1221" s="30"/>
      <c r="S1221" s="30"/>
    </row>
    <row r="1222" spans="1:19" ht="13" x14ac:dyDescent="0.3">
      <c r="A1222" s="52" t="s">
        <v>1238</v>
      </c>
      <c r="B1222" s="6">
        <v>109.4</v>
      </c>
      <c r="C1222" s="1">
        <v>3.08</v>
      </c>
      <c r="D1222" s="6">
        <v>6.14</v>
      </c>
      <c r="E1222" s="6">
        <v>42.1</v>
      </c>
      <c r="F1222" s="1">
        <f t="shared" si="95"/>
        <v>1972.7083333332409</v>
      </c>
      <c r="G1222" s="17">
        <v>6.55</v>
      </c>
      <c r="H1222" s="1">
        <f>B1222*$E$1867/E1222</f>
        <v>870.84803681710207</v>
      </c>
      <c r="I1222" s="1">
        <f>C1222*$E$1867/E1222</f>
        <v>24.517476722090262</v>
      </c>
      <c r="J1222" s="26">
        <f t="shared" si="96"/>
        <v>140056.49230114679</v>
      </c>
      <c r="K1222" s="1">
        <f>D1222*$E$1867/E1222</f>
        <v>48.875749049881229</v>
      </c>
      <c r="L1222" s="26">
        <f t="shared" si="94"/>
        <v>7860.5746136109801</v>
      </c>
      <c r="M1222" s="10">
        <f t="shared" si="92"/>
        <v>17.61385455291212</v>
      </c>
      <c r="N1222" s="4">
        <f t="shared" si="93"/>
        <v>20.596901878448591</v>
      </c>
      <c r="O1222" s="36">
        <f>1/M1222-(G1222/100-(((E1222/E1102)^(1/10))-1))</f>
        <v>2.4369897516160734E-2</v>
      </c>
      <c r="P1222" s="48">
        <v>4.66</v>
      </c>
      <c r="R1222" s="30"/>
      <c r="S1222" s="30"/>
    </row>
    <row r="1223" spans="1:19" ht="13" x14ac:dyDescent="0.3">
      <c r="A1223" s="52" t="s">
        <v>1239</v>
      </c>
      <c r="B1223" s="6">
        <v>109.6</v>
      </c>
      <c r="C1223" s="1">
        <v>3.1033300000000001</v>
      </c>
      <c r="D1223" s="6">
        <v>6.2333299999999996</v>
      </c>
      <c r="E1223" s="6">
        <v>42.3</v>
      </c>
      <c r="F1223" s="1">
        <f t="shared" si="95"/>
        <v>1972.7916666665742</v>
      </c>
      <c r="G1223" s="17">
        <v>6.48</v>
      </c>
      <c r="H1223" s="1">
        <f>B1223*$E$1867/E1223</f>
        <v>868.31506855791963</v>
      </c>
      <c r="I1223" s="1">
        <f>C1223*$E$1867/E1223</f>
        <v>24.58638870171395</v>
      </c>
      <c r="J1223" s="26">
        <f t="shared" si="96"/>
        <v>139978.63520098096</v>
      </c>
      <c r="K1223" s="1">
        <f>D1223*$E$1867/E1223</f>
        <v>49.384072685165485</v>
      </c>
      <c r="L1223" s="26">
        <f t="shared" si="94"/>
        <v>7961.0677569099507</v>
      </c>
      <c r="M1223" s="10">
        <f t="shared" si="92"/>
        <v>17.533183854158562</v>
      </c>
      <c r="N1223" s="4">
        <f t="shared" si="93"/>
        <v>20.50238793845752</v>
      </c>
      <c r="O1223" s="36">
        <f>1/M1223-(G1223/100-(((E1223/E1103)^(1/10))-1))</f>
        <v>2.5820850137224745E-2</v>
      </c>
      <c r="P1223" s="48">
        <v>4.74</v>
      </c>
      <c r="R1223" s="30"/>
      <c r="S1223" s="30"/>
    </row>
    <row r="1224" spans="1:19" ht="13" x14ac:dyDescent="0.3">
      <c r="A1224" s="52" t="s">
        <v>1240</v>
      </c>
      <c r="B1224" s="6">
        <v>115.1</v>
      </c>
      <c r="C1224" s="1">
        <v>3.1266699999999998</v>
      </c>
      <c r="D1224" s="6">
        <v>6.32667</v>
      </c>
      <c r="E1224" s="6">
        <v>42.4</v>
      </c>
      <c r="F1224" s="1">
        <f t="shared" si="95"/>
        <v>1972.8749999999075</v>
      </c>
      <c r="G1224" s="17">
        <v>6.28</v>
      </c>
      <c r="H1224" s="1">
        <f>B1224*$E$1867/E1224</f>
        <v>909.73859139150932</v>
      </c>
      <c r="I1224" s="1">
        <f>C1224*$E$1867/E1224</f>
        <v>24.712878901356131</v>
      </c>
      <c r="J1224" s="26">
        <f t="shared" si="96"/>
        <v>146988.39621236068</v>
      </c>
      <c r="K1224" s="1">
        <f>D1224*$E$1867/E1224</f>
        <v>50.005350599469338</v>
      </c>
      <c r="L1224" s="26">
        <f t="shared" si="94"/>
        <v>8079.4706921360212</v>
      </c>
      <c r="M1224" s="10">
        <f t="shared" si="92"/>
        <v>18.33889471496806</v>
      </c>
      <c r="N1224" s="4">
        <f t="shared" si="93"/>
        <v>21.441895093127474</v>
      </c>
      <c r="O1224" s="36">
        <f>1/M1224-(G1224/100-(((E1224/E1104)^(1/10))-1))</f>
        <v>2.5559143714735617E-2</v>
      </c>
      <c r="P1224" s="48">
        <v>4.78</v>
      </c>
      <c r="R1224" s="30"/>
      <c r="S1224" s="30"/>
    </row>
    <row r="1225" spans="1:19" ht="13" x14ac:dyDescent="0.3">
      <c r="A1225" s="52" t="s">
        <v>1241</v>
      </c>
      <c r="B1225" s="6">
        <v>117.5</v>
      </c>
      <c r="C1225" s="1">
        <v>3.15</v>
      </c>
      <c r="D1225" s="6">
        <v>6.42</v>
      </c>
      <c r="E1225" s="6">
        <v>42.5</v>
      </c>
      <c r="F1225" s="1">
        <f t="shared" si="95"/>
        <v>1972.9583333332407</v>
      </c>
      <c r="G1225" s="17">
        <v>6.36</v>
      </c>
      <c r="H1225" s="1">
        <f>B1225*$E$1867/E1225</f>
        <v>926.52274999999997</v>
      </c>
      <c r="I1225" s="1">
        <f>C1225*$E$1867/E1225</f>
        <v>24.838694999999998</v>
      </c>
      <c r="J1225" s="26">
        <f t="shared" si="96"/>
        <v>150034.68508812276</v>
      </c>
      <c r="K1225" s="1">
        <f>D1225*$E$1867/E1225</f>
        <v>50.623626000000002</v>
      </c>
      <c r="L1225" s="26">
        <f t="shared" si="94"/>
        <v>8197.6398150276436</v>
      </c>
      <c r="M1225" s="10">
        <f t="shared" si="92"/>
        <v>18.645719442073684</v>
      </c>
      <c r="N1225" s="4">
        <f t="shared" si="93"/>
        <v>21.796816349100617</v>
      </c>
      <c r="O1225" s="36">
        <f>1/M1225-(G1225/100-(((E1225/E1105)^(1/10))-1))</f>
        <v>2.4105412407063515E-2</v>
      </c>
      <c r="P1225" s="48">
        <v>5.07</v>
      </c>
      <c r="R1225" s="30"/>
      <c r="S1225" s="30"/>
    </row>
    <row r="1226" spans="1:19" ht="13" x14ac:dyDescent="0.3">
      <c r="A1226" s="52" t="s">
        <v>1242</v>
      </c>
      <c r="B1226" s="6">
        <v>118.4</v>
      </c>
      <c r="C1226" s="1">
        <v>3.1566700000000001</v>
      </c>
      <c r="D1226" s="6">
        <v>6.5466699999999998</v>
      </c>
      <c r="E1226" s="6">
        <v>42.6</v>
      </c>
      <c r="F1226" s="1">
        <f t="shared" si="95"/>
        <v>1973.041666666574</v>
      </c>
      <c r="G1226" s="17">
        <v>6.46</v>
      </c>
      <c r="H1226" s="1">
        <f>B1226*$E$1867/E1226</f>
        <v>931.42792488262921</v>
      </c>
      <c r="I1226" s="1">
        <f>C1226*$E$1867/E1226</f>
        <v>24.83285969289906</v>
      </c>
      <c r="J1226" s="26">
        <f t="shared" si="96"/>
        <v>151164.10030482692</v>
      </c>
      <c r="K1226" s="1">
        <f>D1226*$E$1867/E1226</f>
        <v>51.501277474589202</v>
      </c>
      <c r="L1226" s="26">
        <f t="shared" si="94"/>
        <v>8358.2895316098075</v>
      </c>
      <c r="M1226" s="10">
        <f t="shared" si="92"/>
        <v>18.712530467302443</v>
      </c>
      <c r="N1226" s="4">
        <f t="shared" si="93"/>
        <v>21.870338532710889</v>
      </c>
      <c r="O1226" s="36">
        <f>1/M1226-(G1226/100-(((E1226/E1106)^(1/10))-1))</f>
        <v>2.3156980894173063E-2</v>
      </c>
      <c r="P1226" s="48">
        <v>5.41</v>
      </c>
      <c r="R1226" s="30"/>
      <c r="S1226" s="30"/>
    </row>
    <row r="1227" spans="1:19" ht="13" x14ac:dyDescent="0.3">
      <c r="A1227" s="52" t="s">
        <v>1243</v>
      </c>
      <c r="B1227" s="6">
        <v>114.2</v>
      </c>
      <c r="C1227" s="1">
        <v>3.1633300000000002</v>
      </c>
      <c r="D1227" s="6">
        <v>6.67333</v>
      </c>
      <c r="E1227" s="6">
        <v>42.9</v>
      </c>
      <c r="F1227" s="1">
        <f t="shared" si="95"/>
        <v>1973.1249999999072</v>
      </c>
      <c r="G1227" s="17">
        <v>6.64</v>
      </c>
      <c r="H1227" s="1">
        <f>B1227*$E$1867/E1227</f>
        <v>892.10497785547784</v>
      </c>
      <c r="I1227" s="1">
        <f>C1227*$E$1867/E1227</f>
        <v>24.711229768822843</v>
      </c>
      <c r="J1227" s="26">
        <f t="shared" si="96"/>
        <v>145116.47150794388</v>
      </c>
      <c r="K1227" s="1">
        <f>D1227*$E$1867/E1227</f>
        <v>52.130568405186473</v>
      </c>
      <c r="L1227" s="26">
        <f t="shared" si="94"/>
        <v>8479.9483608415667</v>
      </c>
      <c r="M1227" s="10">
        <f t="shared" si="92"/>
        <v>17.889889599193761</v>
      </c>
      <c r="N1227" s="4">
        <f t="shared" si="93"/>
        <v>20.905882678986917</v>
      </c>
      <c r="O1227" s="36">
        <f>1/M1227-(G1227/100-(((E1227/E1107)^(1/10))-1))</f>
        <v>2.4540442446005277E-2</v>
      </c>
      <c r="P1227" s="48">
        <v>5.6</v>
      </c>
      <c r="R1227" s="30"/>
      <c r="S1227" s="30"/>
    </row>
    <row r="1228" spans="1:19" ht="13" x14ac:dyDescent="0.3">
      <c r="A1228" s="52" t="s">
        <v>1244</v>
      </c>
      <c r="B1228" s="6">
        <v>112.4</v>
      </c>
      <c r="C1228" s="1">
        <v>3.17</v>
      </c>
      <c r="D1228" s="6">
        <v>6.8</v>
      </c>
      <c r="E1228" s="6">
        <v>43.3</v>
      </c>
      <c r="F1228" s="1">
        <f t="shared" si="95"/>
        <v>1973.2083333332405</v>
      </c>
      <c r="G1228" s="17">
        <v>6.71</v>
      </c>
      <c r="H1228" s="1">
        <f>B1228*$E$1867/E1228</f>
        <v>869.93251963048499</v>
      </c>
      <c r="I1228" s="1">
        <f>C1228*$E$1867/E1228</f>
        <v>24.53457372979215</v>
      </c>
      <c r="J1228" s="26">
        <f t="shared" si="96"/>
        <v>141842.31497856899</v>
      </c>
      <c r="K1228" s="1">
        <f>D1228*$E$1867/E1228</f>
        <v>52.629369515011547</v>
      </c>
      <c r="L1228" s="26">
        <f t="shared" si="94"/>
        <v>8581.2076677426085</v>
      </c>
      <c r="M1228" s="10">
        <f t="shared" si="92"/>
        <v>17.412142058290335</v>
      </c>
      <c r="N1228" s="4">
        <f t="shared" si="93"/>
        <v>20.3452544413237</v>
      </c>
      <c r="O1228" s="36">
        <f>1/M1228-(G1228/100-(((E1228/E1108)^(1/10))-1))</f>
        <v>2.5995009873511901E-2</v>
      </c>
      <c r="P1228" s="48">
        <v>6.09</v>
      </c>
      <c r="R1228" s="30"/>
      <c r="S1228" s="30"/>
    </row>
    <row r="1229" spans="1:19" ht="13" x14ac:dyDescent="0.3">
      <c r="A1229" s="52" t="s">
        <v>1245</v>
      </c>
      <c r="B1229" s="6">
        <v>110.3</v>
      </c>
      <c r="C1229" s="1">
        <v>3.1866699999999999</v>
      </c>
      <c r="D1229" s="6">
        <v>6.9433299999999996</v>
      </c>
      <c r="E1229" s="6">
        <v>43.6</v>
      </c>
      <c r="F1229" s="1">
        <f t="shared" si="95"/>
        <v>1973.2916666665737</v>
      </c>
      <c r="G1229" s="17">
        <v>6.67</v>
      </c>
      <c r="H1229" s="1">
        <f>B1229*$E$1867/E1229</f>
        <v>847.80539162844036</v>
      </c>
      <c r="I1229" s="1">
        <f>C1229*$E$1867/E1229</f>
        <v>24.493889459116971</v>
      </c>
      <c r="J1229" s="26">
        <f t="shared" si="96"/>
        <v>138567.3016910961</v>
      </c>
      <c r="K1229" s="1">
        <f>D1229*$E$1867/E1229</f>
        <v>53.368926653268339</v>
      </c>
      <c r="L1229" s="26">
        <f t="shared" si="94"/>
        <v>8722.742546245132</v>
      </c>
      <c r="M1229" s="10">
        <f t="shared" si="92"/>
        <v>16.935740066050833</v>
      </c>
      <c r="N1229" s="4">
        <f t="shared" si="93"/>
        <v>19.78732552295844</v>
      </c>
      <c r="O1229" s="36">
        <f>1/M1229-(G1229/100-(((E1229/E1109)^(1/10))-1))</f>
        <v>2.8725870505722922E-2</v>
      </c>
      <c r="P1229" s="48">
        <v>6.26</v>
      </c>
      <c r="R1229" s="30"/>
      <c r="S1229" s="30"/>
    </row>
    <row r="1230" spans="1:19" ht="13" x14ac:dyDescent="0.3">
      <c r="A1230" s="52" t="s">
        <v>1246</v>
      </c>
      <c r="B1230" s="6">
        <v>107.2</v>
      </c>
      <c r="C1230" s="1">
        <v>3.2033299999999998</v>
      </c>
      <c r="D1230" s="6">
        <v>7.0866699999999998</v>
      </c>
      <c r="E1230" s="6">
        <v>43.9</v>
      </c>
      <c r="F1230" s="1">
        <f t="shared" si="95"/>
        <v>1973.374999999907</v>
      </c>
      <c r="G1230" s="17">
        <v>6.85</v>
      </c>
      <c r="H1230" s="1">
        <f>B1230*$E$1867/E1230</f>
        <v>818.34685193621874</v>
      </c>
      <c r="I1230" s="1">
        <f>C1230*$E$1867/E1230</f>
        <v>24.453684899373574</v>
      </c>
      <c r="J1230" s="26">
        <f t="shared" si="96"/>
        <v>134085.59283823014</v>
      </c>
      <c r="K1230" s="1">
        <f>D1230*$E$1867/E1230</f>
        <v>54.098452287414581</v>
      </c>
      <c r="L1230" s="26">
        <f t="shared" si="94"/>
        <v>8863.9957854375043</v>
      </c>
      <c r="M1230" s="10">
        <f t="shared" si="92"/>
        <v>16.314338759668583</v>
      </c>
      <c r="N1230" s="4">
        <f t="shared" si="93"/>
        <v>19.061145729006842</v>
      </c>
      <c r="O1230" s="36">
        <f>1/M1230-(G1230/100-(((E1230/E1110)^(1/10))-1))</f>
        <v>2.9885823859598926E-2</v>
      </c>
      <c r="P1230" s="48">
        <v>6.36</v>
      </c>
      <c r="R1230" s="30"/>
      <c r="S1230" s="30"/>
    </row>
    <row r="1231" spans="1:19" ht="13" x14ac:dyDescent="0.3">
      <c r="A1231" s="52" t="s">
        <v>1247</v>
      </c>
      <c r="B1231" s="6">
        <v>104.8</v>
      </c>
      <c r="C1231" s="1">
        <v>3.22</v>
      </c>
      <c r="D1231" s="6">
        <v>7.23</v>
      </c>
      <c r="E1231" s="6">
        <v>44.2</v>
      </c>
      <c r="F1231" s="1">
        <f t="shared" si="95"/>
        <v>1973.4583333332403</v>
      </c>
      <c r="G1231" s="17">
        <v>6.9</v>
      </c>
      <c r="H1231" s="1">
        <f>B1231*$E$1867/E1231</f>
        <v>794.59561538461526</v>
      </c>
      <c r="I1231" s="1">
        <f>C1231*$E$1867/E1231</f>
        <v>24.414101923076924</v>
      </c>
      <c r="J1231" s="26">
        <f t="shared" si="96"/>
        <v>130527.32124559701</v>
      </c>
      <c r="K1231" s="1">
        <f>D1231*$E$1867/E1231</f>
        <v>54.817999038461537</v>
      </c>
      <c r="L1231" s="26">
        <f t="shared" si="94"/>
        <v>9004.8905782983438</v>
      </c>
      <c r="M1231" s="10">
        <f t="shared" si="92"/>
        <v>15.808323047681984</v>
      </c>
      <c r="N1231" s="4">
        <f t="shared" si="93"/>
        <v>18.470601678103698</v>
      </c>
      <c r="O1231" s="36">
        <f>1/M1231-(G1231/100-(((E1231/E1111)^(1/10))-1))</f>
        <v>3.1714766309810488E-2</v>
      </c>
      <c r="P1231" s="48">
        <v>7.19</v>
      </c>
      <c r="R1231" s="30"/>
      <c r="S1231" s="30"/>
    </row>
    <row r="1232" spans="1:19" ht="13" x14ac:dyDescent="0.3">
      <c r="A1232" s="52" t="s">
        <v>1248</v>
      </c>
      <c r="B1232" s="6">
        <v>105.8</v>
      </c>
      <c r="C1232" s="1">
        <v>3.2366700000000002</v>
      </c>
      <c r="D1232" s="6">
        <v>7.3833299999999999</v>
      </c>
      <c r="E1232" s="6">
        <v>44.3</v>
      </c>
      <c r="F1232" s="1">
        <f t="shared" si="95"/>
        <v>1973.5416666665735</v>
      </c>
      <c r="G1232" s="17">
        <v>7.13</v>
      </c>
      <c r="H1232" s="1">
        <f>B1232*$E$1867/E1232</f>
        <v>800.36684988713318</v>
      </c>
      <c r="I1232" s="1">
        <f>C1232*$E$1867/E1232</f>
        <v>24.485098034255081</v>
      </c>
      <c r="J1232" s="26">
        <f t="shared" si="96"/>
        <v>131810.53367242479</v>
      </c>
      <c r="K1232" s="1">
        <f>D1232*$E$1867/E1232</f>
        <v>55.854183116986462</v>
      </c>
      <c r="L1232" s="26">
        <f t="shared" si="94"/>
        <v>9198.4940224917227</v>
      </c>
      <c r="M1232" s="10">
        <f t="shared" si="92"/>
        <v>15.889518573988788</v>
      </c>
      <c r="N1232" s="4">
        <f t="shared" si="93"/>
        <v>18.565516582822433</v>
      </c>
      <c r="O1232" s="36">
        <f>1/M1232-(G1232/100-(((E1232/E1112)^(1/10))-1))</f>
        <v>2.8987491947744776E-2</v>
      </c>
      <c r="P1232" s="48">
        <v>8.01</v>
      </c>
      <c r="R1232" s="30"/>
      <c r="S1232" s="30"/>
    </row>
    <row r="1233" spans="1:19" ht="13" x14ac:dyDescent="0.3">
      <c r="A1233" s="52" t="s">
        <v>1249</v>
      </c>
      <c r="B1233" s="6">
        <v>103.8</v>
      </c>
      <c r="C1233" s="1">
        <v>3.2533300000000001</v>
      </c>
      <c r="D1233" s="6">
        <v>7.53667</v>
      </c>
      <c r="E1233" s="6">
        <v>45.1</v>
      </c>
      <c r="F1233" s="1">
        <f t="shared" si="95"/>
        <v>1973.6249999999068</v>
      </c>
      <c r="G1233" s="17">
        <v>7.4</v>
      </c>
      <c r="H1233" s="1">
        <f>B1233*$E$1867/E1233</f>
        <v>771.30822505543233</v>
      </c>
      <c r="I1233" s="1">
        <f>C1233*$E$1867/E1233</f>
        <v>24.174568283425717</v>
      </c>
      <c r="J1233" s="26">
        <f t="shared" si="96"/>
        <v>127356.70817337056</v>
      </c>
      <c r="K1233" s="1">
        <f>D1233*$E$1867/E1233</f>
        <v>56.002847403935696</v>
      </c>
      <c r="L1233" s="26">
        <f t="shared" si="94"/>
        <v>9247.0662985452473</v>
      </c>
      <c r="M1233" s="10">
        <f t="shared" si="92"/>
        <v>15.278501094706128</v>
      </c>
      <c r="N1233" s="4">
        <f t="shared" si="93"/>
        <v>17.852222658614011</v>
      </c>
      <c r="O1233" s="36">
        <f>1/M1233-(G1233/100-(((E1233/E1113)^(1/10))-1))</f>
        <v>3.0662641868366536E-2</v>
      </c>
      <c r="P1233" s="48">
        <v>8.67</v>
      </c>
      <c r="R1233" s="30"/>
      <c r="S1233" s="30"/>
    </row>
    <row r="1234" spans="1:19" ht="13" x14ac:dyDescent="0.3">
      <c r="A1234" s="52" t="s">
        <v>1250</v>
      </c>
      <c r="B1234" s="6">
        <v>105.6</v>
      </c>
      <c r="C1234" s="1">
        <v>3.27</v>
      </c>
      <c r="D1234" s="6">
        <v>7.69</v>
      </c>
      <c r="E1234" s="6">
        <v>45.2</v>
      </c>
      <c r="F1234" s="1">
        <f t="shared" si="95"/>
        <v>1973.70833333324</v>
      </c>
      <c r="G1234" s="17">
        <v>7.09</v>
      </c>
      <c r="H1234" s="1">
        <f>B1234*$E$1867/E1234</f>
        <v>782.94748672566368</v>
      </c>
      <c r="I1234" s="1">
        <f>C1234*$E$1867/E1234</f>
        <v>24.244680696902652</v>
      </c>
      <c r="J1234" s="26">
        <f t="shared" si="96"/>
        <v>129612.15965489313</v>
      </c>
      <c r="K1234" s="1">
        <f>D1234*$E$1867/E1234</f>
        <v>57.015778152654867</v>
      </c>
      <c r="L1234" s="26">
        <f t="shared" si="94"/>
        <v>9438.612762747427</v>
      </c>
      <c r="M1234" s="10">
        <f t="shared" si="92"/>
        <v>15.475308601805569</v>
      </c>
      <c r="N1234" s="4">
        <f t="shared" si="93"/>
        <v>18.082083727935416</v>
      </c>
      <c r="O1234" s="36">
        <f>1/M1234-(G1234/100-(((E1234/E1114)^(1/10))-1))</f>
        <v>3.3160456131076377E-2</v>
      </c>
      <c r="P1234" s="48">
        <v>8.2899999999999991</v>
      </c>
      <c r="R1234" s="30"/>
      <c r="S1234" s="30"/>
    </row>
    <row r="1235" spans="1:19" ht="13" x14ac:dyDescent="0.3">
      <c r="A1235" s="52" t="s">
        <v>1251</v>
      </c>
      <c r="B1235" s="6">
        <v>109.8</v>
      </c>
      <c r="C1235" s="1">
        <v>3.30667</v>
      </c>
      <c r="D1235" s="6">
        <v>7.8466699999999996</v>
      </c>
      <c r="E1235" s="6">
        <v>45.6</v>
      </c>
      <c r="F1235" s="1">
        <f t="shared" si="95"/>
        <v>1973.7916666665733</v>
      </c>
      <c r="G1235" s="17">
        <v>6.79</v>
      </c>
      <c r="H1235" s="1">
        <f>B1235*$E$1867/E1235</f>
        <v>806.9463256578947</v>
      </c>
      <c r="I1235" s="1">
        <f>C1235*$E$1867/E1235</f>
        <v>24.301504614418857</v>
      </c>
      <c r="J1235" s="26">
        <f t="shared" si="96"/>
        <v>133920.2675102285</v>
      </c>
      <c r="K1235" s="1">
        <f>D1235*$E$1867/E1235</f>
        <v>57.667044855646921</v>
      </c>
      <c r="L1235" s="26">
        <f t="shared" si="94"/>
        <v>9570.3838384743594</v>
      </c>
      <c r="M1235" s="10">
        <f t="shared" si="92"/>
        <v>15.913516308933387</v>
      </c>
      <c r="N1235" s="4">
        <f t="shared" si="93"/>
        <v>18.592078071081087</v>
      </c>
      <c r="O1235" s="36">
        <f>1/M1235-(G1235/100-(((E1235/E1115)^(1/10))-1))</f>
        <v>3.4958996134951806E-2</v>
      </c>
      <c r="P1235" s="48">
        <v>7.22</v>
      </c>
      <c r="R1235" s="30"/>
      <c r="S1235" s="30"/>
    </row>
    <row r="1236" spans="1:19" ht="13" x14ac:dyDescent="0.3">
      <c r="A1236" s="52" t="s">
        <v>1252</v>
      </c>
      <c r="B1236" s="6">
        <v>102</v>
      </c>
      <c r="C1236" s="1">
        <v>3.3433299999999999</v>
      </c>
      <c r="D1236" s="6">
        <v>8.0033300000000001</v>
      </c>
      <c r="E1236" s="6">
        <v>45.9</v>
      </c>
      <c r="F1236" s="1">
        <f t="shared" si="95"/>
        <v>1973.8749999999065</v>
      </c>
      <c r="G1236" s="17">
        <v>6.73</v>
      </c>
      <c r="H1236" s="1">
        <f>B1236*$E$1867/E1236</f>
        <v>744.72277777777776</v>
      </c>
      <c r="I1236" s="1">
        <f>C1236*$E$1867/E1236</f>
        <v>24.410333378703704</v>
      </c>
      <c r="J1236" s="26">
        <f t="shared" si="96"/>
        <v>123931.28304302132</v>
      </c>
      <c r="K1236" s="1">
        <f>D1236*$E$1867/E1236</f>
        <v>58.433942637962964</v>
      </c>
      <c r="L1236" s="26">
        <f t="shared" si="94"/>
        <v>9724.1466227127821</v>
      </c>
      <c r="M1236" s="10">
        <f t="shared" si="92"/>
        <v>14.651845159710568</v>
      </c>
      <c r="N1236" s="4">
        <f t="shared" si="93"/>
        <v>17.119742977139456</v>
      </c>
      <c r="O1236" s="36">
        <f>1/M1236-(G1236/100-(((E1236/E1116)^(1/10))-1))</f>
        <v>4.1652328760251142E-2</v>
      </c>
      <c r="P1236" s="48">
        <v>7.83</v>
      </c>
      <c r="R1236" s="30"/>
      <c r="S1236" s="30"/>
    </row>
    <row r="1237" spans="1:19" ht="13" x14ac:dyDescent="0.3">
      <c r="A1237" s="52" t="s">
        <v>1253</v>
      </c>
      <c r="B1237" s="6">
        <v>94.78</v>
      </c>
      <c r="C1237" s="1">
        <v>3.38</v>
      </c>
      <c r="D1237" s="6">
        <v>8.16</v>
      </c>
      <c r="E1237" s="6">
        <v>46.2</v>
      </c>
      <c r="F1237" s="1">
        <f t="shared" si="95"/>
        <v>1973.9583333332398</v>
      </c>
      <c r="G1237" s="17">
        <v>6.74</v>
      </c>
      <c r="H1237" s="1">
        <f>B1237*$E$1867/E1237</f>
        <v>687.51452803030293</v>
      </c>
      <c r="I1237" s="1">
        <f>C1237*$E$1867/E1237</f>
        <v>24.517821320346318</v>
      </c>
      <c r="J1237" s="26">
        <f t="shared" si="96"/>
        <v>114751.11348903905</v>
      </c>
      <c r="K1237" s="1">
        <f>D1237*$E$1867/E1237</f>
        <v>59.190953246753246</v>
      </c>
      <c r="L1237" s="26">
        <f t="shared" si="94"/>
        <v>9879.3952951103493</v>
      </c>
      <c r="M1237" s="10">
        <f t="shared" si="92"/>
        <v>13.493329686205886</v>
      </c>
      <c r="N1237" s="4">
        <f t="shared" si="93"/>
        <v>15.771102210645196</v>
      </c>
      <c r="O1237" s="36">
        <f>1/M1237-(G1237/100-(((E1237/E1117)^(1/10))-1))</f>
        <v>4.7752928053783478E-2</v>
      </c>
      <c r="P1237" s="48">
        <v>7.45</v>
      </c>
      <c r="R1237" s="30"/>
      <c r="S1237" s="30"/>
    </row>
    <row r="1238" spans="1:19" ht="13" x14ac:dyDescent="0.3">
      <c r="A1238" s="52" t="s">
        <v>1254</v>
      </c>
      <c r="B1238" s="6">
        <v>96.11</v>
      </c>
      <c r="C1238" s="1">
        <v>3.4</v>
      </c>
      <c r="D1238" s="6">
        <v>8.2266700000000004</v>
      </c>
      <c r="E1238" s="6">
        <v>46.6</v>
      </c>
      <c r="F1238" s="1">
        <f t="shared" si="95"/>
        <v>1974.0416666665731</v>
      </c>
      <c r="G1238" s="17">
        <v>6.99</v>
      </c>
      <c r="H1238" s="1">
        <f>B1238*$E$1867/E1238</f>
        <v>691.17784930257505</v>
      </c>
      <c r="I1238" s="1">
        <f>C1238*$E$1867/E1238</f>
        <v>24.451198497854072</v>
      </c>
      <c r="J1238" s="26">
        <f t="shared" si="96"/>
        <v>115702.63818105738</v>
      </c>
      <c r="K1238" s="1">
        <f>D1238*$E$1867/E1238</f>
        <v>59.162335631276825</v>
      </c>
      <c r="L1238" s="26">
        <f t="shared" si="94"/>
        <v>9903.7292939856361</v>
      </c>
      <c r="M1238" s="10">
        <f t="shared" si="92"/>
        <v>13.530721892513949</v>
      </c>
      <c r="N1238" s="4">
        <f t="shared" si="93"/>
        <v>15.819141518464622</v>
      </c>
      <c r="O1238" s="36">
        <f>1/M1238-(G1238/100-(((E1238/E1118)^(1/10))-1))</f>
        <v>4.5945965557319043E-2</v>
      </c>
      <c r="P1238" s="48">
        <v>7.77</v>
      </c>
      <c r="R1238" s="30"/>
      <c r="S1238" s="30"/>
    </row>
    <row r="1239" spans="1:19" ht="13" x14ac:dyDescent="0.3">
      <c r="A1239" s="52" t="s">
        <v>1255</v>
      </c>
      <c r="B1239" s="6">
        <v>93.45</v>
      </c>
      <c r="C1239" s="1">
        <v>3.42</v>
      </c>
      <c r="D1239" s="6">
        <v>8.2933299999999992</v>
      </c>
      <c r="E1239" s="6">
        <v>47.2</v>
      </c>
      <c r="F1239" s="1">
        <f t="shared" si="95"/>
        <v>1974.1249999999063</v>
      </c>
      <c r="G1239" s="17">
        <v>6.96</v>
      </c>
      <c r="H1239" s="1">
        <f>B1239*$E$1867/E1239</f>
        <v>663.50539433262713</v>
      </c>
      <c r="I1239" s="1">
        <f>C1239*$E$1867/E1239</f>
        <v>24.282380402542373</v>
      </c>
      <c r="J1239" s="26">
        <f t="shared" si="96"/>
        <v>111409.02823420151</v>
      </c>
      <c r="K1239" s="1">
        <f>D1239*$E$1867/E1239</f>
        <v>58.883565457256346</v>
      </c>
      <c r="L1239" s="26">
        <f t="shared" si="94"/>
        <v>9887.1250521728234</v>
      </c>
      <c r="M1239" s="10">
        <f t="shared" si="92"/>
        <v>12.957321280205386</v>
      </c>
      <c r="N1239" s="4">
        <f t="shared" si="93"/>
        <v>15.154292146338708</v>
      </c>
      <c r="O1239" s="36">
        <f>1/M1239-(G1239/100-(((E1239/E1119)^(1/10))-1))</f>
        <v>5.0850367922704157E-2</v>
      </c>
      <c r="P1239" s="48">
        <v>7.12</v>
      </c>
      <c r="R1239" s="30"/>
      <c r="S1239" s="30"/>
    </row>
    <row r="1240" spans="1:19" ht="13" x14ac:dyDescent="0.3">
      <c r="A1240" s="52" t="s">
        <v>1256</v>
      </c>
      <c r="B1240" s="6">
        <v>97.44</v>
      </c>
      <c r="C1240" s="1">
        <v>3.44</v>
      </c>
      <c r="D1240" s="6">
        <v>8.36</v>
      </c>
      <c r="E1240" s="6">
        <v>47.8</v>
      </c>
      <c r="F1240" s="1">
        <f t="shared" si="95"/>
        <v>1974.2083333332396</v>
      </c>
      <c r="G1240" s="17">
        <v>7.21</v>
      </c>
      <c r="H1240" s="1">
        <f>B1240*$E$1867/E1240</f>
        <v>683.15071882845189</v>
      </c>
      <c r="I1240" s="1">
        <f>C1240*$E$1867/E1240</f>
        <v>24.117800418410045</v>
      </c>
      <c r="J1240" s="26">
        <f t="shared" si="96"/>
        <v>115045.13768814021</v>
      </c>
      <c r="K1240" s="1">
        <f>D1240*$E$1867/E1240</f>
        <v>58.611863807531385</v>
      </c>
      <c r="L1240" s="26">
        <f t="shared" si="94"/>
        <v>9870.4572154438847</v>
      </c>
      <c r="M1240" s="10">
        <f t="shared" si="92"/>
        <v>13.310364239140155</v>
      </c>
      <c r="N1240" s="4">
        <f t="shared" si="93"/>
        <v>15.571122142264294</v>
      </c>
      <c r="O1240" s="36">
        <f>1/M1240-(G1240/100-(((E1240/E1120)^(1/10))-1))</f>
        <v>4.7622016397860858E-2</v>
      </c>
      <c r="P1240" s="48">
        <v>7.96</v>
      </c>
      <c r="R1240" s="30"/>
      <c r="S1240" s="30"/>
    </row>
    <row r="1241" spans="1:19" ht="13" x14ac:dyDescent="0.3">
      <c r="A1241" s="52" t="s">
        <v>1257</v>
      </c>
      <c r="B1241" s="6">
        <v>92.46</v>
      </c>
      <c r="C1241" s="1">
        <v>3.46</v>
      </c>
      <c r="D1241" s="6">
        <v>8.4866700000000002</v>
      </c>
      <c r="E1241" s="6">
        <v>48</v>
      </c>
      <c r="F1241" s="1">
        <f t="shared" si="95"/>
        <v>1974.2916666665728</v>
      </c>
      <c r="G1241" s="17">
        <v>7.51</v>
      </c>
      <c r="H1241" s="1">
        <f>B1241*$E$1867/E1241</f>
        <v>645.53501281249999</v>
      </c>
      <c r="I1241" s="1">
        <f>C1241*$E$1867/E1241</f>
        <v>24.156945104166667</v>
      </c>
      <c r="J1241" s="26">
        <f t="shared" si="96"/>
        <v>109049.52201800453</v>
      </c>
      <c r="K1241" s="1">
        <f>D1241*$E$1867/E1241</f>
        <v>59.25202927953125</v>
      </c>
      <c r="L1241" s="26">
        <f t="shared" si="94"/>
        <v>10009.380348524102</v>
      </c>
      <c r="M1241" s="10">
        <f t="shared" si="92"/>
        <v>12.550411048540905</v>
      </c>
      <c r="N1241" s="4">
        <f t="shared" si="93"/>
        <v>14.688309996556281</v>
      </c>
      <c r="O1241" s="36">
        <f>1/M1241-(G1241/100-(((E1241/E1121)^(1/10))-1))</f>
        <v>4.9607504754646911E-2</v>
      </c>
      <c r="P1241" s="48">
        <v>8.33</v>
      </c>
      <c r="R1241" s="30"/>
      <c r="S1241" s="30"/>
    </row>
    <row r="1242" spans="1:19" ht="13" x14ac:dyDescent="0.3">
      <c r="A1242" s="52" t="s">
        <v>1258</v>
      </c>
      <c r="B1242" s="6">
        <v>89.67</v>
      </c>
      <c r="C1242" s="1">
        <v>3.48</v>
      </c>
      <c r="D1242" s="6">
        <v>8.6133299999999995</v>
      </c>
      <c r="E1242" s="6">
        <v>48.6</v>
      </c>
      <c r="F1242" s="1">
        <f t="shared" si="95"/>
        <v>1974.3749999999061</v>
      </c>
      <c r="G1242" s="17">
        <v>7.58</v>
      </c>
      <c r="H1242" s="1">
        <f>B1242*$E$1867/E1242</f>
        <v>618.32677299382715</v>
      </c>
      <c r="I1242" s="1">
        <f>C1242*$E$1867/E1242</f>
        <v>23.996622839506173</v>
      </c>
      <c r="J1242" s="26">
        <f t="shared" si="96"/>
        <v>104791.07415941963</v>
      </c>
      <c r="K1242" s="1">
        <f>D1242*$E$1867/E1242</f>
        <v>59.393917069598757</v>
      </c>
      <c r="L1242" s="26">
        <f t="shared" si="94"/>
        <v>10065.797956836777</v>
      </c>
      <c r="M1242" s="10">
        <f t="shared" si="92"/>
        <v>11.995436947329656</v>
      </c>
      <c r="N1242" s="4">
        <f t="shared" si="93"/>
        <v>14.045930080444691</v>
      </c>
      <c r="O1242" s="36">
        <f>1/M1242-(G1242/100-(((E1242/E1122)^(1/10))-1))</f>
        <v>5.3892868651376061E-2</v>
      </c>
      <c r="P1242" s="48">
        <v>8.23</v>
      </c>
      <c r="R1242" s="30"/>
      <c r="S1242" s="30"/>
    </row>
    <row r="1243" spans="1:19" ht="13" x14ac:dyDescent="0.3">
      <c r="A1243" s="52" t="s">
        <v>1259</v>
      </c>
      <c r="B1243" s="6">
        <v>89.79</v>
      </c>
      <c r="C1243" s="1">
        <v>3.5</v>
      </c>
      <c r="D1243" s="6">
        <v>8.74</v>
      </c>
      <c r="E1243" s="6">
        <v>49</v>
      </c>
      <c r="F1243" s="1">
        <f t="shared" si="95"/>
        <v>1974.4583333332394</v>
      </c>
      <c r="G1243" s="17">
        <v>7.54</v>
      </c>
      <c r="H1243" s="1">
        <f>B1243*$E$1867/E1243</f>
        <v>614.09992239795918</v>
      </c>
      <c r="I1243" s="1">
        <f>C1243*$E$1867/E1243</f>
        <v>23.937517857142858</v>
      </c>
      <c r="J1243" s="26">
        <f t="shared" si="96"/>
        <v>104412.79570366631</v>
      </c>
      <c r="K1243" s="1">
        <f>D1243*$E$1867/E1243</f>
        <v>59.77540173469388</v>
      </c>
      <c r="L1243" s="26">
        <f t="shared" si="94"/>
        <v>10163.357104911945</v>
      </c>
      <c r="M1243" s="10">
        <f t="shared" si="92"/>
        <v>11.888498820078995</v>
      </c>
      <c r="N1243" s="4">
        <f t="shared" si="93"/>
        <v>13.927722593419709</v>
      </c>
      <c r="O1243" s="36">
        <f>1/M1243-(G1243/100-(((E1243/E1123)^(1/10))-1))</f>
        <v>5.5562453619213123E-2</v>
      </c>
      <c r="P1243" s="48">
        <v>7.9</v>
      </c>
      <c r="R1243" s="30"/>
      <c r="S1243" s="30"/>
    </row>
    <row r="1244" spans="1:19" ht="13" x14ac:dyDescent="0.3">
      <c r="A1244" s="52" t="s">
        <v>1260</v>
      </c>
      <c r="B1244" s="6">
        <v>79.31</v>
      </c>
      <c r="C1244" s="1">
        <v>3.53</v>
      </c>
      <c r="D1244" s="6">
        <v>8.8633299999999995</v>
      </c>
      <c r="E1244" s="6">
        <v>49.4</v>
      </c>
      <c r="F1244" s="1">
        <f t="shared" si="95"/>
        <v>1974.5416666665726</v>
      </c>
      <c r="G1244" s="17">
        <v>7.81</v>
      </c>
      <c r="H1244" s="1">
        <f>B1244*$E$1867/E1244</f>
        <v>538.03205622469636</v>
      </c>
      <c r="I1244" s="1">
        <f>C1244*$E$1867/E1244</f>
        <v>23.94720915991903</v>
      </c>
      <c r="J1244" s="26">
        <f t="shared" si="96"/>
        <v>91818.603726968024</v>
      </c>
      <c r="K1244" s="1">
        <f>D1244*$E$1867/E1244</f>
        <v>60.128050244585019</v>
      </c>
      <c r="L1244" s="26">
        <f t="shared" si="94"/>
        <v>10261.235468053808</v>
      </c>
      <c r="M1244" s="10">
        <f t="shared" si="92"/>
        <v>10.394141805327047</v>
      </c>
      <c r="N1244" s="4">
        <f t="shared" si="93"/>
        <v>12.188506545695974</v>
      </c>
      <c r="O1244" s="36">
        <f>1/M1244-(G1244/100-(((E1244/E1124)^(1/10))-1))</f>
        <v>6.5469660475618779E-2</v>
      </c>
      <c r="P1244" s="48">
        <v>7.55</v>
      </c>
      <c r="R1244" s="30"/>
      <c r="S1244" s="30"/>
    </row>
    <row r="1245" spans="1:19" ht="13" x14ac:dyDescent="0.3">
      <c r="A1245" s="52" t="s">
        <v>1261</v>
      </c>
      <c r="B1245" s="6">
        <v>76.03</v>
      </c>
      <c r="C1245" s="1">
        <v>3.56</v>
      </c>
      <c r="D1245" s="6">
        <v>8.9866700000000002</v>
      </c>
      <c r="E1245" s="6">
        <v>50</v>
      </c>
      <c r="F1245" s="1">
        <f t="shared" si="95"/>
        <v>1974.6249999999059</v>
      </c>
      <c r="G1245" s="17">
        <v>8.0399999999999991</v>
      </c>
      <c r="H1245" s="1">
        <f>B1245*$E$1867/E1245</f>
        <v>509.59145514999994</v>
      </c>
      <c r="I1245" s="1">
        <f>C1245*$E$1867/E1245</f>
        <v>23.860917800000003</v>
      </c>
      <c r="J1245" s="26">
        <f t="shared" si="96"/>
        <v>87304.368489994216</v>
      </c>
      <c r="K1245" s="1">
        <f>D1245*$E$1867/E1245</f>
        <v>60.233200608349996</v>
      </c>
      <c r="L1245" s="26">
        <f t="shared" si="94"/>
        <v>10319.28908559748</v>
      </c>
      <c r="M1245" s="10">
        <f t="shared" si="92"/>
        <v>9.8241957231411945</v>
      </c>
      <c r="N1245" s="4">
        <f t="shared" si="93"/>
        <v>11.532942434954476</v>
      </c>
      <c r="O1245" s="36">
        <f>1/M1245-(G1245/100-(((E1245/E1125)^(1/10))-1))</f>
        <v>7.0354100557487823E-2</v>
      </c>
      <c r="P1245" s="48">
        <v>8.9600000000000009</v>
      </c>
      <c r="R1245" s="30"/>
      <c r="S1245" s="30"/>
    </row>
    <row r="1246" spans="1:19" ht="13" x14ac:dyDescent="0.3">
      <c r="A1246" s="52" t="s">
        <v>1262</v>
      </c>
      <c r="B1246" s="6">
        <v>68.12</v>
      </c>
      <c r="C1246" s="1">
        <v>3.59</v>
      </c>
      <c r="D1246" s="6">
        <v>9.11</v>
      </c>
      <c r="E1246" s="6">
        <v>50.6</v>
      </c>
      <c r="F1246" s="1">
        <f t="shared" si="95"/>
        <v>1974.7083333332391</v>
      </c>
      <c r="G1246" s="17">
        <v>8.0399999999999991</v>
      </c>
      <c r="H1246" s="1">
        <f>B1246*$E$1867/E1246</f>
        <v>451.16071205533603</v>
      </c>
      <c r="I1246" s="1">
        <f>C1246*$E$1867/E1246</f>
        <v>23.776672875494068</v>
      </c>
      <c r="J1246" s="26">
        <f t="shared" si="96"/>
        <v>77633.336674947292</v>
      </c>
      <c r="K1246" s="1">
        <f>D1246*$E$1867/E1246</f>
        <v>60.33579105731225</v>
      </c>
      <c r="L1246" s="26">
        <f t="shared" si="94"/>
        <v>10382.262141937312</v>
      </c>
      <c r="M1246" s="10">
        <f t="shared" si="92"/>
        <v>8.680421305646334</v>
      </c>
      <c r="N1246" s="4">
        <f t="shared" si="93"/>
        <v>10.20622264507746</v>
      </c>
      <c r="O1246" s="36">
        <f>1/M1246-(G1246/100-(((E1246/E1126)^(1/10))-1))</f>
        <v>8.4680210820316584E-2</v>
      </c>
      <c r="P1246" s="48">
        <v>8.06</v>
      </c>
      <c r="R1246" s="30"/>
      <c r="S1246" s="30"/>
    </row>
    <row r="1247" spans="1:19" ht="13" x14ac:dyDescent="0.3">
      <c r="A1247" s="52" t="s">
        <v>1263</v>
      </c>
      <c r="B1247" s="6">
        <v>69.44</v>
      </c>
      <c r="C1247" s="1">
        <v>3.5933299999999999</v>
      </c>
      <c r="D1247" s="6">
        <v>9.0366700000000009</v>
      </c>
      <c r="E1247" s="6">
        <v>51.1</v>
      </c>
      <c r="F1247" s="1">
        <f t="shared" si="95"/>
        <v>1974.7916666665724</v>
      </c>
      <c r="G1247" s="17">
        <v>7.9</v>
      </c>
      <c r="H1247" s="1">
        <f>B1247*$E$1867/E1247</f>
        <v>455.40307945205478</v>
      </c>
      <c r="I1247" s="1">
        <f>C1247*$E$1867/E1247</f>
        <v>23.565863299070447</v>
      </c>
      <c r="J1247" s="26">
        <f t="shared" si="96"/>
        <v>78701.264740257728</v>
      </c>
      <c r="K1247" s="1">
        <f>D1247*$E$1867/E1247</f>
        <v>59.264506710714294</v>
      </c>
      <c r="L1247" s="26">
        <f t="shared" si="94"/>
        <v>10241.897437216949</v>
      </c>
      <c r="M1247" s="10">
        <f t="shared" si="92"/>
        <v>8.7449838338095827</v>
      </c>
      <c r="N1247" s="4">
        <f t="shared" si="93"/>
        <v>10.297190694389551</v>
      </c>
      <c r="O1247" s="36">
        <f>1/M1247-(G1247/100-(((E1247/E1127)^(1/10))-1))</f>
        <v>8.626254316371855E-2</v>
      </c>
      <c r="P1247" s="48">
        <v>7.46</v>
      </c>
      <c r="R1247" s="30"/>
      <c r="S1247" s="30"/>
    </row>
    <row r="1248" spans="1:19" ht="13" x14ac:dyDescent="0.3">
      <c r="A1248" s="52" t="s">
        <v>1264</v>
      </c>
      <c r="B1248" s="6">
        <v>71.739999999999995</v>
      </c>
      <c r="C1248" s="1">
        <v>3.59667</v>
      </c>
      <c r="D1248" s="6">
        <v>8.9633299999999991</v>
      </c>
      <c r="E1248" s="6">
        <v>51.5</v>
      </c>
      <c r="F1248" s="1">
        <f t="shared" si="95"/>
        <v>1974.8749999999056</v>
      </c>
      <c r="G1248" s="17">
        <v>7.68</v>
      </c>
      <c r="H1248" s="1">
        <f>B1248*$E$1867/E1248</f>
        <v>466.83272689320381</v>
      </c>
      <c r="I1248" s="1">
        <f>C1248*$E$1867/E1248</f>
        <v>23.404561804223302</v>
      </c>
      <c r="J1248" s="26">
        <f t="shared" si="96"/>
        <v>81013.55717134467</v>
      </c>
      <c r="K1248" s="1">
        <f>D1248*$E$1867/E1248</f>
        <v>58.326955477330088</v>
      </c>
      <c r="L1248" s="26">
        <f t="shared" si="94"/>
        <v>10121.985606365051</v>
      </c>
      <c r="M1248" s="10">
        <f t="shared" si="92"/>
        <v>8.9489845127556027</v>
      </c>
      <c r="N1248" s="4">
        <f t="shared" si="93"/>
        <v>10.551515010335226</v>
      </c>
      <c r="O1248" s="36">
        <f>1/M1248-(G1248/100-(((E1248/E1128)^(1/10))-1))</f>
        <v>8.6337963625103598E-2</v>
      </c>
      <c r="P1248" s="48">
        <v>7.47</v>
      </c>
      <c r="R1248" s="30"/>
      <c r="S1248" s="30"/>
    </row>
    <row r="1249" spans="1:19" ht="13" x14ac:dyDescent="0.3">
      <c r="A1249" s="52" t="s">
        <v>1265</v>
      </c>
      <c r="B1249" s="6">
        <v>67.069999999999993</v>
      </c>
      <c r="C1249" s="1">
        <v>3.6</v>
      </c>
      <c r="D1249" s="6">
        <v>8.89</v>
      </c>
      <c r="E1249" s="6">
        <v>51.9</v>
      </c>
      <c r="F1249" s="1">
        <f t="shared" si="95"/>
        <v>1974.9583333332389</v>
      </c>
      <c r="G1249" s="17">
        <v>7.43</v>
      </c>
      <c r="H1249" s="1">
        <f>B1249*$E$1867/E1249</f>
        <v>433.07997143545276</v>
      </c>
      <c r="I1249" s="1">
        <f>C1249*$E$1867/E1249</f>
        <v>23.245682080924858</v>
      </c>
      <c r="J1249" s="26">
        <f t="shared" si="96"/>
        <v>75492.315794518305</v>
      </c>
      <c r="K1249" s="1">
        <f>D1249*$E$1867/E1249</f>
        <v>57.403920472061664</v>
      </c>
      <c r="L1249" s="26">
        <f t="shared" si="94"/>
        <v>10006.361822174858</v>
      </c>
      <c r="M1249" s="10">
        <f t="shared" si="92"/>
        <v>8.2890600559230823</v>
      </c>
      <c r="N1249" s="4">
        <f t="shared" si="93"/>
        <v>9.7894832311996236</v>
      </c>
      <c r="O1249" s="36">
        <f>1/M1249-(G1249/100-(((E1249/E1129)^(1/10))-1))</f>
        <v>9.8548157675612313E-2</v>
      </c>
      <c r="P1249" s="48">
        <v>7.15</v>
      </c>
      <c r="R1249" s="30"/>
      <c r="S1249" s="30"/>
    </row>
    <row r="1250" spans="1:19" ht="13" x14ac:dyDescent="0.3">
      <c r="A1250" s="52" t="s">
        <v>1266</v>
      </c>
      <c r="B1250" s="6">
        <v>72.56</v>
      </c>
      <c r="C1250" s="1">
        <v>3.6233300000000002</v>
      </c>
      <c r="D1250" s="6">
        <v>8.7433300000000003</v>
      </c>
      <c r="E1250" s="6">
        <v>52.1</v>
      </c>
      <c r="F1250" s="1">
        <f t="shared" si="95"/>
        <v>1975.0416666665722</v>
      </c>
      <c r="G1250" s="17">
        <v>7.5</v>
      </c>
      <c r="H1250" s="1">
        <f>B1250*$E$1867/E1250</f>
        <v>466.73105834932824</v>
      </c>
      <c r="I1250" s="1">
        <f>C1250*$E$1867/E1250</f>
        <v>23.306513859548943</v>
      </c>
      <c r="J1250" s="26">
        <f t="shared" si="96"/>
        <v>81696.759660288444</v>
      </c>
      <c r="K1250" s="1">
        <f>D1250*$E$1867/E1250</f>
        <v>56.24012767912668</v>
      </c>
      <c r="L1250" s="26">
        <f t="shared" si="94"/>
        <v>9844.2906510555367</v>
      </c>
      <c r="M1250" s="10">
        <f t="shared" si="92"/>
        <v>8.9209955084042498</v>
      </c>
      <c r="N1250" s="4">
        <f t="shared" si="93"/>
        <v>10.549889518230218</v>
      </c>
      <c r="O1250" s="36">
        <f>1/M1250-(G1250/100-(((E1250/E1130)^(1/10))-1))</f>
        <v>8.9707103762060508E-2</v>
      </c>
      <c r="P1250" s="48">
        <v>6.26</v>
      </c>
      <c r="R1250" s="30"/>
      <c r="S1250" s="30"/>
    </row>
    <row r="1251" spans="1:19" ht="13" x14ac:dyDescent="0.3">
      <c r="A1251" s="52" t="s">
        <v>1267</v>
      </c>
      <c r="B1251" s="6">
        <v>80.099999999999994</v>
      </c>
      <c r="C1251" s="1">
        <v>3.6466699999999999</v>
      </c>
      <c r="D1251" s="6">
        <v>8.5966699999999996</v>
      </c>
      <c r="E1251" s="6">
        <v>52.5</v>
      </c>
      <c r="F1251" s="1">
        <f t="shared" si="95"/>
        <v>1975.1249999999054</v>
      </c>
      <c r="G1251" s="17">
        <v>7.39</v>
      </c>
      <c r="H1251" s="1">
        <f>B1251*$E$1867/E1251</f>
        <v>511.30538142857142</v>
      </c>
      <c r="I1251" s="1">
        <f>C1251*$E$1867/E1251</f>
        <v>23.277927531761904</v>
      </c>
      <c r="J1251" s="26">
        <f t="shared" si="96"/>
        <v>89838.612009498931</v>
      </c>
      <c r="K1251" s="1">
        <f>D1251*$E$1867/E1251</f>
        <v>54.875451103190471</v>
      </c>
      <c r="L1251" s="26">
        <f t="shared" si="94"/>
        <v>9641.8589351273295</v>
      </c>
      <c r="M1251" s="10">
        <f t="shared" si="92"/>
        <v>9.7622467161664694</v>
      </c>
      <c r="N1251" s="4">
        <f t="shared" si="93"/>
        <v>11.556048733542458</v>
      </c>
      <c r="O1251" s="36">
        <f>1/M1251-(G1251/100-(((E1251/E1131)^(1/10))-1))</f>
        <v>8.1952795686783569E-2</v>
      </c>
      <c r="P1251" s="48">
        <v>5.5</v>
      </c>
      <c r="R1251" s="30"/>
      <c r="S1251" s="30"/>
    </row>
    <row r="1252" spans="1:19" ht="13" x14ac:dyDescent="0.3">
      <c r="A1252" s="52" t="s">
        <v>1268</v>
      </c>
      <c r="B1252" s="6">
        <v>83.78</v>
      </c>
      <c r="C1252" s="1">
        <v>3.67</v>
      </c>
      <c r="D1252" s="6">
        <v>8.4499999999999993</v>
      </c>
      <c r="E1252" s="6">
        <v>52.7</v>
      </c>
      <c r="F1252" s="1">
        <f t="shared" si="95"/>
        <v>1975.2083333332387</v>
      </c>
      <c r="G1252" s="17">
        <v>7.73</v>
      </c>
      <c r="H1252" s="1">
        <f>B1252*$E$1867/E1252</f>
        <v>532.76647903225808</v>
      </c>
      <c r="I1252" s="1">
        <f>C1252*$E$1867/E1252</f>
        <v>23.337944354838704</v>
      </c>
      <c r="J1252" s="26">
        <f t="shared" si="96"/>
        <v>93951.136555410601</v>
      </c>
      <c r="K1252" s="1">
        <f>D1252*$E$1867/E1252</f>
        <v>53.734504032258059</v>
      </c>
      <c r="L1252" s="26">
        <f t="shared" si="94"/>
        <v>9475.8546657104253</v>
      </c>
      <c r="M1252" s="10">
        <f t="shared" si="92"/>
        <v>10.163796767444037</v>
      </c>
      <c r="N1252" s="4">
        <f t="shared" si="93"/>
        <v>12.041659481362906</v>
      </c>
      <c r="O1252" s="36">
        <f>1/M1252-(G1252/100-(((E1252/E1132)^(1/10))-1))</f>
        <v>7.4569236357281576E-2</v>
      </c>
      <c r="P1252" s="48">
        <v>5.49</v>
      </c>
      <c r="R1252" s="30"/>
      <c r="S1252" s="30"/>
    </row>
    <row r="1253" spans="1:19" ht="13" x14ac:dyDescent="0.3">
      <c r="A1253" s="52" t="s">
        <v>1269</v>
      </c>
      <c r="B1253" s="6">
        <v>84.72</v>
      </c>
      <c r="C1253" s="1">
        <v>3.6833300000000002</v>
      </c>
      <c r="D1253" s="6">
        <v>8.2866700000000009</v>
      </c>
      <c r="E1253" s="6">
        <v>52.9</v>
      </c>
      <c r="F1253" s="1">
        <f t="shared" si="95"/>
        <v>1975.2916666665719</v>
      </c>
      <c r="G1253" s="17">
        <v>8.23</v>
      </c>
      <c r="H1253" s="1">
        <f>B1253*$E$1867/E1253</f>
        <v>536.70720567107753</v>
      </c>
      <c r="I1253" s="1">
        <f>C1253*$E$1867/E1253</f>
        <v>23.334156655623822</v>
      </c>
      <c r="J1253" s="26">
        <f t="shared" si="96"/>
        <v>94988.973919175405</v>
      </c>
      <c r="K1253" s="1">
        <f>D1253*$E$1867/E1253</f>
        <v>52.496641879347827</v>
      </c>
      <c r="L1253" s="26">
        <f t="shared" si="94"/>
        <v>9291.1034054156426</v>
      </c>
      <c r="M1253" s="10">
        <f t="shared" si="92"/>
        <v>10.233076136605916</v>
      </c>
      <c r="N1253" s="4">
        <f t="shared" si="93"/>
        <v>12.133964603730423</v>
      </c>
      <c r="O1253" s="36">
        <f>1/M1253-(G1253/100-(((E1253/E1133)^(1/10))-1))</f>
        <v>6.8966142111467663E-2</v>
      </c>
      <c r="P1253" s="48">
        <v>5.61</v>
      </c>
      <c r="R1253" s="30"/>
      <c r="S1253" s="30"/>
    </row>
    <row r="1254" spans="1:19" ht="13" x14ac:dyDescent="0.3">
      <c r="A1254" s="52" t="s">
        <v>1270</v>
      </c>
      <c r="B1254" s="6">
        <v>90.1</v>
      </c>
      <c r="C1254" s="1">
        <v>3.6966700000000001</v>
      </c>
      <c r="D1254" s="6">
        <v>8.1233299999999993</v>
      </c>
      <c r="E1254" s="6">
        <v>53.2</v>
      </c>
      <c r="F1254" s="1">
        <f t="shared" si="95"/>
        <v>1975.3749999999052</v>
      </c>
      <c r="G1254" s="17">
        <v>8.06</v>
      </c>
      <c r="H1254" s="1">
        <f>B1254*$E$1867/E1254</f>
        <v>567.57114708646611</v>
      </c>
      <c r="I1254" s="1">
        <f>C1254*$E$1867/E1254</f>
        <v>23.286606351832702</v>
      </c>
      <c r="J1254" s="26">
        <f t="shared" si="96"/>
        <v>100794.86770417026</v>
      </c>
      <c r="K1254" s="1">
        <f>D1254*$E$1867/E1254</f>
        <v>51.171672877490593</v>
      </c>
      <c r="L1254" s="26">
        <f t="shared" si="94"/>
        <v>9087.569064010182</v>
      </c>
      <c r="M1254" s="10">
        <f t="shared" si="92"/>
        <v>10.818139119335809</v>
      </c>
      <c r="N1254" s="4">
        <f t="shared" si="93"/>
        <v>12.836132514309517</v>
      </c>
      <c r="O1254" s="36">
        <f>1/M1254-(G1254/100-(((E1254/E1134)^(1/10))-1))</f>
        <v>6.5977109538501555E-2</v>
      </c>
      <c r="P1254" s="48">
        <v>5.23</v>
      </c>
      <c r="R1254" s="30"/>
      <c r="S1254" s="30"/>
    </row>
    <row r="1255" spans="1:19" ht="13" x14ac:dyDescent="0.3">
      <c r="A1255" s="52" t="s">
        <v>1271</v>
      </c>
      <c r="B1255" s="6">
        <v>92.4</v>
      </c>
      <c r="C1255" s="1">
        <v>3.71</v>
      </c>
      <c r="D1255" s="6">
        <v>7.96</v>
      </c>
      <c r="E1255" s="6">
        <v>53.6</v>
      </c>
      <c r="F1255" s="1">
        <f t="shared" si="95"/>
        <v>1975.4583333332384</v>
      </c>
      <c r="G1255" s="17">
        <v>7.86</v>
      </c>
      <c r="H1255" s="1">
        <f>B1255*$E$1867/E1255</f>
        <v>577.71591604477612</v>
      </c>
      <c r="I1255" s="1">
        <f>C1255*$E$1867/E1255</f>
        <v>23.196169356343283</v>
      </c>
      <c r="J1255" s="26">
        <f t="shared" si="96"/>
        <v>102939.75923553943</v>
      </c>
      <c r="K1255" s="1">
        <f>D1255*$E$1867/E1255</f>
        <v>49.76860055970149</v>
      </c>
      <c r="L1255" s="26">
        <f t="shared" si="94"/>
        <v>8867.9706008105386</v>
      </c>
      <c r="M1255" s="10">
        <f t="shared" si="92"/>
        <v>11.011354609247663</v>
      </c>
      <c r="N1255" s="4">
        <f t="shared" si="93"/>
        <v>13.073236851521383</v>
      </c>
      <c r="O1255" s="36">
        <f>1/M1255-(G1255/100-(((E1255/E1135)^(1/10))-1))</f>
        <v>6.6475448855364896E-2</v>
      </c>
      <c r="P1255" s="48">
        <v>5.34</v>
      </c>
      <c r="R1255" s="30"/>
      <c r="S1255" s="30"/>
    </row>
    <row r="1256" spans="1:19" ht="13" x14ac:dyDescent="0.3">
      <c r="A1256" s="52" t="s">
        <v>1272</v>
      </c>
      <c r="B1256" s="6">
        <v>92.49</v>
      </c>
      <c r="C1256" s="1">
        <v>3.71</v>
      </c>
      <c r="D1256" s="6">
        <v>7.8933299999999997</v>
      </c>
      <c r="E1256" s="6">
        <v>54.2</v>
      </c>
      <c r="F1256" s="1">
        <f t="shared" si="95"/>
        <v>1975.5416666665717</v>
      </c>
      <c r="G1256" s="17">
        <v>8.06</v>
      </c>
      <c r="H1256" s="1">
        <f>B1256*$E$1867/E1256</f>
        <v>571.8770179428044</v>
      </c>
      <c r="I1256" s="1">
        <f>C1256*$E$1867/E1256</f>
        <v>22.939385193726935</v>
      </c>
      <c r="J1256" s="26">
        <f t="shared" si="96"/>
        <v>102239.98012060497</v>
      </c>
      <c r="K1256" s="1">
        <f>D1256*$E$1867/E1256</f>
        <v>48.805427852075638</v>
      </c>
      <c r="L1256" s="26">
        <f t="shared" si="94"/>
        <v>8725.4179077238059</v>
      </c>
      <c r="M1256" s="10">
        <f t="shared" si="92"/>
        <v>10.902767048238577</v>
      </c>
      <c r="N1256" s="4">
        <f t="shared" si="93"/>
        <v>12.952412030935086</v>
      </c>
      <c r="O1256" s="36">
        <f>1/M1256-(G1256/100-(((E1256/E1136)^(1/10))-1))</f>
        <v>6.6554175378377073E-2</v>
      </c>
      <c r="P1256" s="48">
        <v>6.13</v>
      </c>
      <c r="R1256" s="30"/>
      <c r="S1256" s="30"/>
    </row>
    <row r="1257" spans="1:19" ht="13" x14ac:dyDescent="0.3">
      <c r="A1257" s="52" t="s">
        <v>1273</v>
      </c>
      <c r="B1257" s="6">
        <v>85.71</v>
      </c>
      <c r="C1257" s="1">
        <v>3.71</v>
      </c>
      <c r="D1257" s="6">
        <v>7.82667</v>
      </c>
      <c r="E1257" s="6">
        <v>54.3</v>
      </c>
      <c r="F1257" s="1">
        <f t="shared" si="95"/>
        <v>1975.624999999905</v>
      </c>
      <c r="G1257" s="17">
        <v>8.4</v>
      </c>
      <c r="H1257" s="1">
        <f>B1257*$E$1867/E1257</f>
        <v>528.979469198895</v>
      </c>
      <c r="I1257" s="1">
        <f>C1257*$E$1867/E1257</f>
        <v>22.897139548802947</v>
      </c>
      <c r="J1257" s="26">
        <f t="shared" si="96"/>
        <v>94911.89941742993</v>
      </c>
      <c r="K1257" s="1">
        <f>D1257*$E$1867/E1257</f>
        <v>48.304138865883985</v>
      </c>
      <c r="L1257" s="26">
        <f t="shared" si="94"/>
        <v>8666.9480318914539</v>
      </c>
      <c r="M1257" s="10">
        <f t="shared" si="92"/>
        <v>10.089769593328018</v>
      </c>
      <c r="N1257" s="4">
        <f t="shared" si="93"/>
        <v>11.99733885477694</v>
      </c>
      <c r="O1257" s="36">
        <f>1/M1257-(G1257/100-(((E1257/E1137)^(1/10))-1))</f>
        <v>7.0739198937496917E-2</v>
      </c>
      <c r="P1257" s="48">
        <v>6.44</v>
      </c>
      <c r="R1257" s="30"/>
      <c r="S1257" s="30"/>
    </row>
    <row r="1258" spans="1:19" ht="13" x14ac:dyDescent="0.3">
      <c r="A1258" s="52" t="s">
        <v>1274</v>
      </c>
      <c r="B1258" s="6">
        <v>84.67</v>
      </c>
      <c r="C1258" s="1">
        <v>3.71</v>
      </c>
      <c r="D1258" s="6">
        <v>7.76</v>
      </c>
      <c r="E1258" s="6">
        <v>54.6</v>
      </c>
      <c r="F1258" s="1">
        <f t="shared" si="95"/>
        <v>1975.7083333332382</v>
      </c>
      <c r="G1258" s="17">
        <v>8.43</v>
      </c>
      <c r="H1258" s="1">
        <f>B1258*$E$1867/E1258</f>
        <v>519.68965050366296</v>
      </c>
      <c r="I1258" s="1">
        <f>C1258*$E$1867/E1258</f>
        <v>22.77133108974359</v>
      </c>
      <c r="J1258" s="26">
        <f t="shared" si="96"/>
        <v>93585.555917738588</v>
      </c>
      <c r="K1258" s="1">
        <f>D1258*$E$1867/E1258</f>
        <v>47.629522710622709</v>
      </c>
      <c r="L1258" s="26">
        <f t="shared" si="94"/>
        <v>8577.1101207234151</v>
      </c>
      <c r="M1258" s="10">
        <f t="shared" si="92"/>
        <v>9.918905356559419</v>
      </c>
      <c r="N1258" s="4">
        <f t="shared" si="93"/>
        <v>11.80518759008179</v>
      </c>
      <c r="O1258" s="36">
        <f>1/M1258-(G1258/100-(((E1258/E1138)^(1/10))-1))</f>
        <v>7.2728259980148965E-2</v>
      </c>
      <c r="P1258" s="48">
        <v>6.42</v>
      </c>
      <c r="R1258" s="30"/>
      <c r="S1258" s="30"/>
    </row>
    <row r="1259" spans="1:19" ht="13" x14ac:dyDescent="0.3">
      <c r="A1259" s="52" t="s">
        <v>1275</v>
      </c>
      <c r="B1259" s="6">
        <v>88.57</v>
      </c>
      <c r="C1259" s="1">
        <v>3.7</v>
      </c>
      <c r="D1259" s="6">
        <v>7.82667</v>
      </c>
      <c r="E1259" s="6">
        <v>54.9</v>
      </c>
      <c r="F1259" s="1">
        <f t="shared" si="95"/>
        <v>1975.7916666665715</v>
      </c>
      <c r="G1259" s="17">
        <v>8.14</v>
      </c>
      <c r="H1259" s="1">
        <f>B1259*$E$1867/E1259</f>
        <v>540.65652809653909</v>
      </c>
      <c r="I1259" s="1">
        <f>C1259*$E$1867/E1259</f>
        <v>22.585854735883427</v>
      </c>
      <c r="J1259" s="26">
        <f t="shared" si="96"/>
        <v>97700.202754096928</v>
      </c>
      <c r="K1259" s="1">
        <f>D1259*$E$1867/E1259</f>
        <v>47.776224779918039</v>
      </c>
      <c r="L1259" s="26">
        <f t="shared" si="94"/>
        <v>8633.4791226081979</v>
      </c>
      <c r="M1259" s="10">
        <f t="shared" si="92"/>
        <v>10.327599777501112</v>
      </c>
      <c r="N1259" s="4">
        <f t="shared" si="93"/>
        <v>12.300949653188091</v>
      </c>
      <c r="O1259" s="36">
        <f>1/M1259-(G1259/100-(((E1259/E1139)^(1/10))-1))</f>
        <v>7.1883662268419565E-2</v>
      </c>
      <c r="P1259" s="48">
        <v>5.96</v>
      </c>
      <c r="R1259" s="30"/>
      <c r="S1259" s="30"/>
    </row>
    <row r="1260" spans="1:19" ht="13" x14ac:dyDescent="0.3">
      <c r="A1260" s="52" t="s">
        <v>1276</v>
      </c>
      <c r="B1260" s="6">
        <v>90.07</v>
      </c>
      <c r="C1260" s="1">
        <v>3.69</v>
      </c>
      <c r="D1260" s="6">
        <v>7.8933299999999997</v>
      </c>
      <c r="E1260" s="6">
        <v>55.3</v>
      </c>
      <c r="F1260" s="1">
        <f t="shared" si="95"/>
        <v>1975.8749999999047</v>
      </c>
      <c r="G1260" s="17">
        <v>8.0500000000000007</v>
      </c>
      <c r="H1260" s="1">
        <f>B1260*$E$1867/E1260</f>
        <v>545.83600845388787</v>
      </c>
      <c r="I1260" s="1">
        <f>C1260*$E$1867/E1260</f>
        <v>22.361883770343582</v>
      </c>
      <c r="J1260" s="26">
        <f t="shared" si="96"/>
        <v>98972.914035367445</v>
      </c>
      <c r="K1260" s="1">
        <f>D1260*$E$1867/E1260</f>
        <v>47.83461463982821</v>
      </c>
      <c r="L1260" s="26">
        <f t="shared" si="94"/>
        <v>8673.5413738513034</v>
      </c>
      <c r="M1260" s="10">
        <f t="shared" si="92"/>
        <v>10.435859457947897</v>
      </c>
      <c r="N1260" s="4">
        <f t="shared" si="93"/>
        <v>12.438145517109904</v>
      </c>
      <c r="O1260" s="36">
        <f>1/M1260-(G1260/100-(((E1260/E1140)^(1/10))-1))</f>
        <v>7.2546406133995711E-2</v>
      </c>
      <c r="P1260" s="48">
        <v>5.48</v>
      </c>
      <c r="R1260" s="30"/>
      <c r="S1260" s="30"/>
    </row>
    <row r="1261" spans="1:19" ht="13" x14ac:dyDescent="0.3">
      <c r="A1261" s="52" t="s">
        <v>1277</v>
      </c>
      <c r="B1261" s="6">
        <v>88.7</v>
      </c>
      <c r="C1261" s="1">
        <v>3.68</v>
      </c>
      <c r="D1261" s="6">
        <v>7.96</v>
      </c>
      <c r="E1261" s="6">
        <v>55.5</v>
      </c>
      <c r="F1261" s="1">
        <f t="shared" si="95"/>
        <v>1975.958333333238</v>
      </c>
      <c r="G1261" s="17">
        <v>8</v>
      </c>
      <c r="H1261" s="1">
        <f>B1261*$E$1867/E1261</f>
        <v>535.59657072072071</v>
      </c>
      <c r="I1261" s="1">
        <f>C1261*$E$1867/E1261</f>
        <v>22.220917477477478</v>
      </c>
      <c r="J1261" s="26">
        <f t="shared" si="96"/>
        <v>97452.027606591408</v>
      </c>
      <c r="K1261" s="1">
        <f>D1261*$E$1867/E1261</f>
        <v>48.064810630630632</v>
      </c>
      <c r="L1261" s="26">
        <f t="shared" si="94"/>
        <v>8745.4130749545384</v>
      </c>
      <c r="M1261" s="10">
        <f t="shared" si="92"/>
        <v>10.250368416256837</v>
      </c>
      <c r="N1261" s="4">
        <f t="shared" si="93"/>
        <v>12.225327151884681</v>
      </c>
      <c r="O1261" s="36">
        <f>1/M1261-(G1261/100-(((E1261/E1141)^(1/10))-1))</f>
        <v>7.4829117279938517E-2</v>
      </c>
      <c r="P1261" s="48">
        <v>5.44</v>
      </c>
      <c r="R1261" s="30"/>
      <c r="S1261" s="30"/>
    </row>
    <row r="1262" spans="1:19" ht="13" x14ac:dyDescent="0.3">
      <c r="A1262" s="52" t="s">
        <v>1278</v>
      </c>
      <c r="B1262" s="6">
        <v>96.86</v>
      </c>
      <c r="C1262" s="1">
        <v>3.6833300000000002</v>
      </c>
      <c r="D1262" s="6">
        <v>8.1933299999999996</v>
      </c>
      <c r="E1262" s="6">
        <v>55.6</v>
      </c>
      <c r="F1262" s="1">
        <f t="shared" si="95"/>
        <v>1976.0416666665712</v>
      </c>
      <c r="G1262" s="17">
        <v>7.74</v>
      </c>
      <c r="H1262" s="1">
        <f>B1262*$E$1867/E1262</f>
        <v>583.81711717625899</v>
      </c>
      <c r="I1262" s="1">
        <f>C1262*$E$1867/E1262</f>
        <v>22.201023148965831</v>
      </c>
      <c r="J1262" s="26">
        <f t="shared" si="96"/>
        <v>106562.40069559625</v>
      </c>
      <c r="K1262" s="1">
        <f>D1262*$E$1867/E1262</f>
        <v>49.384743967311145</v>
      </c>
      <c r="L1262" s="26">
        <f t="shared" si="94"/>
        <v>9014.0503251213049</v>
      </c>
      <c r="M1262" s="10">
        <f t="shared" si="92"/>
        <v>11.185051362622149</v>
      </c>
      <c r="N1262" s="4">
        <f t="shared" si="93"/>
        <v>13.344852948567912</v>
      </c>
      <c r="O1262" s="36">
        <f>1/M1262-(G1262/100-(((E1262/E1142)^(1/10))-1))</f>
        <v>6.9467036472156643E-2</v>
      </c>
      <c r="P1262" s="48">
        <v>4.87</v>
      </c>
      <c r="R1262" s="30"/>
      <c r="S1262" s="30"/>
    </row>
    <row r="1263" spans="1:19" ht="13" x14ac:dyDescent="0.3">
      <c r="A1263" s="52" t="s">
        <v>1279</v>
      </c>
      <c r="B1263" s="6">
        <v>100.6</v>
      </c>
      <c r="C1263" s="1">
        <v>3.6866699999999999</v>
      </c>
      <c r="D1263" s="6">
        <v>8.4266699999999997</v>
      </c>
      <c r="E1263" s="6">
        <v>55.8</v>
      </c>
      <c r="F1263" s="1">
        <f t="shared" si="95"/>
        <v>1976.1249999999045</v>
      </c>
      <c r="G1263" s="17">
        <v>7.79</v>
      </c>
      <c r="H1263" s="1">
        <f>B1263*$E$1867/E1263</f>
        <v>604.18638261648744</v>
      </c>
      <c r="I1263" s="1">
        <f>C1263*$E$1867/E1263</f>
        <v>22.141509057661292</v>
      </c>
      <c r="J1263" s="26">
        <f t="shared" si="96"/>
        <v>110617.12740039619</v>
      </c>
      <c r="K1263" s="1">
        <f>D1263*$E$1867/E1263</f>
        <v>50.609137821102145</v>
      </c>
      <c r="L1263" s="26">
        <f t="shared" si="94"/>
        <v>9265.7458146232257</v>
      </c>
      <c r="M1263" s="10">
        <f t="shared" si="92"/>
        <v>11.58609299444969</v>
      </c>
      <c r="N1263" s="4">
        <f t="shared" si="93"/>
        <v>13.825819214816351</v>
      </c>
      <c r="O1263" s="36">
        <f>1/M1263-(G1263/100-(((E1263/E1143)^(1/10))-1))</f>
        <v>6.5589115311616278E-2</v>
      </c>
      <c r="P1263" s="48">
        <v>4.88</v>
      </c>
      <c r="R1263" s="30"/>
      <c r="S1263" s="30"/>
    </row>
    <row r="1264" spans="1:19" ht="13" x14ac:dyDescent="0.3">
      <c r="A1264" s="52" t="s">
        <v>1280</v>
      </c>
      <c r="B1264" s="6">
        <v>101.1</v>
      </c>
      <c r="C1264" s="1">
        <v>3.69</v>
      </c>
      <c r="D1264" s="6">
        <v>8.66</v>
      </c>
      <c r="E1264" s="6">
        <v>55.9</v>
      </c>
      <c r="F1264" s="1">
        <f t="shared" si="95"/>
        <v>1976.2083333332378</v>
      </c>
      <c r="G1264" s="17">
        <v>7.73</v>
      </c>
      <c r="H1264" s="1">
        <f>B1264*$E$1867/E1264</f>
        <v>606.10309078711987</v>
      </c>
      <c r="I1264" s="1">
        <f>C1264*$E$1867/E1264</f>
        <v>22.1218635509839</v>
      </c>
      <c r="J1264" s="26">
        <f t="shared" si="96"/>
        <v>111305.56093751387</v>
      </c>
      <c r="K1264" s="1">
        <f>D1264*$E$1867/E1264</f>
        <v>51.917435867620753</v>
      </c>
      <c r="L1264" s="26">
        <f t="shared" si="94"/>
        <v>9534.1855362895167</v>
      </c>
      <c r="M1264" s="10">
        <f t="shared" si="92"/>
        <v>11.631754403566511</v>
      </c>
      <c r="N1264" s="4">
        <f t="shared" si="93"/>
        <v>13.881952375762481</v>
      </c>
      <c r="O1264" s="36">
        <f>1/M1264-(G1264/100-(((E1264/E1144)^(1/10))-1))</f>
        <v>6.5709741950206554E-2</v>
      </c>
      <c r="P1264" s="48">
        <v>5</v>
      </c>
      <c r="R1264" s="30"/>
      <c r="S1264" s="30"/>
    </row>
    <row r="1265" spans="1:19" ht="13" x14ac:dyDescent="0.3">
      <c r="A1265" s="52" t="s">
        <v>1281</v>
      </c>
      <c r="B1265" s="6">
        <v>101.9</v>
      </c>
      <c r="C1265" s="1">
        <v>3.71333</v>
      </c>
      <c r="D1265" s="6">
        <v>8.8566699999999994</v>
      </c>
      <c r="E1265" s="6">
        <v>56.1</v>
      </c>
      <c r="F1265" s="1">
        <f t="shared" si="95"/>
        <v>1976.291666666571</v>
      </c>
      <c r="G1265" s="17">
        <v>7.56</v>
      </c>
      <c r="H1265" s="1">
        <f>B1265*$E$1867/E1265</f>
        <v>608.72126515151513</v>
      </c>
      <c r="I1265" s="1">
        <f>C1265*$E$1867/E1265</f>
        <v>22.182364431060606</v>
      </c>
      <c r="J1265" s="26">
        <f t="shared" si="96"/>
        <v>112125.83241191857</v>
      </c>
      <c r="K1265" s="1">
        <f>D1265*$E$1867/E1265</f>
        <v>52.907196932575751</v>
      </c>
      <c r="L1265" s="26">
        <f t="shared" si="94"/>
        <v>9745.4513851586526</v>
      </c>
      <c r="M1265" s="10">
        <f t="shared" si="92"/>
        <v>11.689164132206368</v>
      </c>
      <c r="N1265" s="4">
        <f t="shared" si="93"/>
        <v>13.951298003011845</v>
      </c>
      <c r="O1265" s="36">
        <f>1/M1265-(G1265/100-(((E1265/E1145)^(1/10))-1))</f>
        <v>6.6708507735152828E-2</v>
      </c>
      <c r="P1265" s="48">
        <v>4.8600000000000003</v>
      </c>
      <c r="R1265" s="30"/>
      <c r="S1265" s="30"/>
    </row>
    <row r="1266" spans="1:19" ht="13" x14ac:dyDescent="0.3">
      <c r="A1266" s="52" t="s">
        <v>1282</v>
      </c>
      <c r="B1266" s="6">
        <v>101.2</v>
      </c>
      <c r="C1266" s="1">
        <v>3.7366700000000002</v>
      </c>
      <c r="D1266" s="6">
        <v>9.0533300000000008</v>
      </c>
      <c r="E1266" s="6">
        <v>56.5</v>
      </c>
      <c r="F1266" s="1">
        <f t="shared" si="95"/>
        <v>1976.3749999999043</v>
      </c>
      <c r="G1266" s="17">
        <v>7.9</v>
      </c>
      <c r="H1266" s="1">
        <f>B1266*$E$1867/E1266</f>
        <v>600.25973982300889</v>
      </c>
      <c r="I1266" s="1">
        <f>C1266*$E$1867/E1266</f>
        <v>22.163760494115046</v>
      </c>
      <c r="J1266" s="26">
        <f t="shared" si="96"/>
        <v>110907.43995739572</v>
      </c>
      <c r="K1266" s="1">
        <f>D1266*$E$1867/E1266</f>
        <v>53.699105833318583</v>
      </c>
      <c r="L1266" s="26">
        <f t="shared" si="94"/>
        <v>9921.7554682755854</v>
      </c>
      <c r="M1266" s="10">
        <f t="shared" si="92"/>
        <v>11.532053585609424</v>
      </c>
      <c r="N1266" s="4">
        <f t="shared" si="93"/>
        <v>13.764637153557757</v>
      </c>
      <c r="O1266" s="36">
        <f>1/M1266-(G1266/100-(((E1266/E1146)^(1/10))-1))</f>
        <v>6.5225091420169745E-2</v>
      </c>
      <c r="P1266" s="48">
        <v>5.2</v>
      </c>
      <c r="R1266" s="30"/>
      <c r="S1266" s="30"/>
    </row>
    <row r="1267" spans="1:19" ht="13" x14ac:dyDescent="0.3">
      <c r="A1267" s="52" t="s">
        <v>1283</v>
      </c>
      <c r="B1267" s="6">
        <v>101.8</v>
      </c>
      <c r="C1267" s="1">
        <v>3.76</v>
      </c>
      <c r="D1267" s="6">
        <v>9.25</v>
      </c>
      <c r="E1267" s="6">
        <v>56.8</v>
      </c>
      <c r="F1267" s="1">
        <f t="shared" si="95"/>
        <v>1976.4583333332375</v>
      </c>
      <c r="G1267" s="17">
        <v>7.86</v>
      </c>
      <c r="H1267" s="1">
        <f>B1267*$E$1867/E1267</f>
        <v>600.62940933098594</v>
      </c>
      <c r="I1267" s="1">
        <f>C1267*$E$1867/E1267</f>
        <v>22.184347535211266</v>
      </c>
      <c r="J1267" s="26">
        <f t="shared" si="96"/>
        <v>111317.31785156735</v>
      </c>
      <c r="K1267" s="1">
        <f>D1267*$E$1867/E1267</f>
        <v>54.575854973591547</v>
      </c>
      <c r="L1267" s="26">
        <f t="shared" si="94"/>
        <v>10114.785757632591</v>
      </c>
      <c r="M1267" s="10">
        <f t="shared" si="92"/>
        <v>11.543841631417102</v>
      </c>
      <c r="N1267" s="4">
        <f t="shared" si="93"/>
        <v>13.779039853350026</v>
      </c>
      <c r="O1267" s="36">
        <f>1/M1267-(G1267/100-(((E1267/E1147)^(1/10))-1))</f>
        <v>6.5769695495819083E-2</v>
      </c>
      <c r="P1267" s="48">
        <v>5.41</v>
      </c>
      <c r="R1267" s="30"/>
      <c r="S1267" s="30"/>
    </row>
    <row r="1268" spans="1:19" ht="13" x14ac:dyDescent="0.3">
      <c r="A1268" s="52" t="s">
        <v>1284</v>
      </c>
      <c r="B1268" s="6">
        <v>104.2</v>
      </c>
      <c r="C1268" s="1">
        <v>3.79</v>
      </c>
      <c r="D1268" s="6">
        <v>9.35</v>
      </c>
      <c r="E1268" s="6">
        <v>57.1</v>
      </c>
      <c r="F1268" s="1">
        <f t="shared" si="95"/>
        <v>1976.5416666665708</v>
      </c>
      <c r="G1268" s="17">
        <v>7.83</v>
      </c>
      <c r="H1268" s="1">
        <f>B1268*$E$1867/E1268</f>
        <v>611.55956304728545</v>
      </c>
      <c r="I1268" s="1">
        <f>C1268*$E$1867/E1268</f>
        <v>22.243865105078807</v>
      </c>
      <c r="J1268" s="26">
        <f t="shared" si="96"/>
        <v>113686.59801580039</v>
      </c>
      <c r="K1268" s="1">
        <f>D1268*$E$1867/E1268</f>
        <v>54.876026050788084</v>
      </c>
      <c r="L1268" s="26">
        <f t="shared" si="94"/>
        <v>10201.244639613566</v>
      </c>
      <c r="M1268" s="10">
        <f t="shared" si="92"/>
        <v>11.757490488689911</v>
      </c>
      <c r="N1268" s="4">
        <f t="shared" si="93"/>
        <v>14.033225918703803</v>
      </c>
      <c r="O1268" s="36">
        <f>1/M1268-(G1268/100-(((E1268/E1148)^(1/10))-1))</f>
        <v>6.4726844830016672E-2</v>
      </c>
      <c r="P1268" s="48">
        <v>5.23</v>
      </c>
      <c r="R1268" s="30"/>
      <c r="S1268" s="30"/>
    </row>
    <row r="1269" spans="1:19" ht="13" x14ac:dyDescent="0.3">
      <c r="A1269" s="52" t="s">
        <v>1285</v>
      </c>
      <c r="B1269" s="6">
        <v>103.3</v>
      </c>
      <c r="C1269" s="1">
        <v>3.82</v>
      </c>
      <c r="D1269" s="6">
        <v>9.4499999999999993</v>
      </c>
      <c r="E1269" s="6">
        <v>57.4</v>
      </c>
      <c r="F1269" s="1">
        <f t="shared" si="95"/>
        <v>1976.624999999904</v>
      </c>
      <c r="G1269" s="17">
        <v>7.77</v>
      </c>
      <c r="H1269" s="1">
        <f>B1269*$E$1867/E1269</f>
        <v>603.10868162020904</v>
      </c>
      <c r="I1269" s="1">
        <f>C1269*$E$1867/E1269</f>
        <v>22.302760540069688</v>
      </c>
      <c r="J1269" s="26">
        <f t="shared" si="96"/>
        <v>112461.11115027794</v>
      </c>
      <c r="K1269" s="1">
        <f>D1269*$E$1867/E1269</f>
        <v>55.173059451219508</v>
      </c>
      <c r="L1269" s="26">
        <f t="shared" si="94"/>
        <v>10288.068735432009</v>
      </c>
      <c r="M1269" s="10">
        <f t="shared" si="92"/>
        <v>11.597986002509248</v>
      </c>
      <c r="N1269" s="4">
        <f t="shared" si="93"/>
        <v>13.842562825921169</v>
      </c>
      <c r="O1269" s="36">
        <f>1/M1269-(G1269/100-(((E1269/E1149)^(1/10))-1))</f>
        <v>6.6401884511022441E-2</v>
      </c>
      <c r="P1269" s="48">
        <v>5.14</v>
      </c>
      <c r="R1269" s="30"/>
      <c r="S1269" s="30"/>
    </row>
    <row r="1270" spans="1:19" ht="13" x14ac:dyDescent="0.3">
      <c r="A1270" s="52" t="s">
        <v>1286</v>
      </c>
      <c r="B1270" s="6">
        <v>105.5</v>
      </c>
      <c r="C1270" s="1">
        <v>3.85</v>
      </c>
      <c r="D1270" s="6">
        <v>9.5500000000000007</v>
      </c>
      <c r="E1270" s="6">
        <v>57.6</v>
      </c>
      <c r="F1270" s="1">
        <f t="shared" si="95"/>
        <v>1976.7083333332373</v>
      </c>
      <c r="G1270" s="17">
        <v>7.59</v>
      </c>
      <c r="H1270" s="1">
        <f>B1270*$E$1867/E1270</f>
        <v>613.81447699652779</v>
      </c>
      <c r="I1270" s="1">
        <f>C1270*$E$1867/E1270</f>
        <v>22.399864800347224</v>
      </c>
      <c r="J1270" s="26">
        <f t="shared" si="96"/>
        <v>114805.48427452456</v>
      </c>
      <c r="K1270" s="1">
        <f>D1270*$E$1867/E1270</f>
        <v>55.563300998263891</v>
      </c>
      <c r="L1270" s="26">
        <f t="shared" si="94"/>
        <v>10392.344785039901</v>
      </c>
      <c r="M1270" s="10">
        <f t="shared" si="92"/>
        <v>11.805990949539789</v>
      </c>
      <c r="N1270" s="4">
        <f t="shared" si="93"/>
        <v>14.089874827138553</v>
      </c>
      <c r="O1270" s="36">
        <f>1/M1270-(G1270/100-(((E1270/E1150)^(1/10))-1))</f>
        <v>6.7050799195108146E-2</v>
      </c>
      <c r="P1270" s="48">
        <v>5.08</v>
      </c>
      <c r="R1270" s="30"/>
      <c r="S1270" s="30"/>
    </row>
    <row r="1271" spans="1:19" ht="13" x14ac:dyDescent="0.3">
      <c r="A1271" s="52" t="s">
        <v>1287</v>
      </c>
      <c r="B1271" s="6">
        <v>101.9</v>
      </c>
      <c r="C1271" s="1">
        <v>3.9166699999999999</v>
      </c>
      <c r="D1271" s="6">
        <v>9.67</v>
      </c>
      <c r="E1271" s="6">
        <v>57.9</v>
      </c>
      <c r="F1271" s="1">
        <f t="shared" si="95"/>
        <v>1976.7916666665706</v>
      </c>
      <c r="G1271" s="17">
        <v>7.41</v>
      </c>
      <c r="H1271" s="1">
        <f>B1271*$E$1867/E1271</f>
        <v>589.79728799654572</v>
      </c>
      <c r="I1271" s="1">
        <f>C1271*$E$1867/E1271</f>
        <v>22.669689342271155</v>
      </c>
      <c r="J1271" s="26">
        <f t="shared" si="96"/>
        <v>110666.73977220312</v>
      </c>
      <c r="K1271" s="1">
        <f>D1271*$E$1867/E1271</f>
        <v>55.969968350604489</v>
      </c>
      <c r="L1271" s="26">
        <f t="shared" si="94"/>
        <v>10501.936934221827</v>
      </c>
      <c r="M1271" s="10">
        <f t="shared" si="92"/>
        <v>11.345696136316693</v>
      </c>
      <c r="N1271" s="4">
        <f t="shared" si="93"/>
        <v>13.541591689930135</v>
      </c>
      <c r="O1271" s="36">
        <f>1/M1271-(G1271/100-(((E1271/E1151)^(1/10))-1))</f>
        <v>7.2191659112081974E-2</v>
      </c>
      <c r="P1271" s="48">
        <v>4.92</v>
      </c>
      <c r="R1271" s="30"/>
      <c r="S1271" s="30"/>
    </row>
    <row r="1272" spans="1:19" ht="13" x14ac:dyDescent="0.3">
      <c r="A1272" s="52" t="s">
        <v>1288</v>
      </c>
      <c r="B1272" s="6">
        <v>101.2</v>
      </c>
      <c r="C1272" s="1">
        <v>3.98333</v>
      </c>
      <c r="D1272" s="6">
        <v>9.7899999999999991</v>
      </c>
      <c r="E1272" s="6">
        <v>58</v>
      </c>
      <c r="F1272" s="1">
        <f t="shared" si="95"/>
        <v>1976.8749999999038</v>
      </c>
      <c r="G1272" s="17">
        <v>7.29</v>
      </c>
      <c r="H1272" s="1">
        <f>B1272*$E$1867/E1272</f>
        <v>584.73578103448278</v>
      </c>
      <c r="I1272" s="1">
        <f>C1272*$E$1867/E1272</f>
        <v>23.015766587629312</v>
      </c>
      <c r="J1272" s="26">
        <f t="shared" si="96"/>
        <v>110076.90352404639</v>
      </c>
      <c r="K1272" s="1">
        <f>D1272*$E$1867/E1272</f>
        <v>56.566830991379305</v>
      </c>
      <c r="L1272" s="26">
        <f t="shared" si="94"/>
        <v>10648.743927869704</v>
      </c>
      <c r="M1272" s="10">
        <f t="shared" si="92"/>
        <v>11.248855860507962</v>
      </c>
      <c r="N1272" s="4">
        <f t="shared" si="93"/>
        <v>13.427973102245344</v>
      </c>
      <c r="O1272" s="36">
        <f>1/M1272-(G1272/100-(((E1272/E1152)^(1/10))-1))</f>
        <v>7.4333053535413127E-2</v>
      </c>
      <c r="P1272" s="48">
        <v>4.75</v>
      </c>
      <c r="R1272" s="30"/>
      <c r="S1272" s="30"/>
    </row>
    <row r="1273" spans="1:19" ht="13" x14ac:dyDescent="0.3">
      <c r="A1273" s="52" t="s">
        <v>1289</v>
      </c>
      <c r="B1273" s="6">
        <v>104.7</v>
      </c>
      <c r="C1273" s="1">
        <v>4.05</v>
      </c>
      <c r="D1273" s="6">
        <v>9.91</v>
      </c>
      <c r="E1273" s="6">
        <v>58.2</v>
      </c>
      <c r="F1273" s="1">
        <f t="shared" si="95"/>
        <v>1976.9583333332371</v>
      </c>
      <c r="G1273" s="17">
        <v>6.87</v>
      </c>
      <c r="H1273" s="1">
        <f>B1273*$E$1867/E1273</f>
        <v>602.87996005154639</v>
      </c>
      <c r="I1273" s="1">
        <f>C1273*$E$1867/E1273</f>
        <v>23.320571520618557</v>
      </c>
      <c r="J1273" s="26">
        <f t="shared" si="96"/>
        <v>113858.40018177187</v>
      </c>
      <c r="K1273" s="1">
        <f>D1273*$E$1867/E1273</f>
        <v>57.063423152920961</v>
      </c>
      <c r="L1273" s="26">
        <f t="shared" si="94"/>
        <v>10776.855260757968</v>
      </c>
      <c r="M1273" s="10">
        <f t="shared" si="92"/>
        <v>11.597589726582939</v>
      </c>
      <c r="N1273" s="4">
        <f t="shared" si="93"/>
        <v>13.84516713336024</v>
      </c>
      <c r="O1273" s="36">
        <f>1/M1273-(G1273/100-(((E1273/E1153)^(1/10))-1))</f>
        <v>7.6224314233364621E-2</v>
      </c>
      <c r="P1273" s="48">
        <v>4.3499999999999996</v>
      </c>
      <c r="R1273" s="30"/>
      <c r="S1273" s="30"/>
    </row>
    <row r="1274" spans="1:19" ht="13" x14ac:dyDescent="0.3">
      <c r="A1274" s="52" t="s">
        <v>1290</v>
      </c>
      <c r="B1274" s="6">
        <v>103.8</v>
      </c>
      <c r="C1274" s="1">
        <v>4.0966699999999996</v>
      </c>
      <c r="D1274" s="6">
        <v>9.9666700000000006</v>
      </c>
      <c r="E1274" s="6">
        <v>58.5</v>
      </c>
      <c r="F1274" s="1">
        <f t="shared" si="95"/>
        <v>1977.0416666665703</v>
      </c>
      <c r="G1274" s="17">
        <v>7.21</v>
      </c>
      <c r="H1274" s="1">
        <f>B1274*$E$1867/E1274</f>
        <v>594.63249487179485</v>
      </c>
      <c r="I1274" s="1">
        <f>C1274*$E$1867/E1274</f>
        <v>23.468334323376066</v>
      </c>
      <c r="J1274" s="26">
        <f t="shared" si="96"/>
        <v>112670.15212526394</v>
      </c>
      <c r="K1274" s="1">
        <f>D1274*$E$1867/E1274</f>
        <v>57.095432058418808</v>
      </c>
      <c r="L1274" s="26">
        <f t="shared" si="94"/>
        <v>10818.364403490408</v>
      </c>
      <c r="M1274" s="10">
        <f t="shared" ref="M1274:M1337" si="97">H1274/AVERAGE(K1154:K1273)</f>
        <v>11.437961346787551</v>
      </c>
      <c r="N1274" s="4">
        <f t="shared" ref="N1274:N1337" si="98">J1274/AVERAGE(L1154:L1273)</f>
        <v>13.656100626714069</v>
      </c>
      <c r="O1274" s="36">
        <f>1/M1274-(G1274/100-(((E1274/E1154)^(1/10))-1))</f>
        <v>7.45721288198717E-2</v>
      </c>
      <c r="P1274" s="48">
        <v>4.62</v>
      </c>
      <c r="R1274" s="30"/>
      <c r="S1274" s="30"/>
    </row>
    <row r="1275" spans="1:19" ht="13" x14ac:dyDescent="0.3">
      <c r="A1275" s="52" t="s">
        <v>1291</v>
      </c>
      <c r="B1275" s="6">
        <v>101</v>
      </c>
      <c r="C1275" s="1">
        <v>4.1433299999999997</v>
      </c>
      <c r="D1275" s="6">
        <v>10.023300000000001</v>
      </c>
      <c r="E1275" s="6">
        <v>59.1</v>
      </c>
      <c r="F1275" s="1">
        <f t="shared" si="95"/>
        <v>1977.1249999999036</v>
      </c>
      <c r="G1275" s="17">
        <v>7.39</v>
      </c>
      <c r="H1275" s="1">
        <f>B1275*$E$1867/E1275</f>
        <v>572.71827834179351</v>
      </c>
      <c r="I1275" s="1">
        <f>C1275*$E$1867/E1275</f>
        <v>23.494661625761417</v>
      </c>
      <c r="J1275" s="26">
        <f t="shared" si="96"/>
        <v>108888.85436924323</v>
      </c>
      <c r="K1275" s="1">
        <f>D1275*$E$1867/E1275</f>
        <v>56.836902171319799</v>
      </c>
      <c r="L1275" s="26">
        <f t="shared" si="94"/>
        <v>10806.19459405184</v>
      </c>
      <c r="M1275" s="10">
        <f t="shared" si="97"/>
        <v>11.014841854222775</v>
      </c>
      <c r="N1275" s="4">
        <f t="shared" si="98"/>
        <v>13.154123053942877</v>
      </c>
      <c r="O1275" s="36">
        <f>1/M1275-(G1275/100-(((E1275/E1155)^(1/10))-1))</f>
        <v>7.7211979817013124E-2</v>
      </c>
      <c r="P1275" s="48">
        <v>4.67</v>
      </c>
      <c r="R1275" s="30"/>
      <c r="S1275" s="30"/>
    </row>
    <row r="1276" spans="1:19" ht="13" x14ac:dyDescent="0.3">
      <c r="A1276" s="52" t="s">
        <v>1292</v>
      </c>
      <c r="B1276" s="6">
        <v>100.6</v>
      </c>
      <c r="C1276" s="1">
        <v>4.1900000000000004</v>
      </c>
      <c r="D1276" s="6">
        <v>10.08</v>
      </c>
      <c r="E1276" s="6">
        <v>59.5</v>
      </c>
      <c r="F1276" s="1">
        <f t="shared" si="95"/>
        <v>1977.2083333332369</v>
      </c>
      <c r="G1276" s="17">
        <v>7.46</v>
      </c>
      <c r="H1276" s="1">
        <f>B1276*$E$1867/E1276</f>
        <v>566.6151285714285</v>
      </c>
      <c r="I1276" s="1">
        <f>C1276*$E$1867/E1276</f>
        <v>23.599576428571428</v>
      </c>
      <c r="J1276" s="26">
        <f t="shared" si="96"/>
        <v>108102.39309005924</v>
      </c>
      <c r="K1276" s="1">
        <f>D1276*$E$1867/E1276</f>
        <v>56.774160000000002</v>
      </c>
      <c r="L1276" s="26">
        <f t="shared" si="94"/>
        <v>10831.730838447291</v>
      </c>
      <c r="M1276" s="10">
        <f t="shared" si="97"/>
        <v>10.895746511662736</v>
      </c>
      <c r="N1276" s="4">
        <f t="shared" si="98"/>
        <v>13.015883122750949</v>
      </c>
      <c r="O1276" s="36">
        <f>1/M1276-(G1276/100-(((E1276/E1156)^(1/10))-1))</f>
        <v>7.7897822669790825E-2</v>
      </c>
      <c r="P1276" s="48">
        <v>4.5999999999999996</v>
      </c>
      <c r="R1276" s="30"/>
      <c r="S1276" s="30"/>
    </row>
    <row r="1277" spans="1:19" ht="13" x14ac:dyDescent="0.3">
      <c r="A1277" s="52" t="s">
        <v>1293</v>
      </c>
      <c r="B1277" s="6">
        <v>99.05</v>
      </c>
      <c r="C1277" s="1">
        <v>4.2466699999999999</v>
      </c>
      <c r="D1277" s="6">
        <v>10.193300000000001</v>
      </c>
      <c r="E1277" s="6">
        <v>60</v>
      </c>
      <c r="F1277" s="1">
        <f t="shared" si="95"/>
        <v>1977.2916666665701</v>
      </c>
      <c r="G1277" s="17">
        <v>7.37</v>
      </c>
      <c r="H1277" s="1">
        <f>B1277*$E$1867/E1277</f>
        <v>553.23593354166655</v>
      </c>
      <c r="I1277" s="1">
        <f>C1277*$E$1867/E1277</f>
        <v>23.719439090291665</v>
      </c>
      <c r="J1277" s="26">
        <f t="shared" si="96"/>
        <v>105926.9381928186</v>
      </c>
      <c r="K1277" s="1">
        <f>D1277*$E$1867/E1277</f>
        <v>56.933870180416669</v>
      </c>
      <c r="L1277" s="26">
        <f t="shared" si="94"/>
        <v>10901.010187590693</v>
      </c>
      <c r="M1277" s="10">
        <f t="shared" si="97"/>
        <v>10.636037409141357</v>
      </c>
      <c r="N1277" s="4">
        <f t="shared" si="98"/>
        <v>12.71093142788388</v>
      </c>
      <c r="O1277" s="36">
        <f>1/M1277-(G1277/100-(((E1277/E1157)^(1/10))-1))</f>
        <v>8.1605709886888506E-2</v>
      </c>
      <c r="P1277" s="48">
        <v>4.54</v>
      </c>
      <c r="R1277" s="30"/>
      <c r="S1277" s="30"/>
    </row>
    <row r="1278" spans="1:19" ht="13" x14ac:dyDescent="0.3">
      <c r="A1278" s="52" t="s">
        <v>1294</v>
      </c>
      <c r="B1278" s="6">
        <v>98.76</v>
      </c>
      <c r="C1278" s="1">
        <v>4.3033299999999999</v>
      </c>
      <c r="D1278" s="6">
        <v>10.306699999999999</v>
      </c>
      <c r="E1278" s="6">
        <v>60.3</v>
      </c>
      <c r="F1278" s="1">
        <f t="shared" si="95"/>
        <v>1977.3749999999034</v>
      </c>
      <c r="G1278" s="17">
        <v>7.46</v>
      </c>
      <c r="H1278" s="1">
        <f>B1278*$E$1867/E1278</f>
        <v>548.87180248756215</v>
      </c>
      <c r="I1278" s="1">
        <f>C1278*$E$1867/E1278</f>
        <v>23.916327397719737</v>
      </c>
      <c r="J1278" s="26">
        <f t="shared" si="96"/>
        <v>105472.94786542343</v>
      </c>
      <c r="K1278" s="1">
        <f>D1278*$E$1867/E1278</f>
        <v>57.280852639718077</v>
      </c>
      <c r="L1278" s="26">
        <f t="shared" si="94"/>
        <v>11007.270471492098</v>
      </c>
      <c r="M1278" s="10">
        <f t="shared" si="97"/>
        <v>10.548486693556997</v>
      </c>
      <c r="N1278" s="4">
        <f t="shared" si="98"/>
        <v>12.612312925720717</v>
      </c>
      <c r="O1278" s="36">
        <f>1/M1278-(G1278/100-(((E1278/E1158)^(1/10))-1))</f>
        <v>8.1695254846814613E-2</v>
      </c>
      <c r="P1278" s="48">
        <v>4.96</v>
      </c>
      <c r="R1278" s="30"/>
      <c r="S1278" s="30"/>
    </row>
    <row r="1279" spans="1:19" ht="13" x14ac:dyDescent="0.3">
      <c r="A1279" s="52" t="s">
        <v>1295</v>
      </c>
      <c r="B1279" s="6">
        <v>99.29</v>
      </c>
      <c r="C1279" s="1">
        <v>4.3600000000000003</v>
      </c>
      <c r="D1279" s="6">
        <v>10.42</v>
      </c>
      <c r="E1279" s="6">
        <v>60.7</v>
      </c>
      <c r="F1279" s="1">
        <f t="shared" si="95"/>
        <v>1977.4583333332366</v>
      </c>
      <c r="G1279" s="17">
        <v>7.28</v>
      </c>
      <c r="H1279" s="1">
        <f>B1279*$E$1867/E1279</f>
        <v>548.18098966227353</v>
      </c>
      <c r="I1279" s="1">
        <f>C1279*$E$1867/E1279</f>
        <v>24.071599505766063</v>
      </c>
      <c r="J1279" s="26">
        <f t="shared" si="96"/>
        <v>105725.67199439851</v>
      </c>
      <c r="K1279" s="1">
        <f>D1279*$E$1867/E1279</f>
        <v>57.5289144151565</v>
      </c>
      <c r="L1279" s="26">
        <f t="shared" si="94"/>
        <v>11095.392307197424</v>
      </c>
      <c r="M1279" s="10">
        <f t="shared" si="97"/>
        <v>10.530023959090759</v>
      </c>
      <c r="N1279" s="4">
        <f t="shared" si="98"/>
        <v>12.596542842152292</v>
      </c>
      <c r="O1279" s="36">
        <f>1/M1279-(G1279/100-(((E1279/E1159)^(1/10))-1))</f>
        <v>8.40441117524304E-2</v>
      </c>
      <c r="P1279" s="48">
        <v>5.0199999999999996</v>
      </c>
      <c r="R1279" s="30"/>
      <c r="S1279" s="30"/>
    </row>
    <row r="1280" spans="1:19" ht="13" x14ac:dyDescent="0.3">
      <c r="A1280" s="52" t="s">
        <v>1296</v>
      </c>
      <c r="B1280" s="6">
        <v>100.2</v>
      </c>
      <c r="C1280" s="1">
        <v>4.4066700000000001</v>
      </c>
      <c r="D1280" s="6">
        <v>10.5167</v>
      </c>
      <c r="E1280" s="6">
        <v>61</v>
      </c>
      <c r="F1280" s="1">
        <f t="shared" si="95"/>
        <v>1977.5416666665699</v>
      </c>
      <c r="G1280" s="17">
        <v>7.33</v>
      </c>
      <c r="H1280" s="1">
        <f>B1280*$E$1867/E1280</f>
        <v>550.48442704918034</v>
      </c>
      <c r="I1280" s="1">
        <f>C1280*$E$1867/E1280</f>
        <v>24.20961287569672</v>
      </c>
      <c r="J1280" s="26">
        <f t="shared" si="96"/>
        <v>106559.02923724962</v>
      </c>
      <c r="K1280" s="1">
        <f>D1280*$E$1867/E1280</f>
        <v>57.777241256967216</v>
      </c>
      <c r="L1280" s="26">
        <f t="shared" si="94"/>
        <v>11184.125177438953</v>
      </c>
      <c r="M1280" s="10">
        <f t="shared" si="97"/>
        <v>10.567692447775407</v>
      </c>
      <c r="N1280" s="4">
        <f t="shared" si="98"/>
        <v>12.647994539435663</v>
      </c>
      <c r="O1280" s="36">
        <f>1/M1280-(G1280/100-(((E1280/E1160)^(1/10))-1))</f>
        <v>8.3410742744201058E-2</v>
      </c>
      <c r="P1280" s="48">
        <v>5.19</v>
      </c>
      <c r="R1280" s="30"/>
      <c r="S1280" s="30"/>
    </row>
    <row r="1281" spans="1:19" ht="13" x14ac:dyDescent="0.3">
      <c r="A1281" s="52" t="s">
        <v>1297</v>
      </c>
      <c r="B1281" s="6">
        <v>97.75</v>
      </c>
      <c r="C1281" s="1">
        <v>4.4533300000000002</v>
      </c>
      <c r="D1281" s="6">
        <v>10.613300000000001</v>
      </c>
      <c r="E1281" s="6">
        <v>61.2</v>
      </c>
      <c r="F1281" s="1">
        <f t="shared" si="95"/>
        <v>1977.6249999999031</v>
      </c>
      <c r="G1281" s="17">
        <v>7.4</v>
      </c>
      <c r="H1281" s="1">
        <f>B1281*$E$1867/E1281</f>
        <v>535.26949652777773</v>
      </c>
      <c r="I1281" s="1">
        <f>C1281*$E$1867/E1281</f>
        <v>24.386002117361109</v>
      </c>
      <c r="J1281" s="26">
        <f t="shared" si="96"/>
        <v>104007.19955561345</v>
      </c>
      <c r="K1281" s="1">
        <f>D1281*$E$1867/E1281</f>
        <v>58.117398951388893</v>
      </c>
      <c r="L1281" s="26">
        <f t="shared" si="94"/>
        <v>11292.681442901201</v>
      </c>
      <c r="M1281" s="10">
        <f t="shared" si="97"/>
        <v>10.268385666710996</v>
      </c>
      <c r="N1281" s="4">
        <f t="shared" si="98"/>
        <v>12.297488474266247</v>
      </c>
      <c r="O1281" s="36">
        <f>1/M1281-(G1281/100-(((E1281/E1161)^(1/10))-1))</f>
        <v>8.5499137405506062E-2</v>
      </c>
      <c r="P1281" s="48">
        <v>5.49</v>
      </c>
      <c r="R1281" s="30"/>
      <c r="S1281" s="30"/>
    </row>
    <row r="1282" spans="1:19" ht="13" x14ac:dyDescent="0.3">
      <c r="A1282" s="52" t="s">
        <v>1298</v>
      </c>
      <c r="B1282" s="6">
        <v>96.23</v>
      </c>
      <c r="C1282" s="1">
        <v>4.5</v>
      </c>
      <c r="D1282" s="6">
        <v>10.71</v>
      </c>
      <c r="E1282" s="6">
        <v>61.4</v>
      </c>
      <c r="F1282" s="1">
        <f t="shared" si="95"/>
        <v>1977.7083333332364</v>
      </c>
      <c r="G1282" s="17">
        <v>7.34</v>
      </c>
      <c r="H1282" s="1">
        <f>B1282*$E$1867/E1282</f>
        <v>525.22968741856675</v>
      </c>
      <c r="I1282" s="1">
        <f>C1282*$E$1867/E1282</f>
        <v>24.561296824104236</v>
      </c>
      <c r="J1282" s="26">
        <f t="shared" si="96"/>
        <v>102454.08822277903</v>
      </c>
      <c r="K1282" s="1">
        <f>D1282*$E$1867/E1282</f>
        <v>58.455886441368087</v>
      </c>
      <c r="L1282" s="26">
        <f t="shared" si="94"/>
        <v>11402.715212157993</v>
      </c>
      <c r="M1282" s="10">
        <f t="shared" si="97"/>
        <v>10.067742820070702</v>
      </c>
      <c r="N1282" s="4">
        <f t="shared" si="98"/>
        <v>12.065823759131613</v>
      </c>
      <c r="O1282" s="36">
        <f>1/M1282-(G1282/100-(((E1282/E1162)^(1/10))-1))</f>
        <v>8.8069929756703108E-2</v>
      </c>
      <c r="P1282" s="48">
        <v>5.81</v>
      </c>
      <c r="R1282" s="30"/>
      <c r="S1282" s="30"/>
    </row>
    <row r="1283" spans="1:19" ht="13" x14ac:dyDescent="0.3">
      <c r="A1283" s="52" t="s">
        <v>1299</v>
      </c>
      <c r="B1283" s="6">
        <v>93.74</v>
      </c>
      <c r="C1283" s="1">
        <v>4.5566700000000004</v>
      </c>
      <c r="D1283" s="6">
        <v>10.77</v>
      </c>
      <c r="E1283" s="6">
        <v>61.6</v>
      </c>
      <c r="F1283" s="1">
        <f t="shared" si="95"/>
        <v>1977.7916666665697</v>
      </c>
      <c r="G1283" s="17">
        <v>7.52</v>
      </c>
      <c r="H1283" s="1">
        <f>B1283*$E$1867/E1283</f>
        <v>509.97793725649348</v>
      </c>
      <c r="I1283" s="1">
        <f>C1283*$E$1867/E1283</f>
        <v>24.789856703206169</v>
      </c>
      <c r="J1283" s="26">
        <f t="shared" si="96"/>
        <v>99881.971029337641</v>
      </c>
      <c r="K1283" s="1">
        <f>D1283*$E$1867/E1283</f>
        <v>58.592515300324671</v>
      </c>
      <c r="L1283" s="26">
        <f t="shared" ref="L1283:L1346" si="99">K1283*(J1283/H1283)</f>
        <v>11475.664902773271</v>
      </c>
      <c r="M1283" s="10">
        <f t="shared" si="97"/>
        <v>9.7666662995565456</v>
      </c>
      <c r="N1283" s="4">
        <f t="shared" si="98"/>
        <v>11.715003066672727</v>
      </c>
      <c r="O1283" s="36">
        <f>1/M1283-(G1283/100-(((E1283/E1163)^(1/10))-1))</f>
        <v>8.9361650655281469E-2</v>
      </c>
      <c r="P1283" s="48">
        <v>6.16</v>
      </c>
      <c r="R1283" s="30"/>
      <c r="S1283" s="30"/>
    </row>
    <row r="1284" spans="1:19" ht="13" x14ac:dyDescent="0.3">
      <c r="A1284" s="52" t="s">
        <v>1300</v>
      </c>
      <c r="B1284" s="6">
        <v>94.28</v>
      </c>
      <c r="C1284" s="1">
        <v>4.6133300000000004</v>
      </c>
      <c r="D1284" s="6">
        <v>10.83</v>
      </c>
      <c r="E1284" s="6">
        <v>61.9</v>
      </c>
      <c r="F1284" s="1">
        <f t="shared" ref="F1284:F1347" si="100">F1283+1/12</f>
        <v>1977.8749999999029</v>
      </c>
      <c r="G1284" s="17">
        <v>7.58</v>
      </c>
      <c r="H1284" s="1">
        <f>B1284*$E$1867/E1284</f>
        <v>510.42986381260101</v>
      </c>
      <c r="I1284" s="1">
        <f>C1284*$E$1867/E1284</f>
        <v>24.976468006179324</v>
      </c>
      <c r="J1284" s="26">
        <f t="shared" ref="J1284:J1347" si="101">J1283*((H1284+(I1284/12))/H1283)</f>
        <v>100378.13148619277</v>
      </c>
      <c r="K1284" s="1">
        <f>D1284*$E$1867/E1284</f>
        <v>58.633383804523419</v>
      </c>
      <c r="L1284" s="26">
        <f t="shared" si="99"/>
        <v>11530.496011831432</v>
      </c>
      <c r="M1284" s="10">
        <f t="shared" si="97"/>
        <v>9.7662999836602005</v>
      </c>
      <c r="N1284" s="4">
        <f t="shared" si="98"/>
        <v>11.724729783734954</v>
      </c>
      <c r="O1284" s="36">
        <f>1/M1284-(G1284/100-(((E1284/E1164)^(1/10))-1))</f>
        <v>8.8966828403053005E-2</v>
      </c>
      <c r="P1284" s="48">
        <v>6.1</v>
      </c>
      <c r="R1284" s="30"/>
      <c r="S1284" s="30"/>
    </row>
    <row r="1285" spans="1:19" ht="13" x14ac:dyDescent="0.3">
      <c r="A1285" s="52" t="s">
        <v>1301</v>
      </c>
      <c r="B1285" s="6">
        <v>93.82</v>
      </c>
      <c r="C1285" s="1">
        <v>4.67</v>
      </c>
      <c r="D1285" s="6">
        <v>10.89</v>
      </c>
      <c r="E1285" s="6">
        <v>62.1</v>
      </c>
      <c r="F1285" s="1">
        <f t="shared" si="100"/>
        <v>1977.9583333332362</v>
      </c>
      <c r="G1285" s="17">
        <v>7.69</v>
      </c>
      <c r="H1285" s="1">
        <f>B1285*$E$1867/E1285</f>
        <v>506.30355805152971</v>
      </c>
      <c r="I1285" s="1">
        <f>C1285*$E$1867/E1285</f>
        <v>25.201850523349435</v>
      </c>
      <c r="J1285" s="26">
        <f t="shared" si="101"/>
        <v>99979.680452671266</v>
      </c>
      <c r="K1285" s="1">
        <f>D1285*$E$1867/E1285</f>
        <v>58.768340942028985</v>
      </c>
      <c r="L1285" s="26">
        <f t="shared" si="99"/>
        <v>11604.974633655833</v>
      </c>
      <c r="M1285" s="10">
        <f t="shared" si="97"/>
        <v>9.6782665825359189</v>
      </c>
      <c r="N1285" s="4">
        <f t="shared" si="98"/>
        <v>11.62981735663679</v>
      </c>
      <c r="O1285" s="36">
        <f>1/M1285-(G1285/100-(((E1285/E1165)^(1/10))-1))</f>
        <v>8.8827047432467457E-2</v>
      </c>
      <c r="P1285" s="48">
        <v>6.07</v>
      </c>
      <c r="R1285" s="30"/>
      <c r="S1285" s="30"/>
    </row>
    <row r="1286" spans="1:19" ht="13" x14ac:dyDescent="0.3">
      <c r="A1286" s="52" t="s">
        <v>1302</v>
      </c>
      <c r="B1286" s="6">
        <v>90.25</v>
      </c>
      <c r="C1286" s="1">
        <v>4.71333</v>
      </c>
      <c r="D1286" s="6">
        <v>10.9</v>
      </c>
      <c r="E1286" s="6">
        <v>62.5</v>
      </c>
      <c r="F1286" s="1">
        <f t="shared" si="100"/>
        <v>1978.0416666665694</v>
      </c>
      <c r="G1286" s="17">
        <v>7.96</v>
      </c>
      <c r="H1286" s="1">
        <f>B1286*$E$1867/E1286</f>
        <v>483.920861</v>
      </c>
      <c r="I1286" s="1">
        <f>C1286*$E$1867/E1286</f>
        <v>25.272894313320002</v>
      </c>
      <c r="J1286" s="26">
        <f t="shared" si="101"/>
        <v>95975.659132827859</v>
      </c>
      <c r="K1286" s="1">
        <f>D1286*$E$1867/E1286</f>
        <v>58.445843600000003</v>
      </c>
      <c r="L1286" s="26">
        <f t="shared" si="99"/>
        <v>11591.520050391398</v>
      </c>
      <c r="M1286" s="10">
        <f t="shared" si="97"/>
        <v>9.2414622609346893</v>
      </c>
      <c r="N1286" s="4">
        <f t="shared" si="98"/>
        <v>11.117327063419957</v>
      </c>
      <c r="O1286" s="36">
        <f>1/M1286-(G1286/100-(((E1286/E1166)^(1/10))-1))</f>
        <v>9.1067923597768552E-2</v>
      </c>
      <c r="P1286" s="48">
        <v>6.44</v>
      </c>
      <c r="R1286" s="30"/>
      <c r="S1286" s="30"/>
    </row>
    <row r="1287" spans="1:19" ht="13" x14ac:dyDescent="0.3">
      <c r="A1287" s="52" t="s">
        <v>1303</v>
      </c>
      <c r="B1287" s="6">
        <v>88.98</v>
      </c>
      <c r="C1287" s="1">
        <v>4.7566699999999997</v>
      </c>
      <c r="D1287" s="6">
        <v>10.91</v>
      </c>
      <c r="E1287" s="6">
        <v>62.9</v>
      </c>
      <c r="F1287" s="1">
        <f t="shared" si="100"/>
        <v>1978.1249999999027</v>
      </c>
      <c r="G1287" s="17">
        <v>8.0299999999999994</v>
      </c>
      <c r="H1287" s="1">
        <f>B1287*$E$1867/E1287</f>
        <v>474.077022972973</v>
      </c>
      <c r="I1287" s="1">
        <f>C1287*$E$1867/E1287</f>
        <v>25.343087804729727</v>
      </c>
      <c r="J1287" s="26">
        <f t="shared" si="101"/>
        <v>94442.194456123136</v>
      </c>
      <c r="K1287" s="1">
        <f>D1287*$E$1867/E1287</f>
        <v>58.127447972972973</v>
      </c>
      <c r="L1287" s="26">
        <f t="shared" si="99"/>
        <v>11579.729619198735</v>
      </c>
      <c r="M1287" s="10">
        <f t="shared" si="97"/>
        <v>9.0452635707047371</v>
      </c>
      <c r="N1287" s="4">
        <f t="shared" si="98"/>
        <v>10.894504079092544</v>
      </c>
      <c r="O1287" s="36">
        <f>1/M1287-(G1287/100-(((E1287/E1167)^(1/10))-1))</f>
        <v>9.3081792692157106E-2</v>
      </c>
      <c r="P1287" s="48">
        <v>6.45</v>
      </c>
      <c r="R1287" s="30"/>
      <c r="S1287" s="30"/>
    </row>
    <row r="1288" spans="1:19" ht="13" x14ac:dyDescent="0.3">
      <c r="A1288" s="52" t="s">
        <v>1304</v>
      </c>
      <c r="B1288" s="6">
        <v>88.82</v>
      </c>
      <c r="C1288" s="1">
        <v>4.8</v>
      </c>
      <c r="D1288" s="6">
        <v>10.92</v>
      </c>
      <c r="E1288" s="6">
        <v>63.4</v>
      </c>
      <c r="F1288" s="1">
        <f t="shared" si="100"/>
        <v>1978.2083333332359</v>
      </c>
      <c r="G1288" s="17">
        <v>8.0399999999999991</v>
      </c>
      <c r="H1288" s="1">
        <f>B1288*$E$1867/E1288</f>
        <v>469.49250323343841</v>
      </c>
      <c r="I1288" s="1">
        <f>C1288*$E$1867/E1288</f>
        <v>25.372258675078861</v>
      </c>
      <c r="J1288" s="26">
        <f t="shared" si="101"/>
        <v>93950.106086950153</v>
      </c>
      <c r="K1288" s="1">
        <f>D1288*$E$1867/E1288</f>
        <v>57.721888485804413</v>
      </c>
      <c r="L1288" s="26">
        <f t="shared" si="99"/>
        <v>11550.722342597341</v>
      </c>
      <c r="M1288" s="10">
        <f t="shared" si="97"/>
        <v>8.9504200776338916</v>
      </c>
      <c r="N1288" s="4">
        <f t="shared" si="98"/>
        <v>10.79376876904575</v>
      </c>
      <c r="O1288" s="36">
        <f>1/M1288-(G1288/100-(((E1288/E1168)^(1/10))-1))</f>
        <v>9.4684626553438456E-2</v>
      </c>
      <c r="P1288" s="48">
        <v>6.29</v>
      </c>
      <c r="R1288" s="30"/>
      <c r="S1288" s="30"/>
    </row>
    <row r="1289" spans="1:19" ht="13" x14ac:dyDescent="0.3">
      <c r="A1289" s="52" t="s">
        <v>1305</v>
      </c>
      <c r="B1289" s="6">
        <v>92.71</v>
      </c>
      <c r="C1289" s="1">
        <v>4.8366699999999998</v>
      </c>
      <c r="D1289" s="6">
        <v>11.023300000000001</v>
      </c>
      <c r="E1289" s="6">
        <v>63.9</v>
      </c>
      <c r="F1289" s="1">
        <f t="shared" si="100"/>
        <v>1978.2916666665692</v>
      </c>
      <c r="G1289" s="17">
        <v>8.15</v>
      </c>
      <c r="H1289" s="1">
        <f>B1289*$E$1867/E1289</f>
        <v>486.22006146322377</v>
      </c>
      <c r="I1289" s="1">
        <f>C1289*$E$1867/E1289</f>
        <v>25.366044490101721</v>
      </c>
      <c r="J1289" s="26">
        <f t="shared" si="101"/>
        <v>97720.456140061535</v>
      </c>
      <c r="K1289" s="1">
        <f>D1289*$E$1867/E1289</f>
        <v>57.811990114632245</v>
      </c>
      <c r="L1289" s="26">
        <f t="shared" si="99"/>
        <v>11619.047612649558</v>
      </c>
      <c r="M1289" s="10">
        <f t="shared" si="97"/>
        <v>9.2625887208668427</v>
      </c>
      <c r="N1289" s="4">
        <f t="shared" si="98"/>
        <v>11.182400797006657</v>
      </c>
      <c r="O1289" s="36">
        <f>1/M1289-(G1289/100-(((E1289/E1169)^(1/10))-1))</f>
        <v>9.0345091115402953E-2</v>
      </c>
      <c r="P1289" s="48">
        <v>6.29</v>
      </c>
      <c r="R1289" s="30"/>
      <c r="S1289" s="30"/>
    </row>
    <row r="1290" spans="1:19" ht="13" x14ac:dyDescent="0.3">
      <c r="A1290" s="52" t="s">
        <v>1306</v>
      </c>
      <c r="B1290" s="6">
        <v>97.41</v>
      </c>
      <c r="C1290" s="1">
        <v>4.8733300000000002</v>
      </c>
      <c r="D1290" s="6">
        <v>11.1267</v>
      </c>
      <c r="E1290" s="6">
        <v>64.5</v>
      </c>
      <c r="F1290" s="1">
        <f t="shared" si="100"/>
        <v>1978.3749999999025</v>
      </c>
      <c r="G1290" s="17">
        <v>8.35</v>
      </c>
      <c r="H1290" s="1">
        <f>B1290*$E$1867/E1290</f>
        <v>506.11706360465115</v>
      </c>
      <c r="I1290" s="1">
        <f>C1290*$E$1867/E1290</f>
        <v>25.320557125310078</v>
      </c>
      <c r="J1290" s="26">
        <f t="shared" si="101"/>
        <v>102143.43041624027</v>
      </c>
      <c r="K1290" s="1">
        <f>D1290*$E$1867/E1290</f>
        <v>57.811443708139535</v>
      </c>
      <c r="L1290" s="26">
        <f t="shared" si="99"/>
        <v>11667.378166639777</v>
      </c>
      <c r="M1290" s="10">
        <f t="shared" si="97"/>
        <v>9.634910728598447</v>
      </c>
      <c r="N1290" s="4">
        <f t="shared" si="98"/>
        <v>11.642215937209844</v>
      </c>
      <c r="O1290" s="36">
        <f>1/M1290-(G1290/100-(((E1290/E1170)^(1/10))-1))</f>
        <v>8.4858837775058274E-2</v>
      </c>
      <c r="P1290" s="48">
        <v>6.41</v>
      </c>
      <c r="R1290" s="30"/>
      <c r="S1290" s="30"/>
    </row>
    <row r="1291" spans="1:19" ht="13" x14ac:dyDescent="0.3">
      <c r="A1291" s="52" t="s">
        <v>1307</v>
      </c>
      <c r="B1291" s="6">
        <v>97.66</v>
      </c>
      <c r="C1291" s="1">
        <v>4.91</v>
      </c>
      <c r="D1291" s="6">
        <v>11.23</v>
      </c>
      <c r="E1291" s="6">
        <v>65.2</v>
      </c>
      <c r="F1291" s="1">
        <f t="shared" si="100"/>
        <v>1978.4583333332357</v>
      </c>
      <c r="G1291" s="17">
        <v>8.4600000000000009</v>
      </c>
      <c r="H1291" s="1">
        <f>B1291*$E$1867/E1291</f>
        <v>501.96828090490794</v>
      </c>
      <c r="I1291" s="1">
        <f>C1291*$E$1867/E1291</f>
        <v>25.237192906441717</v>
      </c>
      <c r="J1291" s="26">
        <f t="shared" si="101"/>
        <v>101730.57512267091</v>
      </c>
      <c r="K1291" s="1">
        <f>D1291*$E$1867/E1291</f>
        <v>57.721726342024539</v>
      </c>
      <c r="L1291" s="26">
        <f t="shared" si="99"/>
        <v>11698.078626127322</v>
      </c>
      <c r="M1291" s="10">
        <f t="shared" si="97"/>
        <v>9.5496789810417351</v>
      </c>
      <c r="N1291" s="4">
        <f t="shared" si="98"/>
        <v>11.549477957050746</v>
      </c>
      <c r="O1291" s="36">
        <f>1/M1291-(G1291/100-(((E1291/E1171)^(1/10))-1))</f>
        <v>8.5219062554306835E-2</v>
      </c>
      <c r="P1291" s="48">
        <v>6.73</v>
      </c>
      <c r="R1291" s="30"/>
      <c r="S1291" s="30"/>
    </row>
    <row r="1292" spans="1:19" ht="13" x14ac:dyDescent="0.3">
      <c r="A1292" s="52" t="s">
        <v>1308</v>
      </c>
      <c r="B1292" s="6">
        <v>97.19</v>
      </c>
      <c r="C1292" s="1">
        <v>4.9466700000000001</v>
      </c>
      <c r="D1292" s="6">
        <v>11.343299999999999</v>
      </c>
      <c r="E1292" s="6">
        <v>65.7</v>
      </c>
      <c r="F1292" s="1">
        <f t="shared" si="100"/>
        <v>1978.541666666569</v>
      </c>
      <c r="G1292" s="17">
        <v>8.64</v>
      </c>
      <c r="H1292" s="1">
        <f>B1292*$E$1867/E1292</f>
        <v>495.75073131659053</v>
      </c>
      <c r="I1292" s="1">
        <f>C1292*$E$1867/E1292</f>
        <v>25.23217687089041</v>
      </c>
      <c r="J1292" s="26">
        <f t="shared" si="101"/>
        <v>100896.6421379096</v>
      </c>
      <c r="K1292" s="1">
        <f>D1292*$E$1867/E1292</f>
        <v>57.860369076484005</v>
      </c>
      <c r="L1292" s="26">
        <f t="shared" si="99"/>
        <v>11775.911932945261</v>
      </c>
      <c r="M1292" s="10">
        <f t="shared" si="97"/>
        <v>9.4255240477873574</v>
      </c>
      <c r="N1292" s="4">
        <f t="shared" si="98"/>
        <v>11.409884648364535</v>
      </c>
      <c r="O1292" s="36">
        <f>1/M1292-(G1292/100-(((E1292/E1172)^(1/10))-1))</f>
        <v>8.4999967512313118E-2</v>
      </c>
      <c r="P1292" s="48">
        <v>7.01</v>
      </c>
      <c r="R1292" s="30"/>
      <c r="S1292" s="30"/>
    </row>
    <row r="1293" spans="1:19" ht="13" x14ac:dyDescent="0.3">
      <c r="A1293" s="52" t="s">
        <v>1309</v>
      </c>
      <c r="B1293" s="6">
        <v>103.9</v>
      </c>
      <c r="C1293" s="1">
        <v>4.9833299999999996</v>
      </c>
      <c r="D1293" s="6">
        <v>11.4567</v>
      </c>
      <c r="E1293" s="6">
        <v>66</v>
      </c>
      <c r="F1293" s="1">
        <f t="shared" si="100"/>
        <v>1978.6249999999022</v>
      </c>
      <c r="G1293" s="17">
        <v>8.41</v>
      </c>
      <c r="H1293" s="1">
        <f>B1293*$E$1867/E1293</f>
        <v>527.56838598484853</v>
      </c>
      <c r="I1293" s="1">
        <f>C1293*$E$1867/E1293</f>
        <v>25.303632001249998</v>
      </c>
      <c r="J1293" s="26">
        <f t="shared" si="101"/>
        <v>107801.42027014084</v>
      </c>
      <c r="K1293" s="1">
        <f>D1293*$E$1867/E1293</f>
        <v>58.173173510227265</v>
      </c>
      <c r="L1293" s="26">
        <f t="shared" si="99"/>
        <v>11886.896358122447</v>
      </c>
      <c r="M1293" s="10">
        <f t="shared" si="97"/>
        <v>10.023970854003752</v>
      </c>
      <c r="N1293" s="4">
        <f t="shared" si="98"/>
        <v>12.142389731257987</v>
      </c>
      <c r="O1293" s="36">
        <f>1/M1293-(G1293/100-(((E1293/E1173)^(1/10))-1))</f>
        <v>8.1146475737117113E-2</v>
      </c>
      <c r="P1293" s="48">
        <v>7.08</v>
      </c>
      <c r="R1293" s="30"/>
      <c r="S1293" s="30"/>
    </row>
    <row r="1294" spans="1:19" ht="13" x14ac:dyDescent="0.3">
      <c r="A1294" s="52" t="s">
        <v>1310</v>
      </c>
      <c r="B1294" s="6">
        <v>103.9</v>
      </c>
      <c r="C1294" s="1">
        <v>5.0199999999999996</v>
      </c>
      <c r="D1294" s="6">
        <v>11.57</v>
      </c>
      <c r="E1294" s="6">
        <v>66.5</v>
      </c>
      <c r="F1294" s="1">
        <f t="shared" si="100"/>
        <v>1978.7083333332355</v>
      </c>
      <c r="G1294" s="17">
        <v>8.42</v>
      </c>
      <c r="H1294" s="1">
        <f>B1294*$E$1867/E1294</f>
        <v>523.60170639097748</v>
      </c>
      <c r="I1294" s="1">
        <f>C1294*$E$1867/E1294</f>
        <v>25.29817676691729</v>
      </c>
      <c r="J1294" s="26">
        <f t="shared" si="101"/>
        <v>107421.66145500261</v>
      </c>
      <c r="K1294" s="1">
        <f>D1294*$E$1867/E1294</f>
        <v>58.30675402255639</v>
      </c>
      <c r="L1294" s="26">
        <f t="shared" si="99"/>
        <v>11962.161915634071</v>
      </c>
      <c r="M1294" s="10">
        <f t="shared" si="97"/>
        <v>9.9418874730044084</v>
      </c>
      <c r="N1294" s="4">
        <f t="shared" si="98"/>
        <v>12.051024072050545</v>
      </c>
      <c r="O1294" s="36">
        <f>1/M1294-(G1294/100-(((E1294/E1174)^(1/10))-1))</f>
        <v>8.2370404038653672E-2</v>
      </c>
      <c r="P1294" s="48">
        <v>7.85</v>
      </c>
      <c r="R1294" s="30"/>
      <c r="S1294" s="30"/>
    </row>
    <row r="1295" spans="1:19" ht="13" x14ac:dyDescent="0.3">
      <c r="A1295" s="52" t="s">
        <v>1311</v>
      </c>
      <c r="B1295" s="6">
        <v>100.6</v>
      </c>
      <c r="C1295" s="1">
        <v>5.03667</v>
      </c>
      <c r="D1295" s="6">
        <v>11.8233</v>
      </c>
      <c r="E1295" s="6">
        <v>67.099999999999994</v>
      </c>
      <c r="F1295" s="1">
        <f t="shared" si="100"/>
        <v>1978.7916666665687</v>
      </c>
      <c r="G1295" s="17">
        <v>8.64</v>
      </c>
      <c r="H1295" s="1">
        <f>B1295*$E$1867/E1295</f>
        <v>502.43815424739199</v>
      </c>
      <c r="I1295" s="1">
        <f>C1295*$E$1867/E1295</f>
        <v>25.155220460767513</v>
      </c>
      <c r="J1295" s="26">
        <f t="shared" si="101"/>
        <v>103509.83443609442</v>
      </c>
      <c r="K1295" s="1">
        <f>D1295*$E$1867/E1295</f>
        <v>59.050467486214608</v>
      </c>
      <c r="L1295" s="26">
        <f t="shared" si="99"/>
        <v>12165.28653566874</v>
      </c>
      <c r="M1295" s="10">
        <f t="shared" si="97"/>
        <v>9.5336083582088307</v>
      </c>
      <c r="N1295" s="4">
        <f t="shared" si="98"/>
        <v>11.56532682047488</v>
      </c>
      <c r="O1295" s="36">
        <f>1/M1295-(G1295/100-(((E1295/E1175)^(1/10))-1))</f>
        <v>8.4829822270452784E-2</v>
      </c>
      <c r="P1295" s="48">
        <v>7.99</v>
      </c>
      <c r="R1295" s="30"/>
      <c r="S1295" s="30"/>
    </row>
    <row r="1296" spans="1:19" ht="13" x14ac:dyDescent="0.3">
      <c r="A1296" s="52" t="s">
        <v>1312</v>
      </c>
      <c r="B1296" s="6">
        <v>94.71</v>
      </c>
      <c r="C1296" s="1">
        <v>5.0533299999999999</v>
      </c>
      <c r="D1296" s="6">
        <v>12.076700000000001</v>
      </c>
      <c r="E1296" s="6">
        <v>67.400000000000006</v>
      </c>
      <c r="F1296" s="1">
        <f t="shared" si="100"/>
        <v>1978.874999999902</v>
      </c>
      <c r="G1296" s="17">
        <v>8.81</v>
      </c>
      <c r="H1296" s="1">
        <f>B1296*$E$1867/E1296</f>
        <v>470.91561465133526</v>
      </c>
      <c r="I1296" s="1">
        <f>C1296*$E$1867/E1296</f>
        <v>25.126090201520768</v>
      </c>
      <c r="J1296" s="26">
        <f t="shared" si="101"/>
        <v>97447.07883302166</v>
      </c>
      <c r="K1296" s="1">
        <f>D1296*$E$1867/E1296</f>
        <v>60.047583185089017</v>
      </c>
      <c r="L1296" s="26">
        <f t="shared" si="99"/>
        <v>12425.71150821194</v>
      </c>
      <c r="M1296" s="10">
        <f t="shared" si="97"/>
        <v>8.9284189022931493</v>
      </c>
      <c r="N1296" s="4">
        <f t="shared" si="98"/>
        <v>10.842331646474506</v>
      </c>
      <c r="O1296" s="36">
        <f>1/M1296-(G1296/100-(((E1296/E1176)^(1/10))-1))</f>
        <v>9.0413709782575194E-2</v>
      </c>
      <c r="P1296" s="48">
        <v>8.64</v>
      </c>
      <c r="R1296" s="30"/>
      <c r="S1296" s="30"/>
    </row>
    <row r="1297" spans="1:19" ht="13" x14ac:dyDescent="0.3">
      <c r="A1297" s="52" t="s">
        <v>1313</v>
      </c>
      <c r="B1297" s="6">
        <v>96.11</v>
      </c>
      <c r="C1297" s="1">
        <v>5.07</v>
      </c>
      <c r="D1297" s="6">
        <v>12.33</v>
      </c>
      <c r="E1297" s="6">
        <v>67.7</v>
      </c>
      <c r="F1297" s="1">
        <f t="shared" si="100"/>
        <v>1978.9583333332353</v>
      </c>
      <c r="G1297" s="17">
        <v>9.01</v>
      </c>
      <c r="H1297" s="1">
        <f>B1297*$E$1867/E1297</f>
        <v>475.75905136632201</v>
      </c>
      <c r="I1297" s="1">
        <f>C1297*$E$1867/E1297</f>
        <v>25.097267614475626</v>
      </c>
      <c r="J1297" s="26">
        <f t="shared" si="101"/>
        <v>98882.1201787311</v>
      </c>
      <c r="K1297" s="1">
        <f>D1297*$E$1867/E1297</f>
        <v>61.035366802067941</v>
      </c>
      <c r="L1297" s="26">
        <f t="shared" si="99"/>
        <v>12685.636685087446</v>
      </c>
      <c r="M1297" s="10">
        <f t="shared" si="97"/>
        <v>9.0119418191338294</v>
      </c>
      <c r="N1297" s="4">
        <f t="shared" si="98"/>
        <v>10.953907642577773</v>
      </c>
      <c r="O1297" s="36">
        <f>1/M1297-(G1297/100-(((E1297/E1177)^(1/10))-1))</f>
        <v>8.754849244367037E-2</v>
      </c>
      <c r="P1297" s="48">
        <v>9.08</v>
      </c>
      <c r="R1297" s="30"/>
      <c r="S1297" s="30"/>
    </row>
    <row r="1298" spans="1:19" ht="13" x14ac:dyDescent="0.3">
      <c r="A1298" s="52" t="s">
        <v>1314</v>
      </c>
      <c r="B1298" s="6">
        <v>99.71</v>
      </c>
      <c r="C1298" s="1">
        <v>5.1133300000000004</v>
      </c>
      <c r="D1298" s="6">
        <v>12.6533</v>
      </c>
      <c r="E1298" s="6">
        <v>68.3</v>
      </c>
      <c r="F1298" s="1">
        <f t="shared" si="100"/>
        <v>1979.0416666665685</v>
      </c>
      <c r="G1298" s="17">
        <v>9.1</v>
      </c>
      <c r="H1298" s="1">
        <f>B1298*$E$1867/E1298</f>
        <v>489.24361167642746</v>
      </c>
      <c r="I1298" s="1">
        <f>C1298*$E$1867/E1298</f>
        <v>25.089399627855052</v>
      </c>
      <c r="J1298" s="26">
        <f t="shared" si="101"/>
        <v>102119.31134616336</v>
      </c>
      <c r="K1298" s="1">
        <f>D1298*$E$1867/E1298</f>
        <v>62.08550989494875</v>
      </c>
      <c r="L1298" s="26">
        <f t="shared" si="99"/>
        <v>12959.044050309989</v>
      </c>
      <c r="M1298" s="10">
        <f t="shared" si="97"/>
        <v>9.2576369191399692</v>
      </c>
      <c r="N1298" s="4">
        <f t="shared" si="98"/>
        <v>11.261020341262229</v>
      </c>
      <c r="O1298" s="36">
        <f>1/M1298-(G1298/100-(((E1298/E1178)^(1/10))-1))</f>
        <v>8.4344881137919783E-2</v>
      </c>
      <c r="P1298" s="48">
        <v>9.35</v>
      </c>
      <c r="R1298" s="30"/>
      <c r="S1298" s="30"/>
    </row>
    <row r="1299" spans="1:19" ht="13" x14ac:dyDescent="0.3">
      <c r="A1299" s="52" t="s">
        <v>1315</v>
      </c>
      <c r="B1299" s="6">
        <v>98.23</v>
      </c>
      <c r="C1299" s="1">
        <v>5.1566700000000001</v>
      </c>
      <c r="D1299" s="6">
        <v>12.976699999999999</v>
      </c>
      <c r="E1299" s="6">
        <v>69.099999999999994</v>
      </c>
      <c r="F1299" s="1">
        <f t="shared" si="100"/>
        <v>1979.1249999999018</v>
      </c>
      <c r="G1299" s="17">
        <v>9.1</v>
      </c>
      <c r="H1299" s="1">
        <f>B1299*$E$1867/E1299</f>
        <v>476.40163976121568</v>
      </c>
      <c r="I1299" s="1">
        <f>C1299*$E$1867/E1299</f>
        <v>25.009121894609265</v>
      </c>
      <c r="J1299" s="26">
        <f t="shared" si="101"/>
        <v>99873.830546854268</v>
      </c>
      <c r="K1299" s="1">
        <f>D1299*$E$1867/E1299</f>
        <v>62.935163989507956</v>
      </c>
      <c r="L1299" s="26">
        <f t="shared" si="99"/>
        <v>13193.858666979166</v>
      </c>
      <c r="M1299" s="10">
        <f t="shared" si="97"/>
        <v>9.0037403710456321</v>
      </c>
      <c r="N1299" s="4">
        <f t="shared" si="98"/>
        <v>10.961002211569228</v>
      </c>
      <c r="O1299" s="36">
        <f>1/M1299-(G1299/100-(((E1299/E1179)^(1/10))-1))</f>
        <v>8.8036056601136628E-2</v>
      </c>
      <c r="P1299" s="48">
        <v>9.32</v>
      </c>
      <c r="R1299" s="30"/>
      <c r="S1299" s="30"/>
    </row>
    <row r="1300" spans="1:19" ht="13" x14ac:dyDescent="0.3">
      <c r="A1300" s="52" t="s">
        <v>1316</v>
      </c>
      <c r="B1300" s="6">
        <v>100.1</v>
      </c>
      <c r="C1300" s="1">
        <v>5.2</v>
      </c>
      <c r="D1300" s="6">
        <v>13.3</v>
      </c>
      <c r="E1300" s="6">
        <v>69.8</v>
      </c>
      <c r="F1300" s="1">
        <f t="shared" si="100"/>
        <v>1979.208333333235</v>
      </c>
      <c r="G1300" s="17">
        <v>9.1199999999999992</v>
      </c>
      <c r="H1300" s="1">
        <f>B1300*$E$1867/E1300</f>
        <v>480.60225680515759</v>
      </c>
      <c r="I1300" s="1">
        <f>C1300*$E$1867/E1300</f>
        <v>24.966351002865331</v>
      </c>
      <c r="J1300" s="26">
        <f t="shared" si="101"/>
        <v>101190.62311906168</v>
      </c>
      <c r="K1300" s="1">
        <f>D1300*$E$1867/E1300</f>
        <v>63.856243911174786</v>
      </c>
      <c r="L1300" s="26">
        <f t="shared" si="99"/>
        <v>13444.907966868335</v>
      </c>
      <c r="M1300" s="10">
        <f t="shared" si="97"/>
        <v>9.0707850296607635</v>
      </c>
      <c r="N1300" s="4">
        <f t="shared" si="98"/>
        <v>11.050596484076509</v>
      </c>
      <c r="O1300" s="36">
        <f>1/M1300-(G1300/100-(((E1300/E1180)^(1/10))-1))</f>
        <v>8.7200380134632119E-2</v>
      </c>
      <c r="P1300" s="48">
        <v>9.48</v>
      </c>
      <c r="R1300" s="30"/>
      <c r="S1300" s="30"/>
    </row>
    <row r="1301" spans="1:19" ht="13" x14ac:dyDescent="0.3">
      <c r="A1301" s="52" t="s">
        <v>1317</v>
      </c>
      <c r="B1301" s="6">
        <v>102.1</v>
      </c>
      <c r="C1301" s="1">
        <v>5.2466699999999999</v>
      </c>
      <c r="D1301" s="6">
        <v>13.5267</v>
      </c>
      <c r="E1301" s="6">
        <v>70.599999999999994</v>
      </c>
      <c r="F1301" s="1">
        <f t="shared" si="100"/>
        <v>1979.2916666665683</v>
      </c>
      <c r="G1301" s="17">
        <v>9.18</v>
      </c>
      <c r="H1301" s="1">
        <f>B1301*$E$1867/E1301</f>
        <v>484.64997202549569</v>
      </c>
      <c r="I1301" s="1">
        <f>C1301*$E$1867/E1301</f>
        <v>24.904980105063743</v>
      </c>
      <c r="J1301" s="26">
        <f t="shared" si="101"/>
        <v>102479.84586936666</v>
      </c>
      <c r="K1301" s="1">
        <f>D1301*$E$1867/E1301</f>
        <v>64.20876372769122</v>
      </c>
      <c r="L1301" s="26">
        <f t="shared" si="99"/>
        <v>13577.023811176909</v>
      </c>
      <c r="M1301" s="10">
        <f t="shared" si="97"/>
        <v>9.1330635662174124</v>
      </c>
      <c r="N1301" s="4">
        <f t="shared" si="98"/>
        <v>11.133601762772864</v>
      </c>
      <c r="O1301" s="36">
        <f>1/M1301-(G1301/100-(((E1301/E1181)^(1/10))-1))</f>
        <v>8.6475950262932519E-2</v>
      </c>
      <c r="P1301" s="48">
        <v>9.4600000000000009</v>
      </c>
      <c r="R1301" s="30"/>
      <c r="S1301" s="30"/>
    </row>
    <row r="1302" spans="1:19" ht="13" x14ac:dyDescent="0.3">
      <c r="A1302" s="52" t="s">
        <v>1318</v>
      </c>
      <c r="B1302" s="6">
        <v>99.73</v>
      </c>
      <c r="C1302" s="1">
        <v>5.2933300000000001</v>
      </c>
      <c r="D1302" s="6">
        <v>13.753299999999999</v>
      </c>
      <c r="E1302" s="6">
        <v>71.5</v>
      </c>
      <c r="F1302" s="1">
        <f t="shared" si="100"/>
        <v>1979.3749999999015</v>
      </c>
      <c r="G1302" s="17">
        <v>9.25</v>
      </c>
      <c r="H1302" s="1">
        <f>B1302*$E$1867/E1302</f>
        <v>467.44113541958041</v>
      </c>
      <c r="I1302" s="1">
        <f>C1302*$E$1867/E1302</f>
        <v>24.810189364790208</v>
      </c>
      <c r="J1302" s="26">
        <f t="shared" si="101"/>
        <v>99278.194545685386</v>
      </c>
      <c r="K1302" s="1">
        <f>D1302*$E$1867/E1302</f>
        <v>64.462630780769231</v>
      </c>
      <c r="L1302" s="26">
        <f t="shared" si="99"/>
        <v>13690.993613207409</v>
      </c>
      <c r="M1302" s="10">
        <f t="shared" si="97"/>
        <v>8.7943832898149559</v>
      </c>
      <c r="N1302" s="4">
        <f t="shared" si="98"/>
        <v>10.728950511599068</v>
      </c>
      <c r="O1302" s="36">
        <f>1/M1302-(G1302/100-(((E1302/E1182)^(1/10))-1))</f>
        <v>9.1052965524399815E-2</v>
      </c>
      <c r="P1302" s="48">
        <v>9.61</v>
      </c>
      <c r="R1302" s="30"/>
      <c r="S1302" s="30"/>
    </row>
    <row r="1303" spans="1:19" ht="13" x14ac:dyDescent="0.3">
      <c r="A1303" s="52" t="s">
        <v>1319</v>
      </c>
      <c r="B1303" s="6">
        <v>101.7</v>
      </c>
      <c r="C1303" s="1">
        <v>5.34</v>
      </c>
      <c r="D1303" s="6">
        <v>13.98</v>
      </c>
      <c r="E1303" s="6">
        <v>72.3</v>
      </c>
      <c r="F1303" s="1">
        <f t="shared" si="100"/>
        <v>1979.4583333332348</v>
      </c>
      <c r="G1303" s="17">
        <v>8.91</v>
      </c>
      <c r="H1303" s="1">
        <f>B1303*$E$1867/E1303</f>
        <v>471.40024792531125</v>
      </c>
      <c r="I1303" s="1">
        <f>C1303*$E$1867/E1303</f>
        <v>24.751989419087135</v>
      </c>
      <c r="J1303" s="26">
        <f t="shared" si="101"/>
        <v>100557.13906158466</v>
      </c>
      <c r="K1303" s="1">
        <f>D1303*$E$1867/E1303</f>
        <v>64.80015207468881</v>
      </c>
      <c r="L1303" s="26">
        <f t="shared" si="99"/>
        <v>13822.898761857952</v>
      </c>
      <c r="M1303" s="10">
        <f t="shared" si="97"/>
        <v>8.8539377646939545</v>
      </c>
      <c r="N1303" s="4">
        <f t="shared" si="98"/>
        <v>10.809180598290325</v>
      </c>
      <c r="O1303" s="36">
        <f>1/M1303-(G1303/100-(((E1303/E1183)^(1/10))-1))</f>
        <v>9.4292456494697294E-2</v>
      </c>
      <c r="P1303" s="48">
        <v>9.06</v>
      </c>
      <c r="R1303" s="30"/>
      <c r="S1303" s="30"/>
    </row>
    <row r="1304" spans="1:19" ht="13" x14ac:dyDescent="0.3">
      <c r="A1304" s="52" t="s">
        <v>1320</v>
      </c>
      <c r="B1304" s="6">
        <v>102.7</v>
      </c>
      <c r="C1304" s="1">
        <v>5.3966700000000003</v>
      </c>
      <c r="D1304" s="6">
        <v>14.1967</v>
      </c>
      <c r="E1304" s="6">
        <v>73.099999999999994</v>
      </c>
      <c r="F1304" s="1">
        <f t="shared" si="100"/>
        <v>1979.5416666665681</v>
      </c>
      <c r="G1304" s="17">
        <v>8.9499999999999993</v>
      </c>
      <c r="H1304" s="1">
        <f>B1304*$E$1867/E1304</f>
        <v>470.82576162790701</v>
      </c>
      <c r="I1304" s="1">
        <f>C1304*$E$1867/E1304</f>
        <v>24.740908111046512</v>
      </c>
      <c r="J1304" s="26">
        <f t="shared" si="101"/>
        <v>100874.39433163141</v>
      </c>
      <c r="K1304" s="1">
        <f>D1304*$E$1867/E1304</f>
        <v>65.084440994186053</v>
      </c>
      <c r="L1304" s="26">
        <f t="shared" si="99"/>
        <v>13944.338013708584</v>
      </c>
      <c r="M1304" s="10">
        <f t="shared" si="97"/>
        <v>8.8274980455423648</v>
      </c>
      <c r="N1304" s="4">
        <f t="shared" si="98"/>
        <v>10.784338517075026</v>
      </c>
      <c r="O1304" s="36">
        <f>1/M1304-(G1304/100-(((E1304/E1184)^(1/10))-1))</f>
        <v>9.4825501424015107E-2</v>
      </c>
      <c r="P1304" s="48">
        <v>9.24</v>
      </c>
      <c r="R1304" s="30"/>
      <c r="S1304" s="30"/>
    </row>
    <row r="1305" spans="1:19" ht="13" x14ac:dyDescent="0.3">
      <c r="A1305" s="52" t="s">
        <v>1321</v>
      </c>
      <c r="B1305" s="6">
        <v>107.4</v>
      </c>
      <c r="C1305" s="1">
        <v>5.4533300000000002</v>
      </c>
      <c r="D1305" s="6">
        <v>14.4133</v>
      </c>
      <c r="E1305" s="6">
        <v>73.8</v>
      </c>
      <c r="F1305" s="1">
        <f t="shared" si="100"/>
        <v>1979.6249999999013</v>
      </c>
      <c r="G1305" s="17">
        <v>9.0299999999999994</v>
      </c>
      <c r="H1305" s="1">
        <f>B1305*$E$1867/E1305</f>
        <v>487.7025995934959</v>
      </c>
      <c r="I1305" s="1">
        <f>C1305*$E$1867/E1305</f>
        <v>24.763530888651761</v>
      </c>
      <c r="J1305" s="26">
        <f t="shared" si="101"/>
        <v>104932.38806388728</v>
      </c>
      <c r="K1305" s="1">
        <f>D1305*$E$1867/E1305</f>
        <v>65.450687883807589</v>
      </c>
      <c r="L1305" s="26">
        <f t="shared" si="99"/>
        <v>14082.14142347511</v>
      </c>
      <c r="M1305" s="10">
        <f t="shared" si="97"/>
        <v>9.1271657972150315</v>
      </c>
      <c r="N1305" s="4">
        <f t="shared" si="98"/>
        <v>11.156331375849177</v>
      </c>
      <c r="O1305" s="36">
        <f>1/M1305-(G1305/100-(((E1305/E1185)^(1/10))-1))</f>
        <v>9.0746477696883959E-2</v>
      </c>
      <c r="P1305" s="48">
        <v>9.52</v>
      </c>
      <c r="R1305" s="30"/>
      <c r="S1305" s="30"/>
    </row>
    <row r="1306" spans="1:19" ht="13" x14ac:dyDescent="0.3">
      <c r="A1306" s="52" t="s">
        <v>1322</v>
      </c>
      <c r="B1306" s="6">
        <v>108.6</v>
      </c>
      <c r="C1306" s="1">
        <v>5.51</v>
      </c>
      <c r="D1306" s="6">
        <v>14.63</v>
      </c>
      <c r="E1306" s="6">
        <v>74.599999999999994</v>
      </c>
      <c r="F1306" s="1">
        <f t="shared" si="100"/>
        <v>1979.7083333332346</v>
      </c>
      <c r="G1306" s="17">
        <v>9.33</v>
      </c>
      <c r="H1306" s="1">
        <f>B1306*$E$1867/E1306</f>
        <v>487.86329959785525</v>
      </c>
      <c r="I1306" s="1">
        <f>C1306*$E$1867/E1306</f>
        <v>24.752548626005364</v>
      </c>
      <c r="J1306" s="26">
        <f t="shared" si="101"/>
        <v>105410.76970858895</v>
      </c>
      <c r="K1306" s="1">
        <f>D1306*$E$1867/E1306</f>
        <v>65.722284282841827</v>
      </c>
      <c r="L1306" s="26">
        <f t="shared" si="99"/>
        <v>14200.36428026387</v>
      </c>
      <c r="M1306" s="10">
        <f t="shared" si="97"/>
        <v>9.1127589907409572</v>
      </c>
      <c r="N1306" s="4">
        <f t="shared" si="98"/>
        <v>11.144412105091886</v>
      </c>
      <c r="O1306" s="36">
        <f>1/M1306-(G1306/100-(((E1306/E1186)^(1/10))-1))</f>
        <v>8.8786091274875925E-2</v>
      </c>
      <c r="P1306" s="48">
        <v>10.26</v>
      </c>
      <c r="R1306" s="30"/>
      <c r="S1306" s="30"/>
    </row>
    <row r="1307" spans="1:19" ht="13" x14ac:dyDescent="0.3">
      <c r="A1307" s="52" t="s">
        <v>1323</v>
      </c>
      <c r="B1307" s="6">
        <v>104.5</v>
      </c>
      <c r="C1307" s="1">
        <v>5.5566700000000004</v>
      </c>
      <c r="D1307" s="6">
        <v>14.7067</v>
      </c>
      <c r="E1307" s="6">
        <v>75.2</v>
      </c>
      <c r="F1307" s="1">
        <f t="shared" si="100"/>
        <v>1979.7916666665678</v>
      </c>
      <c r="G1307" s="17">
        <v>10.3</v>
      </c>
      <c r="H1307" s="1">
        <f>B1307*$E$1867/E1307</f>
        <v>465.69931682180845</v>
      </c>
      <c r="I1307" s="1">
        <f>C1307*$E$1867/E1307</f>
        <v>24.763037538796546</v>
      </c>
      <c r="J1307" s="26">
        <f t="shared" si="101"/>
        <v>101067.75344008999</v>
      </c>
      <c r="K1307" s="1">
        <f>D1307*$E$1867/E1307</f>
        <v>65.539714284242024</v>
      </c>
      <c r="L1307" s="26">
        <f t="shared" si="99"/>
        <v>14223.66631117102</v>
      </c>
      <c r="M1307" s="10">
        <f t="shared" si="97"/>
        <v>8.6818433068993119</v>
      </c>
      <c r="N1307" s="4">
        <f t="shared" si="98"/>
        <v>10.624838288277676</v>
      </c>
      <c r="O1307" s="36">
        <f>1/M1307-(G1307/100-(((E1307/E1187)^(1/10))-1))</f>
        <v>8.4815287363696687E-2</v>
      </c>
      <c r="P1307" s="48">
        <v>11.7</v>
      </c>
      <c r="R1307" s="30"/>
      <c r="S1307" s="30"/>
    </row>
    <row r="1308" spans="1:19" ht="13" x14ac:dyDescent="0.3">
      <c r="A1308" s="52" t="s">
        <v>1324</v>
      </c>
      <c r="B1308" s="6">
        <v>103.7</v>
      </c>
      <c r="C1308" s="1">
        <v>5.6033299999999997</v>
      </c>
      <c r="D1308" s="6">
        <v>14.783300000000001</v>
      </c>
      <c r="E1308" s="6">
        <v>75.900000000000006</v>
      </c>
      <c r="F1308" s="1">
        <f t="shared" si="100"/>
        <v>1979.8749999999011</v>
      </c>
      <c r="G1308" s="17">
        <v>10.65</v>
      </c>
      <c r="H1308" s="1">
        <f>B1308*$E$1867/E1308</f>
        <v>457.87204776021082</v>
      </c>
      <c r="I1308" s="1">
        <f>C1308*$E$1867/E1308</f>
        <v>24.740676773155464</v>
      </c>
      <c r="J1308" s="26">
        <f t="shared" si="101"/>
        <v>99816.49375333327</v>
      </c>
      <c r="K1308" s="1">
        <f>D1308*$E$1867/E1308</f>
        <v>65.273479688076421</v>
      </c>
      <c r="L1308" s="26">
        <f t="shared" si="99"/>
        <v>14229.673790777741</v>
      </c>
      <c r="M1308" s="10">
        <f t="shared" si="97"/>
        <v>8.5187843029835584</v>
      </c>
      <c r="N1308" s="4">
        <f t="shared" si="98"/>
        <v>10.433469269423092</v>
      </c>
      <c r="O1308" s="36">
        <f>1/M1308-(G1308/100-(((E1308/E1188)^(1/10))-1))</f>
        <v>8.3940339688296783E-2</v>
      </c>
      <c r="P1308" s="48">
        <v>11.79</v>
      </c>
      <c r="R1308" s="30"/>
      <c r="S1308" s="30"/>
    </row>
    <row r="1309" spans="1:19" ht="13" x14ac:dyDescent="0.3">
      <c r="A1309" s="52" t="s">
        <v>1325</v>
      </c>
      <c r="B1309" s="6">
        <v>107.8</v>
      </c>
      <c r="C1309" s="1">
        <v>5.65</v>
      </c>
      <c r="D1309" s="6">
        <v>14.86</v>
      </c>
      <c r="E1309" s="6">
        <v>76.7</v>
      </c>
      <c r="F1309" s="1">
        <f t="shared" si="100"/>
        <v>1979.9583333332343</v>
      </c>
      <c r="G1309" s="17">
        <v>10.39</v>
      </c>
      <c r="H1309" s="1">
        <f>B1309*$E$1867/E1309</f>
        <v>471.01045567144718</v>
      </c>
      <c r="I1309" s="1">
        <f>C1309*$E$1867/E1309</f>
        <v>24.68654058018253</v>
      </c>
      <c r="J1309" s="26">
        <f t="shared" si="101"/>
        <v>103129.15168674814</v>
      </c>
      <c r="K1309" s="1">
        <f>D1309*$E$1867/E1309</f>
        <v>64.927786375488907</v>
      </c>
      <c r="L1309" s="26">
        <f t="shared" si="99"/>
        <v>14216.133525650066</v>
      </c>
      <c r="M1309" s="10">
        <f t="shared" si="97"/>
        <v>8.7452044046692912</v>
      </c>
      <c r="N1309" s="4">
        <f t="shared" si="98"/>
        <v>10.717928631289347</v>
      </c>
      <c r="O1309" s="36">
        <f>1/M1309-(G1309/100-(((E1309/E1189)^(1/10))-1))</f>
        <v>8.4055550379180374E-2</v>
      </c>
      <c r="P1309" s="48">
        <v>12.04</v>
      </c>
      <c r="R1309" s="30"/>
      <c r="S1309" s="30"/>
    </row>
    <row r="1310" spans="1:19" ht="13" x14ac:dyDescent="0.3">
      <c r="A1310" s="52" t="s">
        <v>1326</v>
      </c>
      <c r="B1310" s="6">
        <v>110.9</v>
      </c>
      <c r="C1310" s="1">
        <v>5.7</v>
      </c>
      <c r="D1310" s="6">
        <v>15.003299999999999</v>
      </c>
      <c r="E1310" s="6">
        <v>77.8</v>
      </c>
      <c r="F1310" s="1">
        <f t="shared" si="100"/>
        <v>1980.0416666665676</v>
      </c>
      <c r="G1310" s="17">
        <v>10.8</v>
      </c>
      <c r="H1310" s="1">
        <f>B1310*$E$1867/E1310</f>
        <v>477.70424453727514</v>
      </c>
      <c r="I1310" s="1">
        <f>C1310*$E$1867/E1310</f>
        <v>24.55287821336761</v>
      </c>
      <c r="J1310" s="26">
        <f t="shared" si="101"/>
        <v>105042.77069085113</v>
      </c>
      <c r="K1310" s="1">
        <f>D1310*$E$1867/E1310</f>
        <v>64.627052227827761</v>
      </c>
      <c r="L1310" s="26">
        <f t="shared" si="99"/>
        <v>14210.894513129364</v>
      </c>
      <c r="M1310" s="10">
        <f t="shared" si="97"/>
        <v>8.8509341807291104</v>
      </c>
      <c r="N1310" s="4">
        <f t="shared" si="98"/>
        <v>10.854081878724754</v>
      </c>
      <c r="O1310" s="36">
        <f>1/M1310-(G1310/100-(((E1310/E1190)^(1/10))-1))</f>
        <v>7.9834698453491879E-2</v>
      </c>
      <c r="P1310" s="48">
        <v>12</v>
      </c>
      <c r="R1310" s="30"/>
      <c r="S1310" s="30"/>
    </row>
    <row r="1311" spans="1:19" ht="13" x14ac:dyDescent="0.3">
      <c r="A1311" s="52" t="s">
        <v>1327</v>
      </c>
      <c r="B1311" s="6">
        <v>115.3</v>
      </c>
      <c r="C1311" s="1">
        <v>5.75</v>
      </c>
      <c r="D1311" s="6">
        <v>15.146699999999999</v>
      </c>
      <c r="E1311" s="6">
        <v>78.900000000000006</v>
      </c>
      <c r="F1311" s="1">
        <f t="shared" si="100"/>
        <v>1980.1249999999009</v>
      </c>
      <c r="G1311" s="17">
        <v>12.41</v>
      </c>
      <c r="H1311" s="1">
        <f>B1311*$E$1867/E1311</f>
        <v>489.73309664131807</v>
      </c>
      <c r="I1311" s="1">
        <f>C1311*$E$1867/E1311</f>
        <v>24.422942807351077</v>
      </c>
      <c r="J1311" s="26">
        <f t="shared" si="101"/>
        <v>108135.33637043639</v>
      </c>
      <c r="K1311" s="1">
        <f>D1311*$E$1867/E1311</f>
        <v>64.335128316539922</v>
      </c>
      <c r="L1311" s="26">
        <f t="shared" si="99"/>
        <v>14205.494357346824</v>
      </c>
      <c r="M1311" s="10">
        <f t="shared" si="97"/>
        <v>9.054476092192516</v>
      </c>
      <c r="N1311" s="4">
        <f t="shared" si="98"/>
        <v>11.109252312727023</v>
      </c>
      <c r="O1311" s="36">
        <f>1/M1311-(G1311/100-(((E1311/E1191)^(1/10))-1))</f>
        <v>6.2137165228765293E-2</v>
      </c>
      <c r="P1311" s="48">
        <v>12.86</v>
      </c>
      <c r="R1311" s="30"/>
      <c r="S1311" s="30"/>
    </row>
    <row r="1312" spans="1:19" ht="13" x14ac:dyDescent="0.3">
      <c r="A1312" s="52" t="s">
        <v>1328</v>
      </c>
      <c r="B1312" s="6">
        <v>104.7</v>
      </c>
      <c r="C1312" s="1">
        <v>5.8</v>
      </c>
      <c r="D1312" s="6">
        <v>15.29</v>
      </c>
      <c r="E1312" s="6">
        <v>80.099999999999994</v>
      </c>
      <c r="F1312" s="1">
        <f t="shared" si="100"/>
        <v>1980.2083333332341</v>
      </c>
      <c r="G1312" s="17">
        <v>12.75</v>
      </c>
      <c r="H1312" s="1">
        <f>B1312*$E$1867/E1312</f>
        <v>438.04761142322099</v>
      </c>
      <c r="I1312" s="1">
        <f>C1312*$E$1867/E1312</f>
        <v>24.266247815230962</v>
      </c>
      <c r="J1312" s="26">
        <f t="shared" si="101"/>
        <v>97169.450134586616</v>
      </c>
      <c r="K1312" s="1">
        <f>D1312*$E$1867/E1312</f>
        <v>63.970849843945068</v>
      </c>
      <c r="L1312" s="26">
        <f t="shared" si="99"/>
        <v>14190.266404563794</v>
      </c>
      <c r="M1312" s="10">
        <f t="shared" si="97"/>
        <v>8.0811509007854969</v>
      </c>
      <c r="N1312" s="4">
        <f t="shared" si="98"/>
        <v>9.9248356973564977</v>
      </c>
      <c r="O1312" s="36">
        <f>1/M1312-(G1312/100-(((E1312/E1192)^(1/10))-1))</f>
        <v>7.3098972741579976E-2</v>
      </c>
      <c r="P1312" s="48">
        <v>15.2</v>
      </c>
      <c r="R1312" s="30"/>
      <c r="S1312" s="30"/>
    </row>
    <row r="1313" spans="1:19" ht="13" x14ac:dyDescent="0.3">
      <c r="A1313" s="52" t="s">
        <v>1329</v>
      </c>
      <c r="B1313" s="6">
        <v>103</v>
      </c>
      <c r="C1313" s="1">
        <v>5.8466699999999996</v>
      </c>
      <c r="D1313" s="6">
        <v>15.173299999999999</v>
      </c>
      <c r="E1313" s="6">
        <v>81</v>
      </c>
      <c r="F1313" s="1">
        <f t="shared" si="100"/>
        <v>1980.2916666665674</v>
      </c>
      <c r="G1313" s="17">
        <v>11.47</v>
      </c>
      <c r="H1313" s="1">
        <f>B1313*$E$1867/E1313</f>
        <v>426.1469228395062</v>
      </c>
      <c r="I1313" s="1">
        <f>C1313*$E$1867/E1313</f>
        <v>24.189712906388884</v>
      </c>
      <c r="J1313" s="26">
        <f t="shared" si="101"/>
        <v>94976.747220521618</v>
      </c>
      <c r="K1313" s="1">
        <f>D1313*$E$1867/E1313</f>
        <v>62.777234022530855</v>
      </c>
      <c r="L1313" s="26">
        <f t="shared" si="99"/>
        <v>13991.365811661557</v>
      </c>
      <c r="M1313" s="10">
        <f t="shared" si="97"/>
        <v>7.844024504719215</v>
      </c>
      <c r="N1313" s="4">
        <f t="shared" si="98"/>
        <v>9.6444480482973187</v>
      </c>
      <c r="O1313" s="36">
        <f>1/M1313-(G1313/100-(((E1313/E1193)^(1/10))-1))</f>
        <v>9.0000669289211174E-2</v>
      </c>
      <c r="P1313" s="48">
        <v>13.2</v>
      </c>
      <c r="R1313" s="30"/>
      <c r="S1313" s="30"/>
    </row>
    <row r="1314" spans="1:19" ht="13" x14ac:dyDescent="0.3">
      <c r="A1314" s="52" t="s">
        <v>1330</v>
      </c>
      <c r="B1314" s="6">
        <v>107.7</v>
      </c>
      <c r="C1314" s="1">
        <v>5.8933299999999997</v>
      </c>
      <c r="D1314" s="6">
        <v>15.056699999999999</v>
      </c>
      <c r="E1314" s="6">
        <v>81.8</v>
      </c>
      <c r="F1314" s="1">
        <f t="shared" si="100"/>
        <v>1980.3749999999006</v>
      </c>
      <c r="G1314" s="17">
        <v>10.18</v>
      </c>
      <c r="H1314" s="1">
        <f>B1314*$E$1867/E1314</f>
        <v>441.23458954767727</v>
      </c>
      <c r="I1314" s="1">
        <f>C1314*$E$1867/E1314</f>
        <v>24.144299383649145</v>
      </c>
      <c r="J1314" s="26">
        <f t="shared" si="101"/>
        <v>98787.81097575427</v>
      </c>
      <c r="K1314" s="1">
        <f>D1314*$E$1867/E1314</f>
        <v>61.685578871332517</v>
      </c>
      <c r="L1314" s="26">
        <f t="shared" si="99"/>
        <v>13810.756114379194</v>
      </c>
      <c r="M1314" s="10">
        <f t="shared" si="97"/>
        <v>8.1042258071764923</v>
      </c>
      <c r="N1314" s="4">
        <f t="shared" si="98"/>
        <v>9.9744124837086758</v>
      </c>
      <c r="O1314" s="36">
        <f>1/M1314-(G1314/100-(((E1314/E1194)^(1/10))-1))</f>
        <v>9.9587051863871331E-2</v>
      </c>
      <c r="P1314" s="48">
        <v>8.58</v>
      </c>
      <c r="R1314" s="30"/>
      <c r="S1314" s="30"/>
    </row>
    <row r="1315" spans="1:19" ht="13" x14ac:dyDescent="0.3">
      <c r="A1315" s="52" t="s">
        <v>1331</v>
      </c>
      <c r="B1315" s="6">
        <v>114.6</v>
      </c>
      <c r="C1315" s="1">
        <v>5.94</v>
      </c>
      <c r="D1315" s="6">
        <v>14.94</v>
      </c>
      <c r="E1315" s="6">
        <v>82.7</v>
      </c>
      <c r="F1315" s="1">
        <f t="shared" si="100"/>
        <v>1980.4583333332339</v>
      </c>
      <c r="G1315" s="17">
        <v>9.7799999999999994</v>
      </c>
      <c r="H1315" s="1">
        <f>B1315*$E$1867/E1315</f>
        <v>464.39363542926236</v>
      </c>
      <c r="I1315" s="1">
        <f>C1315*$E$1867/E1315</f>
        <v>24.070664873035067</v>
      </c>
      <c r="J1315" s="26">
        <f t="shared" si="101"/>
        <v>104421.9767085575</v>
      </c>
      <c r="K1315" s="1">
        <f>D1315*$E$1867/E1315</f>
        <v>60.541369226118498</v>
      </c>
      <c r="L1315" s="26">
        <f t="shared" si="99"/>
        <v>13613.126806508282</v>
      </c>
      <c r="M1315" s="10">
        <f t="shared" si="97"/>
        <v>8.5120779623067371</v>
      </c>
      <c r="N1315" s="4">
        <f t="shared" si="98"/>
        <v>10.484904625773892</v>
      </c>
      <c r="O1315" s="36">
        <f>1/M1315-(G1315/100-(((E1315/E1195)^(1/10))-1))</f>
        <v>9.8297418837549097E-2</v>
      </c>
      <c r="P1315" s="48">
        <v>7.07</v>
      </c>
      <c r="R1315" s="30"/>
      <c r="S1315" s="30"/>
    </row>
    <row r="1316" spans="1:19" ht="13" x14ac:dyDescent="0.3">
      <c r="A1316" s="52" t="s">
        <v>1332</v>
      </c>
      <c r="B1316" s="6">
        <v>119.8</v>
      </c>
      <c r="C1316" s="1">
        <v>5.9833299999999996</v>
      </c>
      <c r="D1316" s="6">
        <v>14.84</v>
      </c>
      <c r="E1316" s="6">
        <v>82.7</v>
      </c>
      <c r="F1316" s="1">
        <f t="shared" si="100"/>
        <v>1980.5416666665672</v>
      </c>
      <c r="G1316" s="17">
        <v>10.25</v>
      </c>
      <c r="H1316" s="1">
        <f>B1316*$E$1867/E1316</f>
        <v>485.46559794437718</v>
      </c>
      <c r="I1316" s="1">
        <f>C1316*$E$1867/E1316</f>
        <v>24.246251052992744</v>
      </c>
      <c r="J1316" s="26">
        <f t="shared" si="101"/>
        <v>109614.47415802928</v>
      </c>
      <c r="K1316" s="1">
        <f>D1316*$E$1867/E1316</f>
        <v>60.136139177750906</v>
      </c>
      <c r="L1316" s="26">
        <f t="shared" si="99"/>
        <v>13578.28711606974</v>
      </c>
      <c r="M1316" s="10">
        <f t="shared" si="97"/>
        <v>8.880865527295839</v>
      </c>
      <c r="N1316" s="4">
        <f t="shared" si="98"/>
        <v>10.946930734313664</v>
      </c>
      <c r="O1316" s="36">
        <f>1/M1316-(G1316/100-(((E1316/E1196)^(1/10))-1))</f>
        <v>8.8164511549686478E-2</v>
      </c>
      <c r="P1316" s="48">
        <v>8.06</v>
      </c>
      <c r="R1316" s="30"/>
      <c r="S1316" s="30"/>
    </row>
    <row r="1317" spans="1:19" ht="13" x14ac:dyDescent="0.3">
      <c r="A1317" s="52" t="s">
        <v>1333</v>
      </c>
      <c r="B1317" s="6">
        <v>123.5</v>
      </c>
      <c r="C1317" s="1">
        <v>6.0266700000000002</v>
      </c>
      <c r="D1317" s="6">
        <v>14.74</v>
      </c>
      <c r="E1317" s="6">
        <v>83.3</v>
      </c>
      <c r="F1317" s="1">
        <f t="shared" si="100"/>
        <v>1980.6249999999004</v>
      </c>
      <c r="G1317" s="17">
        <v>11.1</v>
      </c>
      <c r="H1317" s="1">
        <f>B1317*$E$1867/E1317</f>
        <v>496.85436224489791</v>
      </c>
      <c r="I1317" s="1">
        <f>C1317*$E$1867/E1317</f>
        <v>24.245969872959183</v>
      </c>
      <c r="J1317" s="26">
        <f t="shared" si="101"/>
        <v>112642.18443487443</v>
      </c>
      <c r="K1317" s="1">
        <f>D1317*$E$1867/E1317</f>
        <v>59.300674489795917</v>
      </c>
      <c r="L1317" s="26">
        <f t="shared" si="99"/>
        <v>13444.095534980155</v>
      </c>
      <c r="M1317" s="10">
        <f t="shared" si="97"/>
        <v>9.0710059816183772</v>
      </c>
      <c r="N1317" s="4">
        <f t="shared" si="98"/>
        <v>11.188545257817426</v>
      </c>
      <c r="O1317" s="36">
        <f>1/M1317-(G1317/100-(((E1317/E1197)^(1/10))-1))</f>
        <v>7.8083837878666018E-2</v>
      </c>
      <c r="P1317" s="48">
        <v>9.1300000000000008</v>
      </c>
      <c r="R1317" s="30"/>
      <c r="S1317" s="30"/>
    </row>
    <row r="1318" spans="1:19" ht="13" x14ac:dyDescent="0.3">
      <c r="A1318" s="52" t="s">
        <v>1334</v>
      </c>
      <c r="B1318" s="6">
        <v>126.5</v>
      </c>
      <c r="C1318" s="1">
        <v>6.07</v>
      </c>
      <c r="D1318" s="6">
        <v>14.64</v>
      </c>
      <c r="E1318" s="6">
        <v>84</v>
      </c>
      <c r="F1318" s="1">
        <f t="shared" si="100"/>
        <v>1980.7083333332337</v>
      </c>
      <c r="G1318" s="17">
        <v>11.51</v>
      </c>
      <c r="H1318" s="1">
        <f>B1318*$E$1867/E1318</f>
        <v>504.68266815476187</v>
      </c>
      <c r="I1318" s="1">
        <f>C1318*$E$1867/E1318</f>
        <v>24.216788898809526</v>
      </c>
      <c r="J1318" s="26">
        <f t="shared" si="101"/>
        <v>114874.46193076602</v>
      </c>
      <c r="K1318" s="1">
        <f>D1318*$E$1867/E1318</f>
        <v>58.407543571428569</v>
      </c>
      <c r="L1318" s="26">
        <f t="shared" si="99"/>
        <v>13294.562234517112</v>
      </c>
      <c r="M1318" s="10">
        <f t="shared" si="97"/>
        <v>9.1960401317432368</v>
      </c>
      <c r="N1318" s="4">
        <f t="shared" si="98"/>
        <v>11.349812726304926</v>
      </c>
      <c r="O1318" s="36">
        <f>1/M1318-(G1318/100-(((E1318/E1198)^(1/10))-1))</f>
        <v>7.2835959625503183E-2</v>
      </c>
      <c r="P1318" s="48">
        <v>10.27</v>
      </c>
      <c r="R1318" s="30"/>
      <c r="S1318" s="30"/>
    </row>
    <row r="1319" spans="1:19" ht="13" x14ac:dyDescent="0.3">
      <c r="A1319" s="52" t="s">
        <v>1335</v>
      </c>
      <c r="B1319" s="6">
        <v>130.19999999999999</v>
      </c>
      <c r="C1319" s="1">
        <v>6.1</v>
      </c>
      <c r="D1319" s="6">
        <v>14.7</v>
      </c>
      <c r="E1319" s="6">
        <v>84.8</v>
      </c>
      <c r="F1319" s="1">
        <f t="shared" si="100"/>
        <v>1980.7916666665669</v>
      </c>
      <c r="G1319" s="17">
        <v>11.75</v>
      </c>
      <c r="H1319" s="1">
        <f>B1319*$E$1867/E1319</f>
        <v>514.54372110849056</v>
      </c>
      <c r="I1319" s="1">
        <f>C1319*$E$1867/E1319</f>
        <v>24.106887087264152</v>
      </c>
      <c r="J1319" s="26">
        <f t="shared" si="101"/>
        <v>117576.26918197157</v>
      </c>
      <c r="K1319" s="1">
        <f>D1319*$E$1867/E1319</f>
        <v>58.093645931603767</v>
      </c>
      <c r="L1319" s="26">
        <f t="shared" si="99"/>
        <v>13274.740068932271</v>
      </c>
      <c r="M1319" s="10">
        <f t="shared" si="97"/>
        <v>9.3578410467571089</v>
      </c>
      <c r="N1319" s="4">
        <f t="shared" si="98"/>
        <v>11.556163110889688</v>
      </c>
      <c r="O1319" s="36">
        <f>1/M1319-(G1319/100-(((E1319/E1199)^(1/10))-1))</f>
        <v>6.9029592685767818E-2</v>
      </c>
      <c r="P1319" s="48">
        <v>11.62</v>
      </c>
      <c r="R1319" s="30"/>
      <c r="S1319" s="30"/>
    </row>
    <row r="1320" spans="1:19" ht="13" x14ac:dyDescent="0.3">
      <c r="A1320" s="52" t="s">
        <v>1336</v>
      </c>
      <c r="B1320" s="6">
        <v>135.69999999999999</v>
      </c>
      <c r="C1320" s="1">
        <v>6.13</v>
      </c>
      <c r="D1320" s="6">
        <v>14.76</v>
      </c>
      <c r="E1320" s="6">
        <v>85.5</v>
      </c>
      <c r="F1320" s="1">
        <f t="shared" si="100"/>
        <v>1980.8749999999002</v>
      </c>
      <c r="G1320" s="17">
        <v>12.68</v>
      </c>
      <c r="H1320" s="1">
        <f>B1320*$E$1867/E1320</f>
        <v>531.88884707602335</v>
      </c>
      <c r="I1320" s="1">
        <f>C1320*$E$1867/E1320</f>
        <v>24.02710856725146</v>
      </c>
      <c r="J1320" s="26">
        <f t="shared" si="101"/>
        <v>121997.2605480059</v>
      </c>
      <c r="K1320" s="1">
        <f>D1320*$E$1867/E1320</f>
        <v>57.853201052631583</v>
      </c>
      <c r="L1320" s="26">
        <f t="shared" si="99"/>
        <v>13269.562016864902</v>
      </c>
      <c r="M1320" s="10">
        <f t="shared" si="97"/>
        <v>9.6540436632333861</v>
      </c>
      <c r="N1320" s="4">
        <f t="shared" si="98"/>
        <v>11.927567744896836</v>
      </c>
      <c r="O1320" s="36">
        <f>1/M1320-(G1320/100-(((E1320/E1200)^(1/10))-1))</f>
        <v>5.6791837574995688E-2</v>
      </c>
      <c r="P1320" s="48">
        <v>13.73</v>
      </c>
      <c r="R1320" s="30"/>
      <c r="S1320" s="30"/>
    </row>
    <row r="1321" spans="1:19" ht="13" x14ac:dyDescent="0.3">
      <c r="A1321" s="52" t="s">
        <v>1337</v>
      </c>
      <c r="B1321" s="6">
        <v>133.5</v>
      </c>
      <c r="C1321" s="1">
        <v>6.16</v>
      </c>
      <c r="D1321" s="6">
        <v>14.82</v>
      </c>
      <c r="E1321" s="6">
        <v>86.3</v>
      </c>
      <c r="F1321" s="1">
        <f t="shared" si="100"/>
        <v>1980.9583333332334</v>
      </c>
      <c r="G1321" s="17">
        <v>12.84</v>
      </c>
      <c r="H1321" s="1">
        <f>B1321*$E$1867/E1321</f>
        <v>518.41507387022011</v>
      </c>
      <c r="I1321" s="1">
        <f>C1321*$E$1867/E1321</f>
        <v>23.920875318655852</v>
      </c>
      <c r="J1321" s="26">
        <f t="shared" si="101"/>
        <v>119364.05377340686</v>
      </c>
      <c r="K1321" s="1">
        <f>D1321*$E$1867/E1321</f>
        <v>57.549898088064893</v>
      </c>
      <c r="L1321" s="26">
        <f t="shared" si="99"/>
        <v>13250.751137991685</v>
      </c>
      <c r="M1321" s="10">
        <f t="shared" si="97"/>
        <v>9.3899020849217383</v>
      </c>
      <c r="N1321" s="4">
        <f t="shared" si="98"/>
        <v>11.608006971345487</v>
      </c>
      <c r="O1321" s="36">
        <f>1/M1321-(G1321/100-(((E1321/E1201)^(1/10))-1))</f>
        <v>5.8567531084092503E-2</v>
      </c>
      <c r="P1321" s="48">
        <v>15.49</v>
      </c>
      <c r="R1321" s="30"/>
      <c r="S1321" s="30"/>
    </row>
    <row r="1322" spans="1:19" ht="13" x14ac:dyDescent="0.3">
      <c r="A1322" s="52" t="s">
        <v>1338</v>
      </c>
      <c r="B1322" s="6">
        <v>133</v>
      </c>
      <c r="C1322" s="1">
        <v>6.2</v>
      </c>
      <c r="D1322" s="6">
        <v>14.74</v>
      </c>
      <c r="E1322" s="6">
        <v>87</v>
      </c>
      <c r="F1322" s="1">
        <f t="shared" si="100"/>
        <v>1981.0416666665667</v>
      </c>
      <c r="G1322" s="17">
        <v>12.57</v>
      </c>
      <c r="H1322" s="1">
        <f>B1322*$E$1867/E1322</f>
        <v>512.31791091954028</v>
      </c>
      <c r="I1322" s="1">
        <f>C1322*$E$1867/E1322</f>
        <v>23.88248908045977</v>
      </c>
      <c r="J1322" s="26">
        <f t="shared" si="101"/>
        <v>118418.43531994089</v>
      </c>
      <c r="K1322" s="1">
        <f>D1322*$E$1867/E1322</f>
        <v>56.778691781609197</v>
      </c>
      <c r="L1322" s="26">
        <f t="shared" si="99"/>
        <v>13123.967944480668</v>
      </c>
      <c r="M1322" s="10">
        <f t="shared" si="97"/>
        <v>9.2594045308779513</v>
      </c>
      <c r="N1322" s="4">
        <f t="shared" si="98"/>
        <v>11.454209284131178</v>
      </c>
      <c r="O1322" s="36">
        <f>1/M1322-(G1322/100-(((E1322/E1202)^(1/10))-1))</f>
        <v>6.3641666217788898E-2</v>
      </c>
      <c r="P1322" s="48">
        <v>15.02</v>
      </c>
      <c r="R1322" s="30"/>
      <c r="S1322" s="30"/>
    </row>
    <row r="1323" spans="1:19" ht="13" x14ac:dyDescent="0.3">
      <c r="A1323" s="52" t="s">
        <v>1339</v>
      </c>
      <c r="B1323" s="6">
        <v>128.4</v>
      </c>
      <c r="C1323" s="1">
        <v>6.24</v>
      </c>
      <c r="D1323" s="6">
        <v>14.66</v>
      </c>
      <c r="E1323" s="6">
        <v>87.9</v>
      </c>
      <c r="F1323" s="1">
        <f t="shared" si="100"/>
        <v>1981.1249999999</v>
      </c>
      <c r="G1323" s="17">
        <v>13.19</v>
      </c>
      <c r="H1323" s="1">
        <f>B1323*$E$1867/E1323</f>
        <v>489.53449488054605</v>
      </c>
      <c r="I1323" s="1">
        <f>C1323*$E$1867/E1323</f>
        <v>23.790461433447096</v>
      </c>
      <c r="J1323" s="26">
        <f t="shared" si="101"/>
        <v>113610.46877311621</v>
      </c>
      <c r="K1323" s="1">
        <f>D1323*$E$1867/E1323</f>
        <v>55.892334072810009</v>
      </c>
      <c r="L1323" s="26">
        <f t="shared" si="99"/>
        <v>12971.413334999095</v>
      </c>
      <c r="M1323" s="10">
        <f t="shared" si="97"/>
        <v>8.8298993538313049</v>
      </c>
      <c r="N1323" s="4">
        <f t="shared" si="98"/>
        <v>10.932069150005734</v>
      </c>
      <c r="O1323" s="36">
        <f>1/M1323-(G1323/100-(((E1323/E1203)^(1/10))-1))</f>
        <v>6.3536793244894613E-2</v>
      </c>
      <c r="P1323" s="48">
        <v>14.79</v>
      </c>
      <c r="R1323" s="30"/>
      <c r="S1323" s="30"/>
    </row>
    <row r="1324" spans="1:19" ht="13" x14ac:dyDescent="0.3">
      <c r="A1324" s="52" t="s">
        <v>1340</v>
      </c>
      <c r="B1324" s="6">
        <v>133.19999999999999</v>
      </c>
      <c r="C1324" s="1">
        <v>6.28</v>
      </c>
      <c r="D1324" s="6">
        <v>14.58</v>
      </c>
      <c r="E1324" s="6">
        <v>88.5</v>
      </c>
      <c r="F1324" s="1">
        <f t="shared" si="100"/>
        <v>1981.2083333332332</v>
      </c>
      <c r="G1324" s="17">
        <v>13.12</v>
      </c>
      <c r="H1324" s="1">
        <f>B1324*$E$1867/E1324</f>
        <v>504.39190169491525</v>
      </c>
      <c r="I1324" s="1">
        <f>C1324*$E$1867/E1324</f>
        <v>23.780639209039549</v>
      </c>
      <c r="J1324" s="26">
        <f t="shared" si="101"/>
        <v>117518.4693402444</v>
      </c>
      <c r="K1324" s="1">
        <f>D1324*$E$1867/E1324</f>
        <v>55.210464915254242</v>
      </c>
      <c r="L1324" s="26">
        <f t="shared" si="99"/>
        <v>12863.508130486212</v>
      </c>
      <c r="M1324" s="10">
        <f t="shared" si="97"/>
        <v>9.0810968838546255</v>
      </c>
      <c r="N1324" s="4">
        <f t="shared" si="98"/>
        <v>11.251403769600723</v>
      </c>
      <c r="O1324" s="36">
        <f>1/M1324-(G1324/100-(((E1324/E1204)^(1/10))-1))</f>
        <v>6.1569473498460273E-2</v>
      </c>
      <c r="P1324" s="48">
        <v>13.36</v>
      </c>
      <c r="R1324" s="30"/>
      <c r="S1324" s="30"/>
    </row>
    <row r="1325" spans="1:19" ht="13" x14ac:dyDescent="0.3">
      <c r="A1325" s="52" t="s">
        <v>1341</v>
      </c>
      <c r="B1325" s="6">
        <v>134.4</v>
      </c>
      <c r="C1325" s="1">
        <v>6.3166700000000002</v>
      </c>
      <c r="D1325" s="6">
        <v>14.7233</v>
      </c>
      <c r="E1325" s="6">
        <v>89.1</v>
      </c>
      <c r="F1325" s="1">
        <f t="shared" si="100"/>
        <v>1981.2916666665665</v>
      </c>
      <c r="G1325" s="17">
        <v>13.68</v>
      </c>
      <c r="H1325" s="1">
        <f>B1325*$E$1867/E1325</f>
        <v>505.50879461279465</v>
      </c>
      <c r="I1325" s="1">
        <f>C1325*$E$1867/E1325</f>
        <v>23.758424387401796</v>
      </c>
      <c r="J1325" s="26">
        <f t="shared" si="101"/>
        <v>118239.98505827739</v>
      </c>
      <c r="K1325" s="1">
        <f>D1325*$E$1867/E1325</f>
        <v>55.377660980078566</v>
      </c>
      <c r="L1325" s="26">
        <f t="shared" si="99"/>
        <v>12952.9968155397</v>
      </c>
      <c r="M1325" s="10">
        <f t="shared" si="97"/>
        <v>9.0855612307887412</v>
      </c>
      <c r="N1325" s="4">
        <f t="shared" si="98"/>
        <v>11.265311096462014</v>
      </c>
      <c r="O1325" s="36">
        <f>1/M1325-(G1325/100-(((E1325/E1205)^(1/10))-1))</f>
        <v>5.637666153137548E-2</v>
      </c>
      <c r="P1325" s="48">
        <v>13.69</v>
      </c>
      <c r="R1325" s="30"/>
      <c r="S1325" s="30"/>
    </row>
    <row r="1326" spans="1:19" ht="13" x14ac:dyDescent="0.3">
      <c r="A1326" s="52" t="s">
        <v>1342</v>
      </c>
      <c r="B1326" s="6">
        <v>131.69999999999999</v>
      </c>
      <c r="C1326" s="1">
        <v>6.3533299999999997</v>
      </c>
      <c r="D1326" s="6">
        <v>14.8667</v>
      </c>
      <c r="E1326" s="6">
        <v>89.8</v>
      </c>
      <c r="F1326" s="1">
        <f t="shared" si="100"/>
        <v>1981.3749999998997</v>
      </c>
      <c r="G1326" s="17">
        <v>14.1</v>
      </c>
      <c r="H1326" s="1">
        <f>B1326*$E$1867/E1326</f>
        <v>491.49215395322932</v>
      </c>
      <c r="I1326" s="1">
        <f>C1326*$E$1867/E1326</f>
        <v>23.710036799359685</v>
      </c>
      <c r="J1326" s="26">
        <f t="shared" si="101"/>
        <v>115423.60573724603</v>
      </c>
      <c r="K1326" s="1">
        <f>D1326*$E$1867/E1326</f>
        <v>55.481142028674832</v>
      </c>
      <c r="L1326" s="26">
        <f t="shared" si="99"/>
        <v>13029.370686514167</v>
      </c>
      <c r="M1326" s="10">
        <f t="shared" si="97"/>
        <v>8.8184834665480647</v>
      </c>
      <c r="N1326" s="4">
        <f t="shared" si="98"/>
        <v>10.943243788709786</v>
      </c>
      <c r="O1326" s="36">
        <f>1/M1326-(G1326/100-(((E1326/E1206)^(1/10))-1))</f>
        <v>5.5818882846930179E-2</v>
      </c>
      <c r="P1326" s="48">
        <v>16.3</v>
      </c>
      <c r="R1326" s="30"/>
      <c r="S1326" s="30"/>
    </row>
    <row r="1327" spans="1:19" ht="13" x14ac:dyDescent="0.3">
      <c r="A1327" s="52" t="s">
        <v>1343</v>
      </c>
      <c r="B1327" s="6">
        <v>132.30000000000001</v>
      </c>
      <c r="C1327" s="1">
        <v>6.39</v>
      </c>
      <c r="D1327" s="6">
        <v>15.01</v>
      </c>
      <c r="E1327" s="6">
        <v>90.6</v>
      </c>
      <c r="F1327" s="1">
        <f t="shared" si="100"/>
        <v>1981.458333333233</v>
      </c>
      <c r="G1327" s="17">
        <v>13.47</v>
      </c>
      <c r="H1327" s="1">
        <f>B1327*$E$1867/E1327</f>
        <v>489.37163990066233</v>
      </c>
      <c r="I1327" s="1">
        <f>C1327*$E$1867/E1327</f>
        <v>23.6363173013245</v>
      </c>
      <c r="J1327" s="26">
        <f t="shared" si="101"/>
        <v>115388.18645933614</v>
      </c>
      <c r="K1327" s="1">
        <f>D1327*$E$1867/E1327</f>
        <v>55.521302455849884</v>
      </c>
      <c r="L1327" s="26">
        <f t="shared" si="99"/>
        <v>13091.282530269351</v>
      </c>
      <c r="M1327" s="10">
        <f t="shared" si="97"/>
        <v>8.7653407443049272</v>
      </c>
      <c r="N1327" s="4">
        <f t="shared" si="98"/>
        <v>10.886260091011929</v>
      </c>
      <c r="O1327" s="36">
        <f>1/M1327-(G1327/100-(((E1327/E1207)^(1/10))-1))</f>
        <v>6.2963789588328767E-2</v>
      </c>
      <c r="P1327" s="48">
        <v>14.73</v>
      </c>
      <c r="R1327" s="30"/>
      <c r="S1327" s="30"/>
    </row>
    <row r="1328" spans="1:19" ht="13" x14ac:dyDescent="0.3">
      <c r="A1328" s="52" t="s">
        <v>1344</v>
      </c>
      <c r="B1328" s="6">
        <v>129.1</v>
      </c>
      <c r="C1328" s="1">
        <v>6.4333299999999998</v>
      </c>
      <c r="D1328" s="6">
        <v>15.0967</v>
      </c>
      <c r="E1328" s="6">
        <v>91.6</v>
      </c>
      <c r="F1328" s="1">
        <f t="shared" si="100"/>
        <v>1981.5416666665662</v>
      </c>
      <c r="G1328" s="17">
        <v>14.28</v>
      </c>
      <c r="H1328" s="1">
        <f>B1328*$E$1867/E1328</f>
        <v>472.32172243449781</v>
      </c>
      <c r="I1328" s="1">
        <f>C1328*$E$1867/E1328</f>
        <v>23.536804853520746</v>
      </c>
      <c r="J1328" s="26">
        <f t="shared" si="101"/>
        <v>111830.48822315669</v>
      </c>
      <c r="K1328" s="1">
        <f>D1328*$E$1867/E1328</f>
        <v>55.232372944050219</v>
      </c>
      <c r="L1328" s="26">
        <f t="shared" si="99"/>
        <v>13077.237270011849</v>
      </c>
      <c r="M1328" s="10">
        <f t="shared" si="97"/>
        <v>8.4453194678755104</v>
      </c>
      <c r="N1328" s="4">
        <f t="shared" si="98"/>
        <v>10.498717805693905</v>
      </c>
      <c r="O1328" s="36">
        <f>1/M1328-(G1328/100-(((E1328/E1208)^(1/10))-1))</f>
        <v>6.0110156642069035E-2</v>
      </c>
      <c r="P1328" s="48">
        <v>14.95</v>
      </c>
      <c r="R1328" s="30"/>
      <c r="S1328" s="30"/>
    </row>
    <row r="1329" spans="1:19" ht="13" x14ac:dyDescent="0.3">
      <c r="A1329" s="52" t="s">
        <v>1345</v>
      </c>
      <c r="B1329" s="6">
        <v>129.6</v>
      </c>
      <c r="C1329" s="1">
        <v>6.4766700000000004</v>
      </c>
      <c r="D1329" s="6">
        <v>15.183299999999999</v>
      </c>
      <c r="E1329" s="6">
        <v>92.3</v>
      </c>
      <c r="F1329" s="1">
        <f t="shared" si="100"/>
        <v>1981.6249999998995</v>
      </c>
      <c r="G1329" s="17">
        <v>14.94</v>
      </c>
      <c r="H1329" s="1">
        <f>B1329*$E$1867/E1329</f>
        <v>470.55506392199351</v>
      </c>
      <c r="I1329" s="1">
        <f>C1329*$E$1867/E1329</f>
        <v>23.515662545151681</v>
      </c>
      <c r="J1329" s="26">
        <f t="shared" si="101"/>
        <v>111876.17964549502</v>
      </c>
      <c r="K1329" s="1">
        <f>D1329*$E$1867/E1329</f>
        <v>55.127922083694479</v>
      </c>
      <c r="L1329" s="26">
        <f t="shared" si="99"/>
        <v>13106.864185273493</v>
      </c>
      <c r="M1329" s="10">
        <f t="shared" si="97"/>
        <v>8.3998063165664405</v>
      </c>
      <c r="N1329" s="4">
        <f t="shared" si="98"/>
        <v>10.452105800480162</v>
      </c>
      <c r="O1329" s="36">
        <f>1/M1329-(G1329/100-(((E1329/E1209)^(1/10))-1))</f>
        <v>5.4711363406107688E-2</v>
      </c>
      <c r="P1329" s="48">
        <v>15.51</v>
      </c>
      <c r="R1329" s="30"/>
      <c r="S1329" s="30"/>
    </row>
    <row r="1330" spans="1:19" ht="13" x14ac:dyDescent="0.3">
      <c r="A1330" s="52" t="s">
        <v>1346</v>
      </c>
      <c r="B1330" s="6">
        <v>118.3</v>
      </c>
      <c r="C1330" s="1">
        <v>6.52</v>
      </c>
      <c r="D1330" s="6">
        <v>15.27</v>
      </c>
      <c r="E1330" s="6">
        <v>93.2</v>
      </c>
      <c r="F1330" s="1">
        <f t="shared" si="100"/>
        <v>1981.7083333332328</v>
      </c>
      <c r="G1330" s="17">
        <v>15.32</v>
      </c>
      <c r="H1330" s="1">
        <f>B1330*$E$1867/E1330</f>
        <v>425.37893857296137</v>
      </c>
      <c r="I1330" s="1">
        <f>C1330*$E$1867/E1330</f>
        <v>23.44438444206008</v>
      </c>
      <c r="J1330" s="26">
        <f t="shared" si="101"/>
        <v>101599.89034620307</v>
      </c>
      <c r="K1330" s="1">
        <f>D1330*$E$1867/E1330</f>
        <v>54.907323685622309</v>
      </c>
      <c r="L1330" s="26">
        <f t="shared" si="99"/>
        <v>13114.372997350132</v>
      </c>
      <c r="M1330" s="10">
        <f t="shared" si="97"/>
        <v>7.5811630519231574</v>
      </c>
      <c r="N1330" s="4">
        <f t="shared" si="98"/>
        <v>9.4463927318347061</v>
      </c>
      <c r="O1330" s="36">
        <f>1/M1330-(G1330/100-(((E1330/E1210)^(1/10))-1))</f>
        <v>6.4820290137253073E-2</v>
      </c>
      <c r="P1330" s="48">
        <v>14.7</v>
      </c>
      <c r="R1330" s="30"/>
      <c r="S1330" s="30"/>
    </row>
    <row r="1331" spans="1:19" ht="13" x14ac:dyDescent="0.3">
      <c r="A1331" s="52" t="s">
        <v>1347</v>
      </c>
      <c r="B1331" s="6">
        <v>119.8</v>
      </c>
      <c r="C1331" s="1">
        <v>6.5566700000000004</v>
      </c>
      <c r="D1331" s="6">
        <v>15.3</v>
      </c>
      <c r="E1331" s="6">
        <v>93.4</v>
      </c>
      <c r="F1331" s="1">
        <f t="shared" si="100"/>
        <v>1981.791666666566</v>
      </c>
      <c r="G1331" s="17">
        <v>15.15</v>
      </c>
      <c r="H1331" s="1">
        <f>B1331*$E$1867/E1331</f>
        <v>429.85016006423973</v>
      </c>
      <c r="I1331" s="1">
        <f>C1331*$E$1867/E1331</f>
        <v>23.525756669352248</v>
      </c>
      <c r="J1331" s="26">
        <f t="shared" si="101"/>
        <v>103136.07391995058</v>
      </c>
      <c r="K1331" s="1">
        <f>D1331*$E$1867/E1331</f>
        <v>54.897391059957172</v>
      </c>
      <c r="L1331" s="26">
        <f t="shared" si="99"/>
        <v>13171.802428841771</v>
      </c>
      <c r="M1331" s="10">
        <f t="shared" si="97"/>
        <v>7.649141713319211</v>
      </c>
      <c r="N1331" s="4">
        <f t="shared" si="98"/>
        <v>9.5437534000171702</v>
      </c>
      <c r="O1331" s="36">
        <f>1/M1331-(G1331/100-(((E1331/E1211)^(1/10))-1))</f>
        <v>6.5314973550944039E-2</v>
      </c>
      <c r="P1331" s="48">
        <v>13.54</v>
      </c>
      <c r="R1331" s="30"/>
      <c r="S1331" s="30"/>
    </row>
    <row r="1332" spans="1:19" ht="13" x14ac:dyDescent="0.3">
      <c r="A1332" s="52" t="s">
        <v>1348</v>
      </c>
      <c r="B1332" s="6">
        <v>122.9</v>
      </c>
      <c r="C1332" s="1">
        <v>6.5933299999999999</v>
      </c>
      <c r="D1332" s="6">
        <v>15.33</v>
      </c>
      <c r="E1332" s="6">
        <v>93.7</v>
      </c>
      <c r="F1332" s="1">
        <f t="shared" si="100"/>
        <v>1981.8749999998993</v>
      </c>
      <c r="G1332" s="17">
        <v>13.39</v>
      </c>
      <c r="H1332" s="1">
        <f>B1332*$E$1867/E1332</f>
        <v>439.56129375667018</v>
      </c>
      <c r="I1332" s="1">
        <f>C1332*$E$1867/E1332</f>
        <v>23.581551382950906</v>
      </c>
      <c r="J1332" s="26">
        <f t="shared" si="101"/>
        <v>105937.61741838887</v>
      </c>
      <c r="K1332" s="1">
        <f>D1332*$E$1867/E1332</f>
        <v>54.828922972251867</v>
      </c>
      <c r="L1332" s="26">
        <f t="shared" si="99"/>
        <v>13214.187754466244</v>
      </c>
      <c r="M1332" s="10">
        <f t="shared" si="97"/>
        <v>7.8107525657161094</v>
      </c>
      <c r="N1332" s="4">
        <f t="shared" si="98"/>
        <v>9.7571778791498875</v>
      </c>
      <c r="O1332" s="36">
        <f>1/M1332-(G1332/100-(((E1332/E1212)^(1/10))-1))</f>
        <v>8.0558333298078461E-2</v>
      </c>
      <c r="P1332" s="48">
        <v>10.86</v>
      </c>
      <c r="R1332" s="30"/>
      <c r="S1332" s="30"/>
    </row>
    <row r="1333" spans="1:19" ht="13" x14ac:dyDescent="0.3">
      <c r="A1333" s="52" t="s">
        <v>1349</v>
      </c>
      <c r="B1333" s="6">
        <v>123.8</v>
      </c>
      <c r="C1333" s="1">
        <v>6.63</v>
      </c>
      <c r="D1333" s="6">
        <v>15.36</v>
      </c>
      <c r="E1333" s="6">
        <v>94</v>
      </c>
      <c r="F1333" s="1">
        <f t="shared" si="100"/>
        <v>1981.9583333332325</v>
      </c>
      <c r="G1333" s="17">
        <v>13.72</v>
      </c>
      <c r="H1333" s="1">
        <f>B1333*$E$1867/E1333</f>
        <v>441.36708457446809</v>
      </c>
      <c r="I1333" s="1">
        <f>C1333*$E$1867/E1333</f>
        <v>23.637025611702125</v>
      </c>
      <c r="J1333" s="26">
        <f t="shared" si="101"/>
        <v>106847.55200655204</v>
      </c>
      <c r="K1333" s="1">
        <f>D1333*$E$1867/E1333</f>
        <v>54.760891914893612</v>
      </c>
      <c r="L1333" s="26">
        <f t="shared" si="99"/>
        <v>13256.691428276568</v>
      </c>
      <c r="M1333" s="10">
        <f t="shared" si="97"/>
        <v>7.8325621371418972</v>
      </c>
      <c r="N1333" s="4">
        <f t="shared" si="98"/>
        <v>9.795899961575472</v>
      </c>
      <c r="O1333" s="36">
        <f>1/M1333-(G1333/100-(((E1333/E1213)^(1/10))-1))</f>
        <v>7.6719176754106083E-2</v>
      </c>
      <c r="P1333" s="48">
        <v>10.85</v>
      </c>
      <c r="R1333" s="30"/>
      <c r="S1333" s="30"/>
    </row>
    <row r="1334" spans="1:19" ht="13" x14ac:dyDescent="0.3">
      <c r="A1334" s="52" t="s">
        <v>1350</v>
      </c>
      <c r="B1334" s="6">
        <v>117.3</v>
      </c>
      <c r="C1334" s="1">
        <v>6.66</v>
      </c>
      <c r="D1334" s="6">
        <v>15.1767</v>
      </c>
      <c r="E1334" s="6">
        <v>94.3</v>
      </c>
      <c r="F1334" s="1">
        <f t="shared" si="100"/>
        <v>1982.0416666665658</v>
      </c>
      <c r="G1334" s="17">
        <v>14.59</v>
      </c>
      <c r="H1334" s="1">
        <f>B1334*$E$1867/E1334</f>
        <v>416.86311585365854</v>
      </c>
      <c r="I1334" s="1">
        <f>C1334*$E$1867/E1334</f>
        <v>23.668442895015907</v>
      </c>
      <c r="J1334" s="26">
        <f t="shared" si="101"/>
        <v>101393.03076001092</v>
      </c>
      <c r="K1334" s="1">
        <f>D1334*$E$1867/E1334</f>
        <v>53.935263856574764</v>
      </c>
      <c r="L1334" s="26">
        <f t="shared" si="99"/>
        <v>13118.598550174407</v>
      </c>
      <c r="M1334" s="10">
        <f t="shared" si="97"/>
        <v>7.3886599733759954</v>
      </c>
      <c r="N1334" s="4">
        <f t="shared" si="98"/>
        <v>9.253826807056992</v>
      </c>
      <c r="O1334" s="36">
        <f>1/M1334-(G1334/100-(((E1334/E1214)^(1/10))-1))</f>
        <v>7.6035749513202189E-2</v>
      </c>
      <c r="P1334" s="48">
        <v>12.28</v>
      </c>
      <c r="R1334" s="30"/>
      <c r="S1334" s="30"/>
    </row>
    <row r="1335" spans="1:19" ht="13" x14ac:dyDescent="0.3">
      <c r="A1335" s="52" t="s">
        <v>1351</v>
      </c>
      <c r="B1335" s="6">
        <v>114.5</v>
      </c>
      <c r="C1335" s="1">
        <v>6.69</v>
      </c>
      <c r="D1335" s="6">
        <v>14.9933</v>
      </c>
      <c r="E1335" s="6">
        <v>94.6</v>
      </c>
      <c r="F1335" s="1">
        <f t="shared" si="100"/>
        <v>1982.124999999899</v>
      </c>
      <c r="G1335" s="17">
        <v>14.43</v>
      </c>
      <c r="H1335" s="1">
        <f>B1335*$E$1867/E1335</f>
        <v>405.6219992071882</v>
      </c>
      <c r="I1335" s="1">
        <f>C1335*$E$1867/E1335</f>
        <v>23.699660914376324</v>
      </c>
      <c r="J1335" s="26">
        <f t="shared" si="101"/>
        <v>99139.23933662237</v>
      </c>
      <c r="K1335" s="1">
        <f>D1335*$E$1867/E1335</f>
        <v>53.114518084830863</v>
      </c>
      <c r="L1335" s="26">
        <f t="shared" si="99"/>
        <v>12981.872114810305</v>
      </c>
      <c r="M1335" s="10">
        <f t="shared" si="97"/>
        <v>7.181823450546732</v>
      </c>
      <c r="N1335" s="4">
        <f t="shared" si="98"/>
        <v>9.0088238106911902</v>
      </c>
      <c r="O1335" s="36">
        <f>1/M1335-(G1335/100-(((E1335/E1215)^(1/10))-1))</f>
        <v>8.135128973041264E-2</v>
      </c>
      <c r="P1335" s="48">
        <v>13.48</v>
      </c>
      <c r="R1335" s="30"/>
      <c r="S1335" s="30"/>
    </row>
    <row r="1336" spans="1:19" ht="13" x14ac:dyDescent="0.3">
      <c r="A1336" s="52" t="s">
        <v>1352</v>
      </c>
      <c r="B1336" s="6">
        <v>110.8</v>
      </c>
      <c r="C1336" s="1">
        <v>6.72</v>
      </c>
      <c r="D1336" s="6">
        <v>14.81</v>
      </c>
      <c r="E1336" s="6">
        <v>94.5</v>
      </c>
      <c r="F1336" s="1">
        <f t="shared" si="100"/>
        <v>1982.2083333332323</v>
      </c>
      <c r="G1336" s="17">
        <v>13.86</v>
      </c>
      <c r="H1336" s="1">
        <f>B1336*$E$1867/E1336</f>
        <v>392.92992275132275</v>
      </c>
      <c r="I1336" s="1">
        <f>C1336*$E$1867/E1336</f>
        <v>23.831128888888887</v>
      </c>
      <c r="J1336" s="26">
        <f t="shared" si="101"/>
        <v>96522.51865834753</v>
      </c>
      <c r="K1336" s="1">
        <f>D1336*$E$1867/E1336</f>
        <v>52.520687328042328</v>
      </c>
      <c r="L1336" s="26">
        <f t="shared" si="99"/>
        <v>12901.611022835081</v>
      </c>
      <c r="M1336" s="10">
        <f t="shared" si="97"/>
        <v>6.9506737935360325</v>
      </c>
      <c r="N1336" s="4">
        <f t="shared" si="98"/>
        <v>8.7341959211512812</v>
      </c>
      <c r="O1336" s="36">
        <f>1/M1336-(G1336/100-(((E1336/E1216)^(1/10))-1))</f>
        <v>9.1304256301417114E-2</v>
      </c>
      <c r="P1336" s="48">
        <v>12.68</v>
      </c>
      <c r="R1336" s="30"/>
      <c r="S1336" s="30"/>
    </row>
    <row r="1337" spans="1:19" ht="13" x14ac:dyDescent="0.3">
      <c r="A1337" s="52" t="s">
        <v>1353</v>
      </c>
      <c r="B1337" s="6">
        <v>116.3</v>
      </c>
      <c r="C1337" s="1">
        <v>6.75</v>
      </c>
      <c r="D1337" s="6">
        <v>14.5967</v>
      </c>
      <c r="E1337" s="6">
        <v>94.9</v>
      </c>
      <c r="F1337" s="1">
        <f t="shared" si="100"/>
        <v>1982.2916666665656</v>
      </c>
      <c r="G1337" s="17">
        <v>13.87</v>
      </c>
      <c r="H1337" s="1">
        <f>B1337*$E$1867/E1337</f>
        <v>410.69617044257109</v>
      </c>
      <c r="I1337" s="1">
        <f>C1337*$E$1867/E1337</f>
        <v>23.836622102212857</v>
      </c>
      <c r="J1337" s="26">
        <f t="shared" si="101"/>
        <v>101374.71688507401</v>
      </c>
      <c r="K1337" s="1">
        <f>D1337*$E$1867/E1337</f>
        <v>51.546077309536351</v>
      </c>
      <c r="L1337" s="26">
        <f t="shared" si="99"/>
        <v>12723.442218025451</v>
      </c>
      <c r="M1337" s="10">
        <f t="shared" si="97"/>
        <v>7.2590726254261462</v>
      </c>
      <c r="N1337" s="4">
        <f t="shared" si="98"/>
        <v>9.1357622995118248</v>
      </c>
      <c r="O1337" s="36">
        <f>1/M1337-(G1337/100-(((E1337/E1217)^(1/10))-1))</f>
        <v>8.5288689814834423E-2</v>
      </c>
      <c r="P1337" s="48">
        <v>12.7</v>
      </c>
      <c r="R1337" s="30"/>
      <c r="S1337" s="30"/>
    </row>
    <row r="1338" spans="1:19" ht="13" x14ac:dyDescent="0.3">
      <c r="A1338" s="52" t="s">
        <v>1354</v>
      </c>
      <c r="B1338" s="6">
        <v>116.4</v>
      </c>
      <c r="C1338" s="1">
        <v>6.78</v>
      </c>
      <c r="D1338" s="6">
        <v>14.3833</v>
      </c>
      <c r="E1338" s="6">
        <v>95.8</v>
      </c>
      <c r="F1338" s="1">
        <f t="shared" si="100"/>
        <v>1982.3749999998988</v>
      </c>
      <c r="G1338" s="17">
        <v>13.62</v>
      </c>
      <c r="H1338" s="1">
        <f>B1338*$E$1867/E1338</f>
        <v>407.18767327766182</v>
      </c>
      <c r="I1338" s="1">
        <f>C1338*$E$1867/E1338</f>
        <v>23.71763251565762</v>
      </c>
      <c r="J1338" s="26">
        <f t="shared" si="101"/>
        <v>100996.55683755645</v>
      </c>
      <c r="K1338" s="1">
        <f>D1338*$E$1867/E1338</f>
        <v>50.315313239300629</v>
      </c>
      <c r="L1338" s="26">
        <f t="shared" si="99"/>
        <v>12479.929346749361</v>
      </c>
      <c r="M1338" s="10">
        <f t="shared" ref="M1338:M1401" si="102">H1338/AVERAGE(K1218:K1337)</f>
        <v>7.1926124844646226</v>
      </c>
      <c r="N1338" s="4">
        <f t="shared" ref="N1338:N1401" si="103">J1338/AVERAGE(L1218:L1337)</f>
        <v>9.066293563047882</v>
      </c>
      <c r="O1338" s="36">
        <f>1/M1338-(G1338/100-(((E1338/E1218)^(1/10))-1))</f>
        <v>8.9825718986730002E-2</v>
      </c>
      <c r="P1338" s="48">
        <v>12.09</v>
      </c>
      <c r="R1338" s="30"/>
      <c r="S1338" s="30"/>
    </row>
    <row r="1339" spans="1:19" ht="13" x14ac:dyDescent="0.3">
      <c r="A1339" s="52" t="s">
        <v>1355</v>
      </c>
      <c r="B1339" s="6">
        <v>109.7</v>
      </c>
      <c r="C1339" s="1">
        <v>6.81</v>
      </c>
      <c r="D1339" s="6">
        <v>14.17</v>
      </c>
      <c r="E1339" s="6">
        <v>97</v>
      </c>
      <c r="F1339" s="1">
        <f t="shared" si="100"/>
        <v>1982.4583333332321</v>
      </c>
      <c r="G1339" s="17">
        <v>14.3</v>
      </c>
      <c r="H1339" s="1">
        <f>B1339*$E$1867/E1339</f>
        <v>379.00247345360827</v>
      </c>
      <c r="I1339" s="1">
        <f>C1339*$E$1867/E1339</f>
        <v>23.527865489690718</v>
      </c>
      <c r="J1339" s="26">
        <f t="shared" si="101"/>
        <v>94491.96728468909</v>
      </c>
      <c r="K1339" s="1">
        <f>D1339*$E$1867/E1339</f>
        <v>48.955925695876289</v>
      </c>
      <c r="L1339" s="26">
        <f t="shared" si="99"/>
        <v>12205.571343883723</v>
      </c>
      <c r="M1339" s="10">
        <f t="shared" si="102"/>
        <v>6.6921339881975879</v>
      </c>
      <c r="N1339" s="4">
        <f t="shared" si="103"/>
        <v>8.4514967536399173</v>
      </c>
      <c r="O1339" s="36">
        <f>1/M1339-(G1339/100-(((E1339/E1219)^(1/10))-1))</f>
        <v>9.4516031526627603E-2</v>
      </c>
      <c r="P1339" s="48">
        <v>12.47</v>
      </c>
      <c r="R1339" s="30"/>
      <c r="S1339" s="30"/>
    </row>
    <row r="1340" spans="1:19" ht="13" x14ac:dyDescent="0.3">
      <c r="A1340" s="52" t="s">
        <v>1356</v>
      </c>
      <c r="B1340" s="6">
        <v>109.4</v>
      </c>
      <c r="C1340" s="1">
        <v>6.8233300000000003</v>
      </c>
      <c r="D1340" s="6">
        <v>13.966699999999999</v>
      </c>
      <c r="E1340" s="6">
        <v>97.5</v>
      </c>
      <c r="F1340" s="1">
        <f t="shared" si="100"/>
        <v>1982.5416666665653</v>
      </c>
      <c r="G1340" s="17">
        <v>13.95</v>
      </c>
      <c r="H1340" s="1">
        <f>B1340*$E$1867/E1340</f>
        <v>376.0277164102564</v>
      </c>
      <c r="I1340" s="1">
        <f>C1340*$E$1867/E1340</f>
        <v>23.453027405974357</v>
      </c>
      <c r="J1340" s="26">
        <f t="shared" si="101"/>
        <v>94237.579093470369</v>
      </c>
      <c r="K1340" s="1">
        <f>D1340*$E$1867/E1340</f>
        <v>48.006090555641023</v>
      </c>
      <c r="L1340" s="26">
        <f t="shared" si="99"/>
        <v>12030.968884138689</v>
      </c>
      <c r="M1340" s="10">
        <f t="shared" si="102"/>
        <v>6.6386531002087592</v>
      </c>
      <c r="N1340" s="4">
        <f t="shared" si="103"/>
        <v>8.4002969540387191</v>
      </c>
      <c r="O1340" s="36">
        <f>1/M1340-(G1340/100-(((E1340/E1220)^(1/10))-1))</f>
        <v>9.9258643505639649E-2</v>
      </c>
      <c r="P1340" s="48">
        <v>11.35</v>
      </c>
      <c r="R1340" s="30"/>
      <c r="S1340" s="30"/>
    </row>
    <row r="1341" spans="1:19" ht="13" x14ac:dyDescent="0.3">
      <c r="A1341" s="52" t="s">
        <v>1357</v>
      </c>
      <c r="B1341" s="6">
        <v>109.7</v>
      </c>
      <c r="C1341" s="1">
        <v>6.8366699999999998</v>
      </c>
      <c r="D1341" s="6">
        <v>13.763299999999999</v>
      </c>
      <c r="E1341" s="6">
        <v>97.7</v>
      </c>
      <c r="F1341" s="1">
        <f t="shared" si="100"/>
        <v>1982.6249999998986</v>
      </c>
      <c r="G1341" s="17">
        <v>13.06</v>
      </c>
      <c r="H1341" s="1">
        <f>B1341*$E$1867/E1341</f>
        <v>376.28700025588535</v>
      </c>
      <c r="I1341" s="1">
        <f>C1341*$E$1867/E1341</f>
        <v>23.45077526015865</v>
      </c>
      <c r="J1341" s="26">
        <f t="shared" si="101"/>
        <v>94792.315611122176</v>
      </c>
      <c r="K1341" s="1">
        <f>D1341*$E$1867/E1341</f>
        <v>47.210126441402245</v>
      </c>
      <c r="L1341" s="26">
        <f t="shared" si="99"/>
        <v>11892.935984052487</v>
      </c>
      <c r="M1341" s="10">
        <f t="shared" si="102"/>
        <v>6.6434227521660887</v>
      </c>
      <c r="N1341" s="4">
        <f t="shared" si="103"/>
        <v>8.4227507585675969</v>
      </c>
      <c r="O1341" s="36">
        <f>1/M1341-(G1341/100-(((E1341/E1221)^(1/10))-1))</f>
        <v>0.1080140872210017</v>
      </c>
      <c r="P1341" s="48">
        <v>8.68</v>
      </c>
      <c r="R1341" s="30"/>
      <c r="S1341" s="30"/>
    </row>
    <row r="1342" spans="1:19" ht="13" x14ac:dyDescent="0.3">
      <c r="A1342" s="52" t="s">
        <v>1358</v>
      </c>
      <c r="B1342" s="6">
        <v>122.4</v>
      </c>
      <c r="C1342" s="1">
        <v>6.85</v>
      </c>
      <c r="D1342" s="6">
        <v>13.56</v>
      </c>
      <c r="E1342" s="6">
        <v>97.9</v>
      </c>
      <c r="F1342" s="1">
        <f t="shared" si="100"/>
        <v>1982.7083333332318</v>
      </c>
      <c r="G1342" s="17">
        <v>12.34</v>
      </c>
      <c r="H1342" s="1">
        <f>B1342*$E$1867/E1342</f>
        <v>418.9921409601634</v>
      </c>
      <c r="I1342" s="1">
        <f>C1342*$E$1867/E1342</f>
        <v>23.448498084780383</v>
      </c>
      <c r="J1342" s="26">
        <f t="shared" si="101"/>
        <v>106042.63064255685</v>
      </c>
      <c r="K1342" s="1">
        <f>D1342*$E$1867/E1342</f>
        <v>46.417756792645555</v>
      </c>
      <c r="L1342" s="26">
        <f t="shared" si="99"/>
        <v>11747.860061381298</v>
      </c>
      <c r="M1342" s="10">
        <f t="shared" si="102"/>
        <v>7.398838200323306</v>
      </c>
      <c r="N1342" s="4">
        <f t="shared" si="103"/>
        <v>9.3938442850122286</v>
      </c>
      <c r="O1342" s="36">
        <f>1/M1342-(G1342/100-(((E1342/E1222)^(1/10))-1))</f>
        <v>9.9809376875610353E-2</v>
      </c>
      <c r="P1342" s="48">
        <v>7.92</v>
      </c>
      <c r="R1342" s="30"/>
      <c r="S1342" s="30"/>
    </row>
    <row r="1343" spans="1:19" ht="13" x14ac:dyDescent="0.3">
      <c r="A1343" s="52" t="s">
        <v>1359</v>
      </c>
      <c r="B1343" s="6">
        <v>132.69999999999999</v>
      </c>
      <c r="C1343" s="1">
        <v>6.8566700000000003</v>
      </c>
      <c r="D1343" s="6">
        <v>13.253299999999999</v>
      </c>
      <c r="E1343" s="6">
        <v>98.2</v>
      </c>
      <c r="F1343" s="1">
        <f t="shared" si="100"/>
        <v>1982.7916666665651</v>
      </c>
      <c r="G1343" s="17">
        <v>10.91</v>
      </c>
      <c r="H1343" s="1">
        <f>B1343*$E$1867/E1343</f>
        <v>452.86273599796328</v>
      </c>
      <c r="I1343" s="1">
        <f>C1343*$E$1867/E1343</f>
        <v>23.399625742540731</v>
      </c>
      <c r="J1343" s="26">
        <f t="shared" si="101"/>
        <v>115108.44942620967</v>
      </c>
      <c r="K1343" s="1">
        <f>D1343*$E$1867/E1343</f>
        <v>45.229281831211814</v>
      </c>
      <c r="L1343" s="26">
        <f t="shared" si="99"/>
        <v>11496.358800153615</v>
      </c>
      <c r="M1343" s="10">
        <f t="shared" si="102"/>
        <v>7.999840994534587</v>
      </c>
      <c r="N1343" s="4">
        <f t="shared" si="103"/>
        <v>10.167766914461488</v>
      </c>
      <c r="O1343" s="36">
        <f>1/M1343-(G1343/100-(((E1343/E1223)^(1/10))-1))</f>
        <v>0.10377276401638616</v>
      </c>
      <c r="P1343" s="48">
        <v>7.71</v>
      </c>
      <c r="R1343" s="30"/>
      <c r="S1343" s="30"/>
    </row>
    <row r="1344" spans="1:19" ht="13" x14ac:dyDescent="0.3">
      <c r="A1344" s="52" t="s">
        <v>1360</v>
      </c>
      <c r="B1344" s="6">
        <v>138.1</v>
      </c>
      <c r="C1344" s="1">
        <v>6.8633300000000004</v>
      </c>
      <c r="D1344" s="6">
        <v>12.9467</v>
      </c>
      <c r="E1344" s="6">
        <v>98</v>
      </c>
      <c r="F1344" s="1">
        <f t="shared" si="100"/>
        <v>1982.8749999998984</v>
      </c>
      <c r="G1344" s="17">
        <v>10.55</v>
      </c>
      <c r="H1344" s="1">
        <f>B1344*$E$1867/E1344</f>
        <v>472.25303086734692</v>
      </c>
      <c r="I1344" s="1">
        <f>C1344*$E$1867/E1344</f>
        <v>23.470154919209186</v>
      </c>
      <c r="J1344" s="26">
        <f t="shared" si="101"/>
        <v>120534.20210885341</v>
      </c>
      <c r="K1344" s="1">
        <f>D1344*$E$1867/E1344</f>
        <v>44.273123205867343</v>
      </c>
      <c r="L1344" s="26">
        <f t="shared" si="99"/>
        <v>11299.928707043391</v>
      </c>
      <c r="M1344" s="10">
        <f t="shared" si="102"/>
        <v>8.3474769381554292</v>
      </c>
      <c r="N1344" s="4">
        <f t="shared" si="103"/>
        <v>10.619399669022332</v>
      </c>
      <c r="O1344" s="36">
        <f>1/M1344-(G1344/100-(((E1344/E1224)^(1/10))-1))</f>
        <v>0.10168839765063202</v>
      </c>
      <c r="P1344" s="48">
        <v>8.07</v>
      </c>
      <c r="R1344" s="30"/>
      <c r="S1344" s="30"/>
    </row>
    <row r="1345" spans="1:19" ht="13" x14ac:dyDescent="0.3">
      <c r="A1345" s="52" t="s">
        <v>1361</v>
      </c>
      <c r="B1345" s="6">
        <v>139.4</v>
      </c>
      <c r="C1345" s="1">
        <v>6.87</v>
      </c>
      <c r="D1345" s="6">
        <v>12.64</v>
      </c>
      <c r="E1345" s="6">
        <v>97.6</v>
      </c>
      <c r="F1345" s="1">
        <f t="shared" si="100"/>
        <v>1982.9583333332316</v>
      </c>
      <c r="G1345" s="17">
        <v>10.54</v>
      </c>
      <c r="H1345" s="1">
        <f>B1345*$E$1867/E1345</f>
        <v>478.65225256147545</v>
      </c>
      <c r="I1345" s="1">
        <f>C1345*$E$1867/E1345</f>
        <v>23.589246593237707</v>
      </c>
      <c r="J1345" s="26">
        <f t="shared" si="101"/>
        <v>122669.21787333259</v>
      </c>
      <c r="K1345" s="1">
        <f>D1345*$E$1867/E1345</f>
        <v>43.401466803278687</v>
      </c>
      <c r="L1345" s="26">
        <f t="shared" si="99"/>
        <v>11122.947732560428</v>
      </c>
      <c r="M1345" s="10">
        <f t="shared" si="102"/>
        <v>8.4677384014004762</v>
      </c>
      <c r="N1345" s="4">
        <f t="shared" si="103"/>
        <v>10.782007239538881</v>
      </c>
      <c r="O1345" s="36">
        <f>1/M1345-(G1345/100-(((E1345/E1225)^(1/10))-1))</f>
        <v>9.9386333731798213E-2</v>
      </c>
      <c r="P1345" s="48">
        <v>7.94</v>
      </c>
      <c r="R1345" s="30"/>
      <c r="S1345" s="30"/>
    </row>
    <row r="1346" spans="1:19" ht="13" x14ac:dyDescent="0.3">
      <c r="A1346" s="52" t="s">
        <v>1362</v>
      </c>
      <c r="B1346" s="6">
        <v>144.30000000000001</v>
      </c>
      <c r="C1346" s="1">
        <v>6.8833299999999999</v>
      </c>
      <c r="D1346" s="6">
        <v>12.566700000000001</v>
      </c>
      <c r="E1346" s="6">
        <v>97.8</v>
      </c>
      <c r="F1346" s="1">
        <f t="shared" si="100"/>
        <v>1983.0416666665649</v>
      </c>
      <c r="G1346" s="17">
        <v>10.46</v>
      </c>
      <c r="H1346" s="1">
        <f>B1346*$E$1867/E1346</f>
        <v>494.4639424846626</v>
      </c>
      <c r="I1346" s="1">
        <f>C1346*$E$1867/E1346</f>
        <v>23.586683916998979</v>
      </c>
      <c r="J1346" s="26">
        <f t="shared" si="101"/>
        <v>127225.17883139769</v>
      </c>
      <c r="K1346" s="1">
        <f>D1346*$E$1867/E1346</f>
        <v>43.061538641871174</v>
      </c>
      <c r="L1346" s="26">
        <f t="shared" si="99"/>
        <v>11079.69961760586</v>
      </c>
      <c r="M1346" s="10">
        <f t="shared" si="102"/>
        <v>8.7567832241347432</v>
      </c>
      <c r="N1346" s="4">
        <f t="shared" si="103"/>
        <v>11.15854426473039</v>
      </c>
      <c r="O1346" s="36">
        <f>1/M1346-(G1346/100-(((E1346/E1226)^(1/10))-1))</f>
        <v>9.6255295626268958E-2</v>
      </c>
      <c r="P1346" s="48">
        <v>7.86</v>
      </c>
      <c r="R1346" s="30"/>
      <c r="S1346" s="30"/>
    </row>
    <row r="1347" spans="1:19" ht="13" x14ac:dyDescent="0.3">
      <c r="A1347" s="52" t="s">
        <v>1363</v>
      </c>
      <c r="B1347" s="6">
        <v>146.80000000000001</v>
      </c>
      <c r="C1347" s="1">
        <v>6.8966700000000003</v>
      </c>
      <c r="D1347" s="6">
        <v>12.4933</v>
      </c>
      <c r="E1347" s="6">
        <v>97.9</v>
      </c>
      <c r="F1347" s="1">
        <f t="shared" si="100"/>
        <v>1983.1249999998981</v>
      </c>
      <c r="G1347" s="17">
        <v>10.72</v>
      </c>
      <c r="H1347" s="1">
        <f>B1347*$E$1867/E1347</f>
        <v>502.51671807967313</v>
      </c>
      <c r="I1347" s="1">
        <f>C1347*$E$1867/E1347</f>
        <v>23.608255954213483</v>
      </c>
      <c r="J1347" s="26">
        <f t="shared" si="101"/>
        <v>129803.35037119582</v>
      </c>
      <c r="K1347" s="1">
        <f>D1347*$E$1867/E1347</f>
        <v>42.766295054392231</v>
      </c>
      <c r="L1347" s="26">
        <f t="shared" ref="L1347:L1410" si="104">K1347*(J1347/H1347)</f>
        <v>11046.813332373707</v>
      </c>
      <c r="M1347" s="10">
        <f t="shared" si="102"/>
        <v>8.9104934366241189</v>
      </c>
      <c r="N1347" s="4">
        <f t="shared" si="103"/>
        <v>11.36206826684862</v>
      </c>
      <c r="O1347" s="36">
        <f>1/M1347-(G1347/100-(((E1347/E1227)^(1/10))-1))</f>
        <v>9.1034018855072174E-2</v>
      </c>
      <c r="P1347" s="48">
        <v>8.11</v>
      </c>
      <c r="R1347" s="30"/>
      <c r="S1347" s="30"/>
    </row>
    <row r="1348" spans="1:19" ht="13" x14ac:dyDescent="0.3">
      <c r="A1348" s="52" t="s">
        <v>1364</v>
      </c>
      <c r="B1348" s="6">
        <v>151.9</v>
      </c>
      <c r="C1348" s="1">
        <v>6.91</v>
      </c>
      <c r="D1348" s="6">
        <v>12.42</v>
      </c>
      <c r="E1348" s="6">
        <v>97.9</v>
      </c>
      <c r="F1348" s="1">
        <f t="shared" ref="F1348:F1411" si="105">F1347+1/12</f>
        <v>1983.2083333332314</v>
      </c>
      <c r="G1348" s="17">
        <v>10.51</v>
      </c>
      <c r="H1348" s="1">
        <f>B1348*$E$1867/E1348</f>
        <v>519.97472395301327</v>
      </c>
      <c r="I1348" s="1">
        <f>C1348*$E$1867/E1348</f>
        <v>23.653886389172623</v>
      </c>
      <c r="J1348" s="26">
        <f t="shared" ref="J1348:J1411" si="106">J1347*((H1348+(I1348/12))/H1347)</f>
        <v>134822.03009064528</v>
      </c>
      <c r="K1348" s="1">
        <f>D1348*$E$1867/E1348</f>
        <v>42.515379009193055</v>
      </c>
      <c r="L1348" s="26">
        <f t="shared" si="104"/>
        <v>11023.631426766389</v>
      </c>
      <c r="M1348" s="10">
        <f t="shared" si="102"/>
        <v>9.2328297051905235</v>
      </c>
      <c r="N1348" s="4">
        <f t="shared" si="103"/>
        <v>11.77931272112626</v>
      </c>
      <c r="O1348" s="36">
        <f>1/M1348-(G1348/100-(((E1348/E1228)^(1/10))-1))</f>
        <v>8.8208510612932153E-2</v>
      </c>
      <c r="P1348" s="48">
        <v>8.35</v>
      </c>
      <c r="R1348" s="30"/>
      <c r="S1348" s="30"/>
    </row>
    <row r="1349" spans="1:19" ht="13" x14ac:dyDescent="0.3">
      <c r="A1349" s="52" t="s">
        <v>1365</v>
      </c>
      <c r="B1349" s="6">
        <v>157.69999999999999</v>
      </c>
      <c r="C1349" s="1">
        <v>6.92</v>
      </c>
      <c r="D1349" s="6">
        <v>12.476699999999999</v>
      </c>
      <c r="E1349" s="6">
        <v>98.6</v>
      </c>
      <c r="F1349" s="1">
        <f t="shared" si="105"/>
        <v>1983.2916666665647</v>
      </c>
      <c r="G1349" s="17">
        <v>10.4</v>
      </c>
      <c r="H1349" s="1">
        <f>B1349*$E$1867/E1349</f>
        <v>535.99646982758622</v>
      </c>
      <c r="I1349" s="1">
        <f>C1349*$E$1867/E1349</f>
        <v>23.519946551724139</v>
      </c>
      <c r="J1349" s="26">
        <f t="shared" si="106"/>
        <v>139484.43918709716</v>
      </c>
      <c r="K1349" s="1">
        <f>D1349*$E$1867/E1349</f>
        <v>42.406259702586212</v>
      </c>
      <c r="L1349" s="26">
        <f t="shared" si="104"/>
        <v>11035.545354506376</v>
      </c>
      <c r="M1349" s="10">
        <f t="shared" si="102"/>
        <v>9.5315812841604117</v>
      </c>
      <c r="N1349" s="4">
        <f t="shared" si="103"/>
        <v>12.165031590630475</v>
      </c>
      <c r="O1349" s="36">
        <f>1/M1349-(G1349/100-(((E1349/E1229)^(1/10))-1))</f>
        <v>8.5937631639212586E-2</v>
      </c>
      <c r="P1349" s="48">
        <v>8.2100000000000009</v>
      </c>
      <c r="R1349" s="30"/>
      <c r="S1349" s="30"/>
    </row>
    <row r="1350" spans="1:19" ht="13" x14ac:dyDescent="0.3">
      <c r="A1350" s="52" t="s">
        <v>1366</v>
      </c>
      <c r="B1350" s="6">
        <v>164.1</v>
      </c>
      <c r="C1350" s="1">
        <v>6.93</v>
      </c>
      <c r="D1350" s="6">
        <v>12.533300000000001</v>
      </c>
      <c r="E1350" s="6">
        <v>99.2</v>
      </c>
      <c r="F1350" s="1">
        <f t="shared" si="105"/>
        <v>1983.3749999998979</v>
      </c>
      <c r="G1350" s="17">
        <v>10.38</v>
      </c>
      <c r="H1350" s="1">
        <f>B1350*$E$1867/E1350</f>
        <v>554.37553956653221</v>
      </c>
      <c r="I1350" s="1">
        <f>C1350*$E$1867/E1350</f>
        <v>23.411471597782253</v>
      </c>
      <c r="J1350" s="26">
        <f t="shared" si="106"/>
        <v>144775.00058779638</v>
      </c>
      <c r="K1350" s="1">
        <f>D1350*$E$1867/E1350</f>
        <v>42.340980804687497</v>
      </c>
      <c r="L1350" s="26">
        <f t="shared" si="104"/>
        <v>11057.334033315225</v>
      </c>
      <c r="M1350" s="10">
        <f t="shared" si="102"/>
        <v>9.8744565046684016</v>
      </c>
      <c r="N1350" s="4">
        <f t="shared" si="103"/>
        <v>12.605255648355723</v>
      </c>
      <c r="O1350" s="36">
        <f>1/M1350-(G1350/100-(((E1350/E1230)^(1/10))-1))</f>
        <v>8.240888324541365E-2</v>
      </c>
      <c r="P1350" s="48">
        <v>8.19</v>
      </c>
      <c r="R1350" s="30"/>
      <c r="S1350" s="30"/>
    </row>
    <row r="1351" spans="1:19" ht="13" x14ac:dyDescent="0.3">
      <c r="A1351" s="52" t="s">
        <v>1367</v>
      </c>
      <c r="B1351" s="6">
        <v>166.4</v>
      </c>
      <c r="C1351" s="1">
        <v>6.94</v>
      </c>
      <c r="D1351" s="6">
        <v>12.59</v>
      </c>
      <c r="E1351" s="6">
        <v>99.5</v>
      </c>
      <c r="F1351" s="1">
        <f t="shared" si="105"/>
        <v>1983.4583333332312</v>
      </c>
      <c r="G1351" s="17">
        <v>10.85</v>
      </c>
      <c r="H1351" s="1">
        <f>B1351*$E$1867/E1351</f>
        <v>560.45066934673366</v>
      </c>
      <c r="I1351" s="1">
        <f>C1351*$E$1867/E1351</f>
        <v>23.3745651758794</v>
      </c>
      <c r="J1351" s="26">
        <f t="shared" si="106"/>
        <v>146870.20722154793</v>
      </c>
      <c r="K1351" s="1">
        <f>D1351*$E$1867/E1351</f>
        <v>42.404290427135678</v>
      </c>
      <c r="L1351" s="26">
        <f t="shared" si="104"/>
        <v>11112.355221870723</v>
      </c>
      <c r="M1351" s="10">
        <f t="shared" si="102"/>
        <v>10.000117903130022</v>
      </c>
      <c r="N1351" s="4">
        <f t="shared" si="103"/>
        <v>12.767362769540018</v>
      </c>
      <c r="O1351" s="36">
        <f>1/M1351-(G1351/100-(((E1351/E1231)^(1/10))-1))</f>
        <v>7.6025103316231565E-2</v>
      </c>
      <c r="P1351" s="48">
        <v>8.7899999999999991</v>
      </c>
      <c r="R1351" s="30"/>
      <c r="S1351" s="30"/>
    </row>
    <row r="1352" spans="1:19" ht="13" x14ac:dyDescent="0.3">
      <c r="A1352" s="52" t="s">
        <v>1368</v>
      </c>
      <c r="B1352" s="6">
        <v>167</v>
      </c>
      <c r="C1352" s="1">
        <v>6.96</v>
      </c>
      <c r="D1352" s="6">
        <v>12.826700000000001</v>
      </c>
      <c r="E1352" s="6">
        <v>99.9</v>
      </c>
      <c r="F1352" s="1">
        <f t="shared" si="105"/>
        <v>1983.5416666665644</v>
      </c>
      <c r="G1352" s="17">
        <v>11.38</v>
      </c>
      <c r="H1352" s="1">
        <f>B1352*$E$1867/E1352</f>
        <v>560.21938688688681</v>
      </c>
      <c r="I1352" s="1">
        <f>C1352*$E$1867/E1352</f>
        <v>23.348065465465464</v>
      </c>
      <c r="J1352" s="26">
        <f t="shared" si="106"/>
        <v>147319.47560274255</v>
      </c>
      <c r="K1352" s="1">
        <f>D1352*$E$1867/E1352</f>
        <v>43.02853898073073</v>
      </c>
      <c r="L1352" s="26">
        <f t="shared" si="104"/>
        <v>11315.106094094001</v>
      </c>
      <c r="M1352" s="10">
        <f t="shared" si="102"/>
        <v>10.014475995571026</v>
      </c>
      <c r="N1352" s="4">
        <f t="shared" si="103"/>
        <v>12.786896040903441</v>
      </c>
      <c r="O1352" s="36">
        <f>1/M1352-(G1352/100-(((E1352/E1232)^(1/10))-1))</f>
        <v>7.0771773932720231E-2</v>
      </c>
      <c r="P1352" s="48">
        <v>9.08</v>
      </c>
      <c r="R1352" s="30"/>
      <c r="S1352" s="30"/>
    </row>
    <row r="1353" spans="1:19" ht="13" x14ac:dyDescent="0.3">
      <c r="A1353" s="52" t="s">
        <v>1369</v>
      </c>
      <c r="B1353" s="6">
        <v>162.4</v>
      </c>
      <c r="C1353" s="1">
        <v>6.98</v>
      </c>
      <c r="D1353" s="6">
        <v>13.0633</v>
      </c>
      <c r="E1353" s="6">
        <v>100.2</v>
      </c>
      <c r="F1353" s="1">
        <f t="shared" si="105"/>
        <v>1983.6249999998977</v>
      </c>
      <c r="G1353" s="17">
        <v>11.85</v>
      </c>
      <c r="H1353" s="1">
        <f>B1353*$E$1867/E1353</f>
        <v>543.15709181636726</v>
      </c>
      <c r="I1353" s="1">
        <f>C1353*$E$1867/E1353</f>
        <v>23.345052345309384</v>
      </c>
      <c r="J1353" s="26">
        <f t="shared" si="106"/>
        <v>143344.22946040926</v>
      </c>
      <c r="K1353" s="1">
        <f>D1353*$E$1867/E1353</f>
        <v>43.691034713822347</v>
      </c>
      <c r="L1353" s="26">
        <f t="shared" si="104"/>
        <v>11530.472122599531</v>
      </c>
      <c r="M1353" s="10">
        <f t="shared" si="102"/>
        <v>9.7280569356652098</v>
      </c>
      <c r="N1353" s="4">
        <f t="shared" si="103"/>
        <v>12.422837481069047</v>
      </c>
      <c r="O1353" s="36">
        <f>1/M1353-(G1353/100-(((E1353/E1233)^(1/10))-1))</f>
        <v>6.7396852910745084E-2</v>
      </c>
      <c r="P1353" s="48">
        <v>9.34</v>
      </c>
      <c r="R1353" s="30"/>
      <c r="S1353" s="30"/>
    </row>
    <row r="1354" spans="1:19" ht="13" x14ac:dyDescent="0.3">
      <c r="A1354" s="52" t="s">
        <v>1370</v>
      </c>
      <c r="B1354" s="6">
        <v>167.2</v>
      </c>
      <c r="C1354" s="1">
        <v>7</v>
      </c>
      <c r="D1354" s="6">
        <v>13.3</v>
      </c>
      <c r="E1354" s="6">
        <v>100.7</v>
      </c>
      <c r="F1354" s="1">
        <f t="shared" si="105"/>
        <v>1983.7083333332309</v>
      </c>
      <c r="G1354" s="17">
        <v>11.65</v>
      </c>
      <c r="H1354" s="1">
        <f>B1354*$E$1867/E1354</f>
        <v>556.43437735849045</v>
      </c>
      <c r="I1354" s="1">
        <f>C1354*$E$1867/E1354</f>
        <v>23.295697616683217</v>
      </c>
      <c r="J1354" s="26">
        <f t="shared" si="106"/>
        <v>147360.55846899044</v>
      </c>
      <c r="K1354" s="1">
        <f>D1354*$E$1867/E1354</f>
        <v>44.26182547169811</v>
      </c>
      <c r="L1354" s="26">
        <f t="shared" si="104"/>
        <v>11721.862605487879</v>
      </c>
      <c r="M1354" s="10">
        <f t="shared" si="102"/>
        <v>9.9842024580287774</v>
      </c>
      <c r="N1354" s="4">
        <f t="shared" si="103"/>
        <v>12.749884493756909</v>
      </c>
      <c r="O1354" s="36">
        <f>1/M1354-(G1354/100-(((E1354/E1234)^(1/10))-1))</f>
        <v>6.7058904719817569E-2</v>
      </c>
      <c r="P1354" s="48">
        <v>9</v>
      </c>
      <c r="R1354" s="30"/>
      <c r="S1354" s="30"/>
    </row>
    <row r="1355" spans="1:19" ht="13" x14ac:dyDescent="0.3">
      <c r="A1355" s="52" t="s">
        <v>1371</v>
      </c>
      <c r="B1355" s="6">
        <v>167.7</v>
      </c>
      <c r="C1355" s="1">
        <v>7.03</v>
      </c>
      <c r="D1355" s="6">
        <v>13.5433</v>
      </c>
      <c r="E1355" s="6">
        <v>101</v>
      </c>
      <c r="F1355" s="1">
        <f t="shared" si="105"/>
        <v>1983.7916666665642</v>
      </c>
      <c r="G1355" s="17">
        <v>11.54</v>
      </c>
      <c r="H1355" s="1">
        <f>B1355*$E$1867/E1355</f>
        <v>556.44063787128709</v>
      </c>
      <c r="I1355" s="1">
        <f>C1355*$E$1867/E1355</f>
        <v>23.326044628712872</v>
      </c>
      <c r="J1355" s="26">
        <f t="shared" si="106"/>
        <v>147877.00295547151</v>
      </c>
      <c r="K1355" s="1">
        <f>D1355*$E$1867/E1355</f>
        <v>44.937641567574254</v>
      </c>
      <c r="L1355" s="26">
        <f t="shared" si="104"/>
        <v>11942.412725860688</v>
      </c>
      <c r="M1355" s="10">
        <f t="shared" si="102"/>
        <v>10.003391799449627</v>
      </c>
      <c r="N1355" s="4">
        <f t="shared" si="103"/>
        <v>12.773539636170565</v>
      </c>
      <c r="O1355" s="36">
        <f>1/M1355-(G1355/100-(((E1355/E1235)^(1/10))-1))</f>
        <v>6.7334694140756352E-2</v>
      </c>
      <c r="P1355" s="48">
        <v>8.64</v>
      </c>
      <c r="R1355" s="30"/>
      <c r="S1355" s="30"/>
    </row>
    <row r="1356" spans="1:19" ht="13" x14ac:dyDescent="0.3">
      <c r="A1356" s="52" t="s">
        <v>1372</v>
      </c>
      <c r="B1356" s="6">
        <v>165.2</v>
      </c>
      <c r="C1356" s="1">
        <v>7.06</v>
      </c>
      <c r="D1356" s="6">
        <v>13.7867</v>
      </c>
      <c r="E1356" s="6">
        <v>101.2</v>
      </c>
      <c r="F1356" s="1">
        <f t="shared" si="105"/>
        <v>1983.8749999998975</v>
      </c>
      <c r="G1356" s="17">
        <v>11.69</v>
      </c>
      <c r="H1356" s="1">
        <f>B1356*$E$1867/E1356</f>
        <v>547.06216699604738</v>
      </c>
      <c r="I1356" s="1">
        <f>C1356*$E$1867/E1356</f>
        <v>23.379291156126481</v>
      </c>
      <c r="J1356" s="26">
        <f t="shared" si="106"/>
        <v>145902.38943588792</v>
      </c>
      <c r="K1356" s="1">
        <f>D1356*$E$1867/E1356</f>
        <v>45.654854586709483</v>
      </c>
      <c r="L1356" s="26">
        <f t="shared" si="104"/>
        <v>12176.225620071162</v>
      </c>
      <c r="M1356" s="10">
        <f t="shared" si="102"/>
        <v>9.8535816493642816</v>
      </c>
      <c r="N1356" s="4">
        <f t="shared" si="103"/>
        <v>12.581491199513106</v>
      </c>
      <c r="O1356" s="36">
        <f>1/M1356-(G1356/100-(((E1356/E1236)^(1/10))-1))</f>
        <v>6.6858837415097919E-2</v>
      </c>
      <c r="P1356" s="48">
        <v>8.76</v>
      </c>
      <c r="R1356" s="30"/>
      <c r="S1356" s="30"/>
    </row>
    <row r="1357" spans="1:19" ht="13" x14ac:dyDescent="0.3">
      <c r="A1357" s="52" t="s">
        <v>1373</v>
      </c>
      <c r="B1357" s="6">
        <v>164.4</v>
      </c>
      <c r="C1357" s="1">
        <v>7.09</v>
      </c>
      <c r="D1357" s="6">
        <v>14.03</v>
      </c>
      <c r="E1357" s="6">
        <v>101.3</v>
      </c>
      <c r="F1357" s="1">
        <f t="shared" si="105"/>
        <v>1983.9583333332307</v>
      </c>
      <c r="G1357" s="17">
        <v>11.83</v>
      </c>
      <c r="H1357" s="1">
        <f>B1357*$E$1867/E1357</f>
        <v>543.87552912142155</v>
      </c>
      <c r="I1357" s="1">
        <f>C1357*$E$1867/E1357</f>
        <v>23.455459254689043</v>
      </c>
      <c r="J1357" s="26">
        <f t="shared" si="106"/>
        <v>145573.80864841744</v>
      </c>
      <c r="K1357" s="1">
        <f>D1357*$E$1867/E1357</f>
        <v>46.414681712734449</v>
      </c>
      <c r="L1357" s="26">
        <f t="shared" si="104"/>
        <v>12423.360920543168</v>
      </c>
      <c r="M1357" s="10">
        <f t="shared" si="102"/>
        <v>9.8150109036086715</v>
      </c>
      <c r="N1357" s="4">
        <f t="shared" si="103"/>
        <v>12.531076317323549</v>
      </c>
      <c r="O1357" s="36">
        <f>1/M1357-(G1357/100-(((E1357/E1237)^(1/10))-1))</f>
        <v>6.5259644091050853E-2</v>
      </c>
      <c r="P1357" s="48">
        <v>9</v>
      </c>
      <c r="R1357" s="30"/>
      <c r="S1357" s="30"/>
    </row>
    <row r="1358" spans="1:19" ht="13" x14ac:dyDescent="0.3">
      <c r="A1358" s="52" t="s">
        <v>1374</v>
      </c>
      <c r="B1358" s="6">
        <v>166.4</v>
      </c>
      <c r="C1358" s="1">
        <v>7.12</v>
      </c>
      <c r="D1358" s="6">
        <v>14.44</v>
      </c>
      <c r="E1358" s="6">
        <v>101.9</v>
      </c>
      <c r="F1358" s="1">
        <f t="shared" si="105"/>
        <v>1984.041666666564</v>
      </c>
      <c r="G1358" s="17">
        <v>11.67</v>
      </c>
      <c r="H1358" s="1">
        <f>B1358*$E$1867/E1358</f>
        <v>547.25065358194308</v>
      </c>
      <c r="I1358" s="1">
        <f>C1358*$E$1867/E1358</f>
        <v>23.416013542688912</v>
      </c>
      <c r="J1358" s="26">
        <f t="shared" si="106"/>
        <v>146999.48947137609</v>
      </c>
      <c r="K1358" s="1">
        <f>D1358*$E$1867/E1358</f>
        <v>47.489780274779193</v>
      </c>
      <c r="L1358" s="26">
        <f t="shared" si="104"/>
        <v>12756.446081530472</v>
      </c>
      <c r="M1358" s="10">
        <f t="shared" si="102"/>
        <v>9.8949318092025376</v>
      </c>
      <c r="N1358" s="4">
        <f t="shared" si="103"/>
        <v>12.630750087850322</v>
      </c>
      <c r="O1358" s="36">
        <f>1/M1358-(G1358/100-(((E1358/E1238)^(1/10))-1))</f>
        <v>6.574306761357708E-2</v>
      </c>
      <c r="P1358" s="48">
        <v>8.9</v>
      </c>
      <c r="R1358" s="30"/>
      <c r="S1358" s="30"/>
    </row>
    <row r="1359" spans="1:19" ht="13" x14ac:dyDescent="0.3">
      <c r="A1359" s="52" t="s">
        <v>1375</v>
      </c>
      <c r="B1359" s="6">
        <v>157.30000000000001</v>
      </c>
      <c r="C1359" s="1">
        <v>7.15</v>
      </c>
      <c r="D1359" s="6">
        <v>14.85</v>
      </c>
      <c r="E1359" s="6">
        <v>102.4</v>
      </c>
      <c r="F1359" s="1">
        <f t="shared" si="105"/>
        <v>1984.1249999998972</v>
      </c>
      <c r="G1359" s="17">
        <v>11.84</v>
      </c>
      <c r="H1359" s="1">
        <f>B1359*$E$1867/E1359</f>
        <v>514.79689282226559</v>
      </c>
      <c r="I1359" s="1">
        <f>C1359*$E$1867/E1359</f>
        <v>23.399858764648435</v>
      </c>
      <c r="J1359" s="26">
        <f t="shared" si="106"/>
        <v>138805.73226084182</v>
      </c>
      <c r="K1359" s="1">
        <f>D1359*$E$1867/E1359</f>
        <v>48.599706665039058</v>
      </c>
      <c r="L1359" s="26">
        <f t="shared" si="104"/>
        <v>13104.037660988562</v>
      </c>
      <c r="M1359" s="10">
        <f t="shared" si="102"/>
        <v>9.3245296457279832</v>
      </c>
      <c r="N1359" s="4">
        <f t="shared" si="103"/>
        <v>11.902399335847162</v>
      </c>
      <c r="O1359" s="36">
        <f>1/M1359-(G1359/100-(((E1359/E1239)^(1/10))-1))</f>
        <v>6.9371444181055564E-2</v>
      </c>
      <c r="P1359" s="48">
        <v>9.09</v>
      </c>
      <c r="R1359" s="30"/>
      <c r="S1359" s="30"/>
    </row>
    <row r="1360" spans="1:19" ht="13" x14ac:dyDescent="0.3">
      <c r="A1360" s="52" t="s">
        <v>1376</v>
      </c>
      <c r="B1360" s="6">
        <v>157.4</v>
      </c>
      <c r="C1360" s="1">
        <v>7.18</v>
      </c>
      <c r="D1360" s="6">
        <v>15.26</v>
      </c>
      <c r="E1360" s="6">
        <v>102.6</v>
      </c>
      <c r="F1360" s="1">
        <f t="shared" si="105"/>
        <v>1984.2083333332305</v>
      </c>
      <c r="G1360" s="17">
        <v>12.32</v>
      </c>
      <c r="H1360" s="1">
        <f>B1360*$E$1867/E1360</f>
        <v>514.12002290448345</v>
      </c>
      <c r="I1360" s="1">
        <f>C1360*$E$1867/E1360</f>
        <v>23.45223484405458</v>
      </c>
      <c r="J1360" s="26">
        <f t="shared" si="106"/>
        <v>139150.18259412755</v>
      </c>
      <c r="K1360" s="1">
        <f>D1360*$E$1867/E1360</f>
        <v>49.844164863547761</v>
      </c>
      <c r="L1360" s="26">
        <f t="shared" si="104"/>
        <v>13490.672086317574</v>
      </c>
      <c r="M1360" s="10">
        <f t="shared" si="102"/>
        <v>9.326747066508247</v>
      </c>
      <c r="N1360" s="4">
        <f t="shared" si="103"/>
        <v>11.904570260565981</v>
      </c>
      <c r="O1360" s="36">
        <f>1/M1360-(G1360/100-(((E1360/E1240)^(1/10))-1))</f>
        <v>6.3392502935455924E-2</v>
      </c>
      <c r="P1360" s="48">
        <v>9.52</v>
      </c>
      <c r="R1360" s="30"/>
      <c r="S1360" s="30"/>
    </row>
    <row r="1361" spans="1:19" ht="13" x14ac:dyDescent="0.3">
      <c r="A1361" s="52" t="s">
        <v>1377</v>
      </c>
      <c r="B1361" s="6">
        <v>157.6</v>
      </c>
      <c r="C1361" s="1">
        <v>7.2233299999999998</v>
      </c>
      <c r="D1361" s="6">
        <v>15.5733</v>
      </c>
      <c r="E1361" s="6">
        <v>103.1</v>
      </c>
      <c r="F1361" s="1">
        <f t="shared" si="105"/>
        <v>1984.2916666665637</v>
      </c>
      <c r="G1361" s="17">
        <v>12.63</v>
      </c>
      <c r="H1361" s="1">
        <f>B1361*$E$1867/E1361</f>
        <v>512.27681280310378</v>
      </c>
      <c r="I1361" s="1">
        <f>C1361*$E$1867/E1361</f>
        <v>23.479343085184286</v>
      </c>
      <c r="J1361" s="26">
        <f t="shared" si="106"/>
        <v>139180.8755910708</v>
      </c>
      <c r="K1361" s="1">
        <f>D1361*$E$1867/E1361</f>
        <v>50.620815284432588</v>
      </c>
      <c r="L1361" s="26">
        <f t="shared" si="104"/>
        <v>13753.207676665119</v>
      </c>
      <c r="M1361" s="10">
        <f t="shared" si="102"/>
        <v>9.3056434045948251</v>
      </c>
      <c r="N1361" s="4">
        <f t="shared" si="103"/>
        <v>11.876543098868648</v>
      </c>
      <c r="O1361" s="36">
        <f>1/M1361-(G1361/100-(((E1361/E1241)^(1/10))-1))</f>
        <v>6.0609713794741449E-2</v>
      </c>
      <c r="P1361" s="48">
        <v>9.69</v>
      </c>
      <c r="R1361" s="30"/>
      <c r="S1361" s="30"/>
    </row>
    <row r="1362" spans="1:19" ht="13" x14ac:dyDescent="0.3">
      <c r="A1362" s="52" t="s">
        <v>1378</v>
      </c>
      <c r="B1362" s="6">
        <v>156.6</v>
      </c>
      <c r="C1362" s="1">
        <v>7.2666700000000004</v>
      </c>
      <c r="D1362" s="6">
        <v>15.886699999999999</v>
      </c>
      <c r="E1362" s="6">
        <v>103.4</v>
      </c>
      <c r="F1362" s="1">
        <f t="shared" si="105"/>
        <v>1984.374999999897</v>
      </c>
      <c r="G1362" s="17">
        <v>13.41</v>
      </c>
      <c r="H1362" s="1">
        <f>B1362*$E$1867/E1362</f>
        <v>507.54945986460342</v>
      </c>
      <c r="I1362" s="1">
        <f>C1362*$E$1867/E1362</f>
        <v>23.551688592045451</v>
      </c>
      <c r="J1362" s="26">
        <f t="shared" si="106"/>
        <v>138429.7288316091</v>
      </c>
      <c r="K1362" s="1">
        <f>D1362*$E$1867/E1362</f>
        <v>51.489693512330753</v>
      </c>
      <c r="L1362" s="26">
        <f t="shared" si="104"/>
        <v>14043.36892100335</v>
      </c>
      <c r="M1362" s="10">
        <f t="shared" si="102"/>
        <v>9.2318318168960474</v>
      </c>
      <c r="N1362" s="4">
        <f t="shared" si="103"/>
        <v>11.781082542587818</v>
      </c>
      <c r="O1362" s="36">
        <f>1/M1362-(G1362/100-(((E1362/E1242)^(1/10))-1))</f>
        <v>5.2642089353780161E-2</v>
      </c>
      <c r="P1362" s="48">
        <v>9.83</v>
      </c>
      <c r="R1362" s="30"/>
      <c r="S1362" s="30"/>
    </row>
    <row r="1363" spans="1:19" ht="13" x14ac:dyDescent="0.3">
      <c r="A1363" s="52" t="s">
        <v>1379</v>
      </c>
      <c r="B1363" s="6">
        <v>153.1</v>
      </c>
      <c r="C1363" s="1">
        <v>7.31</v>
      </c>
      <c r="D1363" s="6">
        <v>16.2</v>
      </c>
      <c r="E1363" s="6">
        <v>103.7</v>
      </c>
      <c r="F1363" s="1">
        <f t="shared" si="105"/>
        <v>1984.4583333332303</v>
      </c>
      <c r="G1363" s="17">
        <v>13.56</v>
      </c>
      <c r="H1363" s="1">
        <f>B1363*$E$1867/E1363</f>
        <v>494.77025819672127</v>
      </c>
      <c r="I1363" s="1">
        <f>C1363*$E$1867/E1363</f>
        <v>23.623583196721309</v>
      </c>
      <c r="J1363" s="26">
        <f t="shared" si="106"/>
        <v>135481.23936359581</v>
      </c>
      <c r="K1363" s="1">
        <f>D1363*$E$1867/E1363</f>
        <v>52.353221311475409</v>
      </c>
      <c r="L1363" s="26">
        <f t="shared" si="104"/>
        <v>14335.702662901715</v>
      </c>
      <c r="M1363" s="10">
        <f t="shared" si="102"/>
        <v>9.0101855122910095</v>
      </c>
      <c r="N1363" s="4">
        <f t="shared" si="103"/>
        <v>11.497716640781464</v>
      </c>
      <c r="O1363" s="36">
        <f>1/M1363-(G1363/100-(((E1363/E1243)^(1/10))-1))</f>
        <v>5.3235361198267842E-2</v>
      </c>
      <c r="P1363" s="48">
        <v>9.8699999999999992</v>
      </c>
      <c r="R1363" s="30"/>
      <c r="S1363" s="30"/>
    </row>
    <row r="1364" spans="1:19" ht="13" x14ac:dyDescent="0.3">
      <c r="A1364" s="52" t="s">
        <v>1380</v>
      </c>
      <c r="B1364" s="6">
        <v>151.1</v>
      </c>
      <c r="C1364" s="1">
        <v>7.3333300000000001</v>
      </c>
      <c r="D1364" s="6">
        <v>16.32</v>
      </c>
      <c r="E1364" s="6">
        <v>104.1</v>
      </c>
      <c r="F1364" s="1">
        <f t="shared" si="105"/>
        <v>1984.5416666665635</v>
      </c>
      <c r="G1364" s="17">
        <v>13.36</v>
      </c>
      <c r="H1364" s="1">
        <f>B1364*$E$1867/E1364</f>
        <v>486.43059822286261</v>
      </c>
      <c r="I1364" s="1">
        <f>C1364*$E$1867/E1364</f>
        <v>23.607915942195007</v>
      </c>
      <c r="J1364" s="26">
        <f t="shared" si="106"/>
        <v>133736.32514208238</v>
      </c>
      <c r="K1364" s="1">
        <f>D1364*$E$1867/E1364</f>
        <v>52.538367723342944</v>
      </c>
      <c r="L1364" s="26">
        <f t="shared" si="104"/>
        <v>14444.585217199106</v>
      </c>
      <c r="M1364" s="10">
        <f t="shared" si="102"/>
        <v>8.8683022140433039</v>
      </c>
      <c r="N1364" s="4">
        <f t="shared" si="103"/>
        <v>11.316241863649704</v>
      </c>
      <c r="O1364" s="36">
        <f>1/M1364-(G1364/100-(((E1364/E1244)^(1/10))-1))</f>
        <v>5.6549760285445394E-2</v>
      </c>
      <c r="P1364" s="48">
        <v>10.119999999999999</v>
      </c>
      <c r="R1364" s="30"/>
      <c r="S1364" s="30"/>
    </row>
    <row r="1365" spans="1:19" ht="13" x14ac:dyDescent="0.3">
      <c r="A1365" s="52" t="s">
        <v>1381</v>
      </c>
      <c r="B1365" s="6">
        <v>164.4</v>
      </c>
      <c r="C1365" s="1">
        <v>7.3566700000000003</v>
      </c>
      <c r="D1365" s="6">
        <v>16.440000000000001</v>
      </c>
      <c r="E1365" s="6">
        <v>104.5</v>
      </c>
      <c r="F1365" s="1">
        <f t="shared" si="105"/>
        <v>1984.6249999998968</v>
      </c>
      <c r="G1365" s="17">
        <v>12.72</v>
      </c>
      <c r="H1365" s="1">
        <f>B1365*$E$1867/E1365</f>
        <v>527.22096746411478</v>
      </c>
      <c r="I1365" s="1">
        <f>C1365*$E$1867/E1365</f>
        <v>23.592400697775119</v>
      </c>
      <c r="J1365" s="26">
        <f t="shared" si="106"/>
        <v>145491.51526640353</v>
      </c>
      <c r="K1365" s="1">
        <f>D1365*$E$1867/E1365</f>
        <v>52.722096746411488</v>
      </c>
      <c r="L1365" s="26">
        <f t="shared" si="104"/>
        <v>14549.151526640357</v>
      </c>
      <c r="M1365" s="10">
        <f t="shared" si="102"/>
        <v>9.62306325737317</v>
      </c>
      <c r="N1365" s="4">
        <f t="shared" si="103"/>
        <v>12.274711609555549</v>
      </c>
      <c r="O1365" s="36">
        <f>1/M1365-(G1365/100-(((E1365/E1245)^(1/10))-1))</f>
        <v>5.3218487566763395E-2</v>
      </c>
      <c r="P1365" s="48">
        <v>10.47</v>
      </c>
      <c r="R1365" s="30"/>
      <c r="S1365" s="30"/>
    </row>
    <row r="1366" spans="1:19" ht="13" x14ac:dyDescent="0.3">
      <c r="A1366" s="52" t="s">
        <v>1382</v>
      </c>
      <c r="B1366" s="6">
        <v>166.1</v>
      </c>
      <c r="C1366" s="1">
        <v>7.38</v>
      </c>
      <c r="D1366" s="6">
        <v>16.559999999999999</v>
      </c>
      <c r="E1366" s="6">
        <v>105</v>
      </c>
      <c r="F1366" s="1">
        <f t="shared" si="105"/>
        <v>1984.70833333323</v>
      </c>
      <c r="G1366" s="17">
        <v>12.52</v>
      </c>
      <c r="H1366" s="1">
        <f>B1366*$E$1867/E1366</f>
        <v>530.1362288095238</v>
      </c>
      <c r="I1366" s="1">
        <f>C1366*$E$1867/E1366</f>
        <v>23.554517571428573</v>
      </c>
      <c r="J1366" s="26">
        <f t="shared" si="106"/>
        <v>146837.68263342715</v>
      </c>
      <c r="K1366" s="1">
        <f>D1366*$E$1867/E1366</f>
        <v>52.854039428571419</v>
      </c>
      <c r="L1366" s="26">
        <f t="shared" si="104"/>
        <v>14639.566673146015</v>
      </c>
      <c r="M1366" s="10">
        <f t="shared" si="102"/>
        <v>9.6873413136280853</v>
      </c>
      <c r="N1366" s="4">
        <f t="shared" si="103"/>
        <v>12.351552352066445</v>
      </c>
      <c r="O1366" s="36">
        <f>1/M1366-(G1366/100-(((E1366/E1246)^(1/10))-1))</f>
        <v>5.3758978119069392E-2</v>
      </c>
      <c r="P1366" s="48">
        <v>10.37</v>
      </c>
      <c r="R1366" s="30"/>
      <c r="S1366" s="30"/>
    </row>
    <row r="1367" spans="1:19" ht="13" x14ac:dyDescent="0.3">
      <c r="A1367" s="52" t="s">
        <v>1383</v>
      </c>
      <c r="B1367" s="6">
        <v>164.8</v>
      </c>
      <c r="C1367" s="1">
        <v>7.43</v>
      </c>
      <c r="D1367" s="6">
        <v>16.5867</v>
      </c>
      <c r="E1367" s="6">
        <v>105.3</v>
      </c>
      <c r="F1367" s="1">
        <f t="shared" si="105"/>
        <v>1984.7916666665633</v>
      </c>
      <c r="G1367" s="17">
        <v>12.16</v>
      </c>
      <c r="H1367" s="1">
        <f>B1367*$E$1867/E1367</f>
        <v>524.48852041785381</v>
      </c>
      <c r="I1367" s="1">
        <f>C1367*$E$1867/E1367</f>
        <v>23.646539482431148</v>
      </c>
      <c r="J1367" s="26">
        <f t="shared" si="106"/>
        <v>145819.17809046654</v>
      </c>
      <c r="K1367" s="1">
        <f>D1367*$E$1867/E1367</f>
        <v>52.788432898148152</v>
      </c>
      <c r="L1367" s="26">
        <f t="shared" si="104"/>
        <v>14676.328648259352</v>
      </c>
      <c r="M1367" s="10">
        <f t="shared" si="102"/>
        <v>9.5950707030485045</v>
      </c>
      <c r="N1367" s="4">
        <f t="shared" si="103"/>
        <v>12.229383028121232</v>
      </c>
      <c r="O1367" s="36">
        <f>1/M1367-(G1367/100-(((E1367/E1247)^(1/10))-1))</f>
        <v>5.7601078518467588E-2</v>
      </c>
      <c r="P1367" s="48">
        <v>9.74</v>
      </c>
      <c r="R1367" s="30"/>
      <c r="S1367" s="30"/>
    </row>
    <row r="1368" spans="1:19" ht="13" x14ac:dyDescent="0.3">
      <c r="A1368" s="52" t="s">
        <v>1384</v>
      </c>
      <c r="B1368" s="6">
        <v>166.3</v>
      </c>
      <c r="C1368" s="1">
        <v>7.48</v>
      </c>
      <c r="D1368" s="6">
        <v>16.613299999999999</v>
      </c>
      <c r="E1368" s="6">
        <v>105.3</v>
      </c>
      <c r="F1368" s="1">
        <f t="shared" si="105"/>
        <v>1984.8749999998965</v>
      </c>
      <c r="G1368" s="17">
        <v>11.57</v>
      </c>
      <c r="H1368" s="1">
        <f>B1368*$E$1867/E1368</f>
        <v>529.26238437796769</v>
      </c>
      <c r="I1368" s="1">
        <f>C1368*$E$1867/E1368</f>
        <v>23.805668281101617</v>
      </c>
      <c r="J1368" s="26">
        <f t="shared" si="106"/>
        <v>147697.95674021626</v>
      </c>
      <c r="K1368" s="1">
        <f>D1368*$E$1867/E1368</f>
        <v>52.873089419040831</v>
      </c>
      <c r="L1368" s="26">
        <f t="shared" si="104"/>
        <v>14754.96370843196</v>
      </c>
      <c r="M1368" s="10">
        <f t="shared" si="102"/>
        <v>9.6919732217830887</v>
      </c>
      <c r="N1368" s="4">
        <f t="shared" si="103"/>
        <v>12.348679358880016</v>
      </c>
      <c r="O1368" s="36">
        <f>1/M1368-(G1368/100-(((E1368/E1248)^(1/10))-1))</f>
        <v>6.1621192533612007E-2</v>
      </c>
      <c r="P1368" s="48">
        <v>8.61</v>
      </c>
      <c r="R1368" s="30"/>
      <c r="S1368" s="30"/>
    </row>
    <row r="1369" spans="1:19" ht="13" x14ac:dyDescent="0.3">
      <c r="A1369" s="52" t="s">
        <v>1385</v>
      </c>
      <c r="B1369" s="6">
        <v>164.5</v>
      </c>
      <c r="C1369" s="1">
        <v>7.53</v>
      </c>
      <c r="D1369" s="6">
        <v>16.64</v>
      </c>
      <c r="E1369" s="6">
        <v>105.3</v>
      </c>
      <c r="F1369" s="1">
        <f t="shared" si="105"/>
        <v>1984.9583333332298</v>
      </c>
      <c r="G1369" s="17">
        <v>11.5</v>
      </c>
      <c r="H1369" s="1">
        <f>B1369*$E$1867/E1369</f>
        <v>523.53374762583098</v>
      </c>
      <c r="I1369" s="1">
        <f>C1369*$E$1867/E1369</f>
        <v>23.964797079772083</v>
      </c>
      <c r="J1369" s="26">
        <f t="shared" si="106"/>
        <v>146656.61065315732</v>
      </c>
      <c r="K1369" s="1">
        <f>D1369*$E$1867/E1369</f>
        <v>52.958064197530867</v>
      </c>
      <c r="L1369" s="26">
        <f t="shared" si="104"/>
        <v>14835.051679443999</v>
      </c>
      <c r="M1369" s="10">
        <f t="shared" si="102"/>
        <v>9.5950548011334575</v>
      </c>
      <c r="N1369" s="4">
        <f t="shared" si="103"/>
        <v>12.222162489146145</v>
      </c>
      <c r="O1369" s="36">
        <f>1/M1369-(G1369/100-(((E1369/E1249)^(1/10))-1))</f>
        <v>6.2532640792683308E-2</v>
      </c>
      <c r="P1369" s="48">
        <v>8.06</v>
      </c>
      <c r="R1369" s="30"/>
      <c r="S1369" s="30"/>
    </row>
    <row r="1370" spans="1:19" ht="13" x14ac:dyDescent="0.3">
      <c r="A1370" s="52" t="s">
        <v>1386</v>
      </c>
      <c r="B1370" s="6">
        <v>171.6</v>
      </c>
      <c r="C1370" s="1">
        <v>7.5733300000000003</v>
      </c>
      <c r="D1370" s="6">
        <v>16.556699999999999</v>
      </c>
      <c r="E1370" s="6">
        <v>105.5</v>
      </c>
      <c r="F1370" s="1">
        <f t="shared" si="105"/>
        <v>1985.0416666665631</v>
      </c>
      <c r="G1370" s="17">
        <v>11.38</v>
      </c>
      <c r="H1370" s="1">
        <f>B1370*$E$1867/E1370</f>
        <v>545.0947194312796</v>
      </c>
      <c r="I1370" s="1">
        <f>C1370*$E$1867/E1370</f>
        <v>24.057005778033176</v>
      </c>
      <c r="J1370" s="26">
        <f t="shared" si="106"/>
        <v>153258.03601278458</v>
      </c>
      <c r="K1370" s="1">
        <f>D1370*$E$1867/E1370</f>
        <v>52.593063759952607</v>
      </c>
      <c r="L1370" s="26">
        <f t="shared" si="104"/>
        <v>14786.989072569175</v>
      </c>
      <c r="M1370" s="10">
        <f t="shared" si="102"/>
        <v>9.9970011777304517</v>
      </c>
      <c r="N1370" s="4">
        <f t="shared" si="103"/>
        <v>12.729627871083464</v>
      </c>
      <c r="O1370" s="36">
        <f>1/M1370-(G1370/100-(((E1370/E1250)^(1/10))-1))</f>
        <v>5.9333156928087438E-2</v>
      </c>
      <c r="P1370" s="48">
        <v>7.76</v>
      </c>
      <c r="R1370" s="30"/>
      <c r="S1370" s="30"/>
    </row>
    <row r="1371" spans="1:19" ht="13" x14ac:dyDescent="0.3">
      <c r="A1371" s="52" t="s">
        <v>1387</v>
      </c>
      <c r="B1371" s="6">
        <v>180.9</v>
      </c>
      <c r="C1371" s="1">
        <v>7.6166700000000001</v>
      </c>
      <c r="D1371" s="6">
        <v>16.473299999999998</v>
      </c>
      <c r="E1371" s="6">
        <v>106</v>
      </c>
      <c r="F1371" s="1">
        <f t="shared" si="105"/>
        <v>1985.1249999998963</v>
      </c>
      <c r="G1371" s="17">
        <v>11.51</v>
      </c>
      <c r="H1371" s="1">
        <f>B1371*$E$1867/E1371</f>
        <v>571.92601627358488</v>
      </c>
      <c r="I1371" s="1">
        <f>C1371*$E$1867/E1371</f>
        <v>24.080551301108489</v>
      </c>
      <c r="J1371" s="26">
        <f t="shared" si="106"/>
        <v>161366.08867480332</v>
      </c>
      <c r="K1371" s="1">
        <f>D1371*$E$1867/E1371</f>
        <v>52.081309253066038</v>
      </c>
      <c r="L1371" s="26">
        <f t="shared" si="104"/>
        <v>14694.483076653607</v>
      </c>
      <c r="M1371" s="10">
        <f t="shared" si="102"/>
        <v>10.494935172607077</v>
      </c>
      <c r="N1371" s="4">
        <f t="shared" si="103"/>
        <v>13.357385583224781</v>
      </c>
      <c r="O1371" s="36">
        <f>1/M1371-(G1371/100-(((E1371/E1251)^(1/10))-1))</f>
        <v>5.2973907673109014E-2</v>
      </c>
      <c r="P1371" s="48">
        <v>8.27</v>
      </c>
      <c r="R1371" s="30"/>
      <c r="S1371" s="30"/>
    </row>
    <row r="1372" spans="1:19" ht="13" x14ac:dyDescent="0.3">
      <c r="A1372" s="52" t="s">
        <v>1388</v>
      </c>
      <c r="B1372" s="6">
        <v>179.4</v>
      </c>
      <c r="C1372" s="1">
        <v>7.66</v>
      </c>
      <c r="D1372" s="6">
        <v>16.39</v>
      </c>
      <c r="E1372" s="6">
        <v>106.4</v>
      </c>
      <c r="F1372" s="1">
        <f t="shared" si="105"/>
        <v>1985.2083333332296</v>
      </c>
      <c r="G1372" s="17">
        <v>11.86</v>
      </c>
      <c r="H1372" s="1">
        <f>B1372*$E$1867/E1372</f>
        <v>565.0514083646616</v>
      </c>
      <c r="I1372" s="1">
        <f>C1372*$E$1867/E1372</f>
        <v>24.126498261278197</v>
      </c>
      <c r="J1372" s="26">
        <f t="shared" si="106"/>
        <v>159993.71646998037</v>
      </c>
      <c r="K1372" s="1">
        <f>D1372*$E$1867/E1372</f>
        <v>51.62314706296992</v>
      </c>
      <c r="L1372" s="26">
        <f t="shared" si="104"/>
        <v>14617.040205925185</v>
      </c>
      <c r="M1372" s="10">
        <f t="shared" si="102"/>
        <v>10.373217214924733</v>
      </c>
      <c r="N1372" s="4">
        <f t="shared" si="103"/>
        <v>13.197786108739965</v>
      </c>
      <c r="O1372" s="36">
        <f>1/M1372-(G1372/100-(((E1372/E1252)^(1/10))-1))</f>
        <v>5.0588117264544791E-2</v>
      </c>
      <c r="P1372" s="48">
        <v>8.52</v>
      </c>
      <c r="R1372" s="30"/>
      <c r="S1372" s="30"/>
    </row>
    <row r="1373" spans="1:19" ht="13" x14ac:dyDescent="0.3">
      <c r="A1373" s="52" t="s">
        <v>1389</v>
      </c>
      <c r="B1373" s="6">
        <v>180.6</v>
      </c>
      <c r="C1373" s="1">
        <v>7.6866700000000003</v>
      </c>
      <c r="D1373" s="6">
        <v>16.13</v>
      </c>
      <c r="E1373" s="6">
        <v>106.9</v>
      </c>
      <c r="F1373" s="1">
        <f t="shared" si="105"/>
        <v>1985.2916666665628</v>
      </c>
      <c r="G1373" s="17">
        <v>11.43</v>
      </c>
      <c r="H1373" s="1">
        <f>B1373*$E$1867/E1373</f>
        <v>566.17044106641708</v>
      </c>
      <c r="I1373" s="1">
        <f>C1373*$E$1867/E1373</f>
        <v>24.09726104225912</v>
      </c>
      <c r="J1373" s="26">
        <f t="shared" si="106"/>
        <v>160879.16227067573</v>
      </c>
      <c r="K1373" s="1">
        <f>D1373*$E$1867/E1373</f>
        <v>50.566606945743679</v>
      </c>
      <c r="L1373" s="26">
        <f t="shared" si="104"/>
        <v>14368.664935913619</v>
      </c>
      <c r="M1373" s="10">
        <f t="shared" si="102"/>
        <v>10.397118719816818</v>
      </c>
      <c r="N1373" s="4">
        <f t="shared" si="103"/>
        <v>13.224090599429934</v>
      </c>
      <c r="O1373" s="36">
        <f>1/M1373-(G1373/100-(((E1373/E1253)^(1/10))-1))</f>
        <v>5.4763095933410735E-2</v>
      </c>
      <c r="P1373" s="48">
        <v>7.95</v>
      </c>
      <c r="R1373" s="30"/>
      <c r="S1373" s="30"/>
    </row>
    <row r="1374" spans="1:19" ht="13" x14ac:dyDescent="0.3">
      <c r="A1374" s="52" t="s">
        <v>1390</v>
      </c>
      <c r="B1374" s="6">
        <v>184.9</v>
      </c>
      <c r="C1374" s="1">
        <v>7.71333</v>
      </c>
      <c r="D1374" s="6">
        <v>15.87</v>
      </c>
      <c r="E1374" s="6">
        <v>107.3</v>
      </c>
      <c r="F1374" s="1">
        <f t="shared" si="105"/>
        <v>1985.3749999998961</v>
      </c>
      <c r="G1374" s="17">
        <v>10.85</v>
      </c>
      <c r="H1374" s="1">
        <f>B1374*$E$1867/E1374</f>
        <v>577.48982968313146</v>
      </c>
      <c r="I1374" s="1">
        <f>C1374*$E$1867/E1374</f>
        <v>24.090695662465048</v>
      </c>
      <c r="J1374" s="26">
        <f t="shared" si="106"/>
        <v>164666.05725367667</v>
      </c>
      <c r="K1374" s="1">
        <f>D1374*$E$1867/E1374</f>
        <v>49.566055149114632</v>
      </c>
      <c r="L1374" s="26">
        <f t="shared" si="104"/>
        <v>14133.317082833144</v>
      </c>
      <c r="M1374" s="10">
        <f t="shared" si="102"/>
        <v>10.608120467860093</v>
      </c>
      <c r="N1374" s="4">
        <f t="shared" si="103"/>
        <v>13.48845524172517</v>
      </c>
      <c r="O1374" s="36">
        <f>1/M1374-(G1374/100-(((E1374/E1254)^(1/10))-1))</f>
        <v>5.8444011517648956E-2</v>
      </c>
      <c r="P1374" s="48">
        <v>7.48</v>
      </c>
      <c r="R1374" s="30"/>
      <c r="S1374" s="30"/>
    </row>
    <row r="1375" spans="1:19" ht="13" x14ac:dyDescent="0.3">
      <c r="A1375" s="52" t="s">
        <v>1391</v>
      </c>
      <c r="B1375" s="6">
        <v>188.9</v>
      </c>
      <c r="C1375" s="1">
        <v>7.74</v>
      </c>
      <c r="D1375" s="6">
        <v>15.61</v>
      </c>
      <c r="E1375" s="6">
        <v>107.6</v>
      </c>
      <c r="F1375" s="1">
        <f t="shared" si="105"/>
        <v>1985.4583333332293</v>
      </c>
      <c r="G1375" s="17">
        <v>10.16</v>
      </c>
      <c r="H1375" s="1">
        <f>B1375*$E$1867/E1375</f>
        <v>588.33791565985132</v>
      </c>
      <c r="I1375" s="1">
        <f>C1375*$E$1867/E1375</f>
        <v>24.106593262081788</v>
      </c>
      <c r="J1375" s="26">
        <f t="shared" si="106"/>
        <v>168332.10684146034</v>
      </c>
      <c r="K1375" s="1">
        <f>D1375*$E$1867/E1375</f>
        <v>48.618077625464686</v>
      </c>
      <c r="L1375" s="26">
        <f t="shared" si="104"/>
        <v>13910.345091557414</v>
      </c>
      <c r="M1375" s="10">
        <f t="shared" si="102"/>
        <v>10.810049845861212</v>
      </c>
      <c r="N1375" s="4">
        <f t="shared" si="103"/>
        <v>13.741426269246395</v>
      </c>
      <c r="O1375" s="36">
        <f>1/M1375-(G1375/100-(((E1375/E1255)^(1/10))-1))</f>
        <v>6.3079219554815172E-2</v>
      </c>
      <c r="P1375" s="48">
        <v>6.95</v>
      </c>
      <c r="R1375" s="30"/>
      <c r="S1375" s="30"/>
    </row>
    <row r="1376" spans="1:19" ht="13" x14ac:dyDescent="0.3">
      <c r="A1376" s="52" t="s">
        <v>1392</v>
      </c>
      <c r="B1376" s="6">
        <v>192.5</v>
      </c>
      <c r="C1376" s="1">
        <v>7.7733299999999996</v>
      </c>
      <c r="D1376" s="6">
        <v>15.4833</v>
      </c>
      <c r="E1376" s="6">
        <v>107.8</v>
      </c>
      <c r="F1376" s="1">
        <f t="shared" si="105"/>
        <v>1985.5416666665626</v>
      </c>
      <c r="G1376" s="17">
        <v>10.31</v>
      </c>
      <c r="H1376" s="1">
        <f>B1376*$E$1867/E1376</f>
        <v>598.43794642857142</v>
      </c>
      <c r="I1376" s="1">
        <f>C1376*$E$1867/E1376</f>
        <v>24.165483855125231</v>
      </c>
      <c r="J1376" s="26">
        <f t="shared" si="106"/>
        <v>171798.04872910824</v>
      </c>
      <c r="K1376" s="1">
        <f>D1376*$E$1867/E1376</f>
        <v>48.133996134740265</v>
      </c>
      <c r="L1376" s="26">
        <f t="shared" si="104"/>
        <v>13818.185599415074</v>
      </c>
      <c r="M1376" s="10">
        <f t="shared" si="102"/>
        <v>10.997563956793378</v>
      </c>
      <c r="N1376" s="4">
        <f t="shared" si="103"/>
        <v>13.976419083122833</v>
      </c>
      <c r="O1376" s="36">
        <f>1/M1376-(G1376/100-(((E1376/E1256)^(1/10))-1))</f>
        <v>5.9007975140128913E-2</v>
      </c>
      <c r="P1376" s="48">
        <v>7.08</v>
      </c>
      <c r="R1376" s="30"/>
      <c r="S1376" s="30"/>
    </row>
    <row r="1377" spans="1:19" ht="13" x14ac:dyDescent="0.3">
      <c r="A1377" s="52" t="s">
        <v>1393</v>
      </c>
      <c r="B1377" s="6">
        <v>188.3</v>
      </c>
      <c r="C1377" s="1">
        <v>7.8066700000000004</v>
      </c>
      <c r="D1377" s="6">
        <v>15.3567</v>
      </c>
      <c r="E1377" s="6">
        <v>108</v>
      </c>
      <c r="F1377" s="1">
        <f t="shared" si="105"/>
        <v>1985.6249999998959</v>
      </c>
      <c r="G1377" s="17">
        <v>10.33</v>
      </c>
      <c r="H1377" s="1">
        <f>B1377*$E$1867/E1377</f>
        <v>584.29707939814818</v>
      </c>
      <c r="I1377" s="1">
        <f>C1377*$E$1867/E1377</f>
        <v>24.224187364976856</v>
      </c>
      <c r="J1377" s="26">
        <f t="shared" si="106"/>
        <v>168318.04265861455</v>
      </c>
      <c r="K1377" s="1">
        <f>D1377*$E$1867/E1377</f>
        <v>47.65201783958333</v>
      </c>
      <c r="L1377" s="26">
        <f t="shared" si="104"/>
        <v>13727.082770555207</v>
      </c>
      <c r="M1377" s="10">
        <f t="shared" si="102"/>
        <v>10.73879980887728</v>
      </c>
      <c r="N1377" s="4">
        <f t="shared" si="103"/>
        <v>13.646192185229474</v>
      </c>
      <c r="O1377" s="36">
        <f>1/M1377-(G1377/100-(((E1377/E1257)^(1/10))-1))</f>
        <v>6.1000120961805016E-2</v>
      </c>
      <c r="P1377" s="48">
        <v>7.14</v>
      </c>
      <c r="R1377" s="30"/>
      <c r="S1377" s="30"/>
    </row>
    <row r="1378" spans="1:19" ht="13" x14ac:dyDescent="0.3">
      <c r="A1378" s="52" t="s">
        <v>1394</v>
      </c>
      <c r="B1378" s="6">
        <v>184.1</v>
      </c>
      <c r="C1378" s="1">
        <v>7.84</v>
      </c>
      <c r="D1378" s="6">
        <v>15.23</v>
      </c>
      <c r="E1378" s="6">
        <v>108.3</v>
      </c>
      <c r="F1378" s="1">
        <f t="shared" si="105"/>
        <v>1985.7083333332291</v>
      </c>
      <c r="G1378" s="17">
        <v>10.37</v>
      </c>
      <c r="H1378" s="1">
        <f>B1378*$E$1867/E1378</f>
        <v>569.68198084025857</v>
      </c>
      <c r="I1378" s="1">
        <f>C1378*$E$1867/E1378</f>
        <v>24.260221237303785</v>
      </c>
      <c r="J1378" s="26">
        <f t="shared" si="106"/>
        <v>164690.26703241636</v>
      </c>
      <c r="K1378" s="1">
        <f>D1378*$E$1867/E1378</f>
        <v>47.127955286241921</v>
      </c>
      <c r="L1378" s="26">
        <f t="shared" si="104"/>
        <v>13624.295311807176</v>
      </c>
      <c r="M1378" s="10">
        <f t="shared" si="102"/>
        <v>10.471234661697549</v>
      </c>
      <c r="N1378" s="4">
        <f t="shared" si="103"/>
        <v>13.306583154373694</v>
      </c>
      <c r="O1378" s="36">
        <f>1/M1378-(G1378/100-(((E1378/E1258)^(1/10))-1))</f>
        <v>6.2686561547940001E-2</v>
      </c>
      <c r="P1378" s="48">
        <v>7.1</v>
      </c>
      <c r="R1378" s="30"/>
      <c r="S1378" s="30"/>
    </row>
    <row r="1379" spans="1:19" ht="13" x14ac:dyDescent="0.3">
      <c r="A1379" s="52" t="s">
        <v>1395</v>
      </c>
      <c r="B1379" s="6">
        <v>186.2</v>
      </c>
      <c r="C1379" s="1">
        <v>7.86</v>
      </c>
      <c r="D1379" s="6">
        <v>15.023300000000001</v>
      </c>
      <c r="E1379" s="6">
        <v>108.7</v>
      </c>
      <c r="F1379" s="1">
        <f t="shared" si="105"/>
        <v>1985.7916666665624</v>
      </c>
      <c r="G1379" s="17">
        <v>10.24</v>
      </c>
      <c r="H1379" s="1">
        <f>B1379*$E$1867/E1379</f>
        <v>574.05999586016549</v>
      </c>
      <c r="I1379" s="1">
        <f>C1379*$E$1867/E1379</f>
        <v>24.23260777368905</v>
      </c>
      <c r="J1379" s="26">
        <f t="shared" si="106"/>
        <v>166539.70125226205</v>
      </c>
      <c r="K1379" s="1">
        <f>D1379*$E$1867/E1379</f>
        <v>46.317269257819689</v>
      </c>
      <c r="L1379" s="26">
        <f t="shared" si="104"/>
        <v>13437.034875526901</v>
      </c>
      <c r="M1379" s="10">
        <f t="shared" si="102"/>
        <v>10.552516982943745</v>
      </c>
      <c r="N1379" s="4">
        <f t="shared" si="103"/>
        <v>13.410439843384854</v>
      </c>
      <c r="O1379" s="36">
        <f>1/M1379-(G1379/100-(((E1379/E1259)^(1/10))-1))</f>
        <v>6.3058986698610986E-2</v>
      </c>
      <c r="P1379" s="48">
        <v>7.16</v>
      </c>
      <c r="R1379" s="30"/>
      <c r="S1379" s="30"/>
    </row>
    <row r="1380" spans="1:19" ht="13" x14ac:dyDescent="0.3">
      <c r="A1380" s="52" t="s">
        <v>1396</v>
      </c>
      <c r="B1380" s="6">
        <v>197.5</v>
      </c>
      <c r="C1380" s="1">
        <v>7.88</v>
      </c>
      <c r="D1380" s="6">
        <v>14.816700000000001</v>
      </c>
      <c r="E1380" s="6">
        <v>109</v>
      </c>
      <c r="F1380" s="1">
        <f t="shared" si="105"/>
        <v>1985.8749999998956</v>
      </c>
      <c r="G1380" s="17">
        <v>9.7799999999999994</v>
      </c>
      <c r="H1380" s="1">
        <f>B1380*$E$1867/E1380</f>
        <v>607.22235665137612</v>
      </c>
      <c r="I1380" s="1">
        <f>C1380*$E$1867/E1380</f>
        <v>24.227403394495415</v>
      </c>
      <c r="J1380" s="26">
        <f t="shared" si="106"/>
        <v>176746.09967436749</v>
      </c>
      <c r="K1380" s="1">
        <f>D1380*$E$1867/E1380</f>
        <v>45.554589831880733</v>
      </c>
      <c r="L1380" s="26">
        <f t="shared" si="104"/>
        <v>13259.716126811145</v>
      </c>
      <c r="M1380" s="10">
        <f t="shared" si="102"/>
        <v>11.164611128667465</v>
      </c>
      <c r="N1380" s="4">
        <f t="shared" si="103"/>
        <v>14.186571464023915</v>
      </c>
      <c r="O1380" s="36">
        <f>1/M1380-(G1380/100-(((E1380/E1260)^(1/10))-1))</f>
        <v>6.1981515915447788E-2</v>
      </c>
      <c r="P1380" s="48">
        <v>7.24</v>
      </c>
      <c r="R1380" s="30"/>
      <c r="S1380" s="30"/>
    </row>
    <row r="1381" spans="1:19" ht="13" x14ac:dyDescent="0.3">
      <c r="A1381" s="52" t="s">
        <v>1397</v>
      </c>
      <c r="B1381" s="6">
        <v>207.3</v>
      </c>
      <c r="C1381" s="1">
        <v>7.9</v>
      </c>
      <c r="D1381" s="6">
        <v>14.61</v>
      </c>
      <c r="E1381" s="6">
        <v>109.3</v>
      </c>
      <c r="F1381" s="1">
        <f t="shared" si="105"/>
        <v>1985.9583333332289</v>
      </c>
      <c r="G1381" s="17">
        <v>9.26</v>
      </c>
      <c r="H1381" s="1">
        <f>B1381*$E$1867/E1381</f>
        <v>635.60351623970735</v>
      </c>
      <c r="I1381" s="1">
        <f>C1381*$E$1867/E1381</f>
        <v>24.222227584629458</v>
      </c>
      <c r="J1381" s="26">
        <f t="shared" si="106"/>
        <v>185594.62864710556</v>
      </c>
      <c r="K1381" s="1">
        <f>D1381*$E$1867/E1381</f>
        <v>44.795790507776765</v>
      </c>
      <c r="L1381" s="26">
        <f t="shared" si="104"/>
        <v>13080.258198428422</v>
      </c>
      <c r="M1381" s="10">
        <f t="shared" si="102"/>
        <v>11.690521474467596</v>
      </c>
      <c r="N1381" s="4">
        <f t="shared" si="103"/>
        <v>14.851243444332477</v>
      </c>
      <c r="O1381" s="36">
        <f>1/M1381-(G1381/100-(((E1381/E1261)^(1/10))-1))</f>
        <v>6.3059967515150944E-2</v>
      </c>
      <c r="P1381" s="48">
        <v>7.1</v>
      </c>
      <c r="R1381" s="30"/>
      <c r="S1381" s="30"/>
    </row>
    <row r="1382" spans="1:19" ht="13" x14ac:dyDescent="0.3">
      <c r="A1382" s="52" t="s">
        <v>1398</v>
      </c>
      <c r="B1382" s="6">
        <v>208.2</v>
      </c>
      <c r="C1382" s="1">
        <v>7.94</v>
      </c>
      <c r="D1382" s="6">
        <v>14.58</v>
      </c>
      <c r="E1382" s="6">
        <v>109.6</v>
      </c>
      <c r="F1382" s="1">
        <f t="shared" si="105"/>
        <v>1986.0416666665622</v>
      </c>
      <c r="G1382" s="17">
        <v>9.19</v>
      </c>
      <c r="H1382" s="1">
        <f>B1382*$E$1867/E1382</f>
        <v>636.6156665145985</v>
      </c>
      <c r="I1382" s="1">
        <f>C1382*$E$1867/E1382</f>
        <v>24.278234352189784</v>
      </c>
      <c r="J1382" s="26">
        <f t="shared" si="106"/>
        <v>186480.93926487837</v>
      </c>
      <c r="K1382" s="1">
        <f>D1382*$E$1867/E1382</f>
        <v>44.581442928832118</v>
      </c>
      <c r="L1382" s="26">
        <f t="shared" si="104"/>
        <v>13059.039839010215</v>
      </c>
      <c r="M1382" s="10">
        <f t="shared" si="102"/>
        <v>11.71500758448798</v>
      </c>
      <c r="N1382" s="4">
        <f t="shared" si="103"/>
        <v>14.87915597287607</v>
      </c>
      <c r="O1382" s="36">
        <f>1/M1382-(G1382/100-(((E1382/E1262)^(1/10))-1))</f>
        <v>6.3681859023227844E-2</v>
      </c>
      <c r="P1382" s="48">
        <v>7.07</v>
      </c>
      <c r="R1382" s="30"/>
      <c r="S1382" s="30"/>
    </row>
    <row r="1383" spans="1:19" ht="13" x14ac:dyDescent="0.3">
      <c r="A1383" s="52" t="s">
        <v>1399</v>
      </c>
      <c r="B1383" s="6">
        <v>219.4</v>
      </c>
      <c r="C1383" s="1">
        <v>7.98</v>
      </c>
      <c r="D1383" s="6">
        <v>14.55</v>
      </c>
      <c r="E1383" s="6">
        <v>109.3</v>
      </c>
      <c r="F1383" s="1">
        <f t="shared" si="105"/>
        <v>1986.1249999998954</v>
      </c>
      <c r="G1383" s="17">
        <v>8.6999999999999993</v>
      </c>
      <c r="H1383" s="1">
        <f>B1383*$E$1867/E1383</f>
        <v>672.70338380603846</v>
      </c>
      <c r="I1383" s="1">
        <f>C1383*$E$1867/E1383</f>
        <v>24.467515965233304</v>
      </c>
      <c r="J1383" s="26">
        <f t="shared" si="106"/>
        <v>197649.21378847276</v>
      </c>
      <c r="K1383" s="1">
        <f>D1383*$E$1867/E1383</f>
        <v>44.611824222323882</v>
      </c>
      <c r="L1383" s="26">
        <f t="shared" si="104"/>
        <v>13107.548134103368</v>
      </c>
      <c r="M1383" s="10">
        <f t="shared" si="102"/>
        <v>12.388219099418121</v>
      </c>
      <c r="N1383" s="4">
        <f t="shared" si="103"/>
        <v>15.727961947238782</v>
      </c>
      <c r="O1383" s="36">
        <f>1/M1383-(G1383/100-(((E1383/E1263)^(1/10))-1))</f>
        <v>6.3265706562706359E-2</v>
      </c>
      <c r="P1383" s="48">
        <v>7.06</v>
      </c>
      <c r="R1383" s="30"/>
      <c r="S1383" s="30"/>
    </row>
    <row r="1384" spans="1:19" ht="13" x14ac:dyDescent="0.3">
      <c r="A1384" s="52" t="s">
        <v>1400</v>
      </c>
      <c r="B1384" s="6">
        <v>232.3</v>
      </c>
      <c r="C1384" s="1">
        <v>8.02</v>
      </c>
      <c r="D1384" s="6">
        <v>14.52</v>
      </c>
      <c r="E1384" s="6">
        <v>108.8</v>
      </c>
      <c r="F1384" s="1">
        <f t="shared" si="105"/>
        <v>1986.2083333332287</v>
      </c>
      <c r="G1384" s="17">
        <v>7.78</v>
      </c>
      <c r="H1384" s="1">
        <f>B1384*$E$1867/E1384</f>
        <v>715.52937109375</v>
      </c>
      <c r="I1384" s="1">
        <f>C1384*$E$1867/E1384</f>
        <v>24.703166406249998</v>
      </c>
      <c r="J1384" s="26">
        <f t="shared" si="106"/>
        <v>210836.90252154937</v>
      </c>
      <c r="K1384" s="1">
        <f>D1384*$E$1867/E1384</f>
        <v>44.724435937499997</v>
      </c>
      <c r="L1384" s="26">
        <f t="shared" si="104"/>
        <v>13178.440915251385</v>
      </c>
      <c r="M1384" s="10">
        <f t="shared" si="102"/>
        <v>13.189022981532711</v>
      </c>
      <c r="N1384" s="4">
        <f t="shared" si="103"/>
        <v>16.7347405829594</v>
      </c>
      <c r="O1384" s="36">
        <f>1/M1384-(G1384/100-(((E1384/E1264)^(1/10))-1))</f>
        <v>6.6882803250395972E-2</v>
      </c>
      <c r="P1384" s="48">
        <v>6.56</v>
      </c>
      <c r="R1384" s="30"/>
      <c r="S1384" s="30"/>
    </row>
    <row r="1385" spans="1:19" ht="13" x14ac:dyDescent="0.3">
      <c r="A1385" s="52" t="s">
        <v>1401</v>
      </c>
      <c r="B1385" s="6">
        <v>238</v>
      </c>
      <c r="C1385" s="1">
        <v>8.0466700000000007</v>
      </c>
      <c r="D1385" s="6">
        <v>14.583299999999999</v>
      </c>
      <c r="E1385" s="6">
        <v>108.6</v>
      </c>
      <c r="F1385" s="1">
        <f t="shared" si="105"/>
        <v>1986.2916666665619</v>
      </c>
      <c r="G1385" s="17">
        <v>7.3</v>
      </c>
      <c r="H1385" s="1">
        <f>B1385*$E$1867/E1385</f>
        <v>734.43655156537761</v>
      </c>
      <c r="I1385" s="1">
        <f>C1385*$E$1867/E1385</f>
        <v>24.830960362960408</v>
      </c>
      <c r="J1385" s="26">
        <f t="shared" si="106"/>
        <v>217017.78776379139</v>
      </c>
      <c r="K1385" s="1">
        <f>D1385*$E$1867/E1385</f>
        <v>45.002136816988944</v>
      </c>
      <c r="L1385" s="26">
        <f t="shared" si="104"/>
        <v>13297.628169309657</v>
      </c>
      <c r="M1385" s="10">
        <f t="shared" si="102"/>
        <v>13.552504172869476</v>
      </c>
      <c r="N1385" s="4">
        <f t="shared" si="103"/>
        <v>17.183914355587913</v>
      </c>
      <c r="O1385" s="36">
        <f>1/M1385-(G1385/100-(((E1385/E1265)^(1/10))-1))</f>
        <v>6.907103381145846E-2</v>
      </c>
      <c r="P1385" s="48">
        <v>6.06</v>
      </c>
      <c r="R1385" s="30"/>
      <c r="S1385" s="30"/>
    </row>
    <row r="1386" spans="1:19" ht="13" x14ac:dyDescent="0.3">
      <c r="A1386" s="52" t="s">
        <v>1402</v>
      </c>
      <c r="B1386" s="6">
        <v>238.5</v>
      </c>
      <c r="C1386" s="1">
        <v>8.0733300000000003</v>
      </c>
      <c r="D1386" s="6">
        <v>14.646699999999999</v>
      </c>
      <c r="E1386" s="6">
        <v>108.9</v>
      </c>
      <c r="F1386" s="1">
        <f t="shared" si="105"/>
        <v>1986.3749999998952</v>
      </c>
      <c r="G1386" s="17">
        <v>7.71</v>
      </c>
      <c r="H1386" s="1">
        <f>B1386*$E$1867/E1386</f>
        <v>733.95199380165275</v>
      </c>
      <c r="I1386" s="1">
        <f>C1386*$E$1867/E1386</f>
        <v>24.844598113705235</v>
      </c>
      <c r="J1386" s="26">
        <f t="shared" si="106"/>
        <v>217486.38143883229</v>
      </c>
      <c r="K1386" s="1">
        <f>D1386*$E$1867/E1386</f>
        <v>45.073269046602377</v>
      </c>
      <c r="L1386" s="26">
        <f t="shared" si="104"/>
        <v>13356.217119581319</v>
      </c>
      <c r="M1386" s="10">
        <f t="shared" si="102"/>
        <v>13.560046199232332</v>
      </c>
      <c r="N1386" s="4">
        <f t="shared" si="103"/>
        <v>17.180748515167277</v>
      </c>
      <c r="O1386" s="36">
        <f>1/M1386-(G1386/100-(((E1386/E1266)^(1/10))-1))</f>
        <v>6.4465796792934807E-2</v>
      </c>
      <c r="P1386" s="48">
        <v>6.15</v>
      </c>
      <c r="R1386" s="30"/>
      <c r="S1386" s="30"/>
    </row>
    <row r="1387" spans="1:19" ht="13" x14ac:dyDescent="0.3">
      <c r="A1387" s="52" t="s">
        <v>1403</v>
      </c>
      <c r="B1387" s="6">
        <v>245.3</v>
      </c>
      <c r="C1387" s="1">
        <v>8.1</v>
      </c>
      <c r="D1387" s="6">
        <v>14.71</v>
      </c>
      <c r="E1387" s="6">
        <v>109.5</v>
      </c>
      <c r="F1387" s="1">
        <f t="shared" si="105"/>
        <v>1986.4583333332284</v>
      </c>
      <c r="G1387" s="17">
        <v>7.8</v>
      </c>
      <c r="H1387" s="1">
        <f>B1387*$E$1867/E1387</f>
        <v>750.74177009132427</v>
      </c>
      <c r="I1387" s="1">
        <f>C1387*$E$1867/E1387</f>
        <v>24.790086986301372</v>
      </c>
      <c r="J1387" s="26">
        <f t="shared" si="106"/>
        <v>223073.7221884873</v>
      </c>
      <c r="K1387" s="1">
        <f>D1387*$E$1867/E1387</f>
        <v>45.020022168949772</v>
      </c>
      <c r="L1387" s="26">
        <f t="shared" si="104"/>
        <v>13377.14819972543</v>
      </c>
      <c r="M1387" s="10">
        <f t="shared" si="102"/>
        <v>13.888688626457114</v>
      </c>
      <c r="N1387" s="4">
        <f t="shared" si="103"/>
        <v>17.58237852082156</v>
      </c>
      <c r="O1387" s="36">
        <f>1/M1387-(G1387/100-(((E1387/E1267)^(1/10))-1))</f>
        <v>6.1842005395504024E-2</v>
      </c>
      <c r="P1387" s="48">
        <v>6.21</v>
      </c>
      <c r="R1387" s="30"/>
      <c r="S1387" s="30"/>
    </row>
    <row r="1388" spans="1:19" ht="13" x14ac:dyDescent="0.3">
      <c r="A1388" s="52" t="s">
        <v>1404</v>
      </c>
      <c r="B1388" s="6">
        <v>240.2</v>
      </c>
      <c r="C1388" s="1">
        <v>8.1433300000000006</v>
      </c>
      <c r="D1388" s="6">
        <v>14.7567</v>
      </c>
      <c r="E1388" s="6">
        <v>109.5</v>
      </c>
      <c r="F1388" s="1">
        <f t="shared" si="105"/>
        <v>1986.5416666665617</v>
      </c>
      <c r="G1388" s="17">
        <v>7.3</v>
      </c>
      <c r="H1388" s="1">
        <f>B1388*$E$1867/E1388</f>
        <v>735.13319680365294</v>
      </c>
      <c r="I1388" s="1">
        <f>C1388*$E$1867/E1388</f>
        <v>24.922698649155251</v>
      </c>
      <c r="J1388" s="26">
        <f t="shared" si="106"/>
        <v>219052.94869214733</v>
      </c>
      <c r="K1388" s="1">
        <f>D1388*$E$1867/E1388</f>
        <v>45.162947732191782</v>
      </c>
      <c r="L1388" s="26">
        <f t="shared" si="104"/>
        <v>13457.529758390552</v>
      </c>
      <c r="M1388" s="10">
        <f t="shared" si="102"/>
        <v>13.619995534083809</v>
      </c>
      <c r="N1388" s="4">
        <f t="shared" si="103"/>
        <v>17.228549210852687</v>
      </c>
      <c r="O1388" s="36">
        <f>1/M1388-(G1388/100-(((E1388/E1268)^(1/10))-1))</f>
        <v>6.7700062192951257E-2</v>
      </c>
      <c r="P1388" s="48">
        <v>5.83</v>
      </c>
      <c r="R1388" s="30"/>
      <c r="S1388" s="30"/>
    </row>
    <row r="1389" spans="1:19" ht="13" x14ac:dyDescent="0.3">
      <c r="A1389" s="52" t="s">
        <v>1405</v>
      </c>
      <c r="B1389" s="6">
        <v>245</v>
      </c>
      <c r="C1389" s="1">
        <v>8.1866699999999994</v>
      </c>
      <c r="D1389" s="6">
        <v>14.8033</v>
      </c>
      <c r="E1389" s="6">
        <v>109.7</v>
      </c>
      <c r="F1389" s="1">
        <f t="shared" si="105"/>
        <v>1986.624999999895</v>
      </c>
      <c r="G1389" s="17">
        <v>7.17</v>
      </c>
      <c r="H1389" s="1">
        <f>B1389*$E$1867/E1389</f>
        <v>748.45657474931625</v>
      </c>
      <c r="I1389" s="1">
        <f>C1389*$E$1867/E1389</f>
        <v>25.009661170624426</v>
      </c>
      <c r="J1389" s="26">
        <f t="shared" si="106"/>
        <v>223644.03763899428</v>
      </c>
      <c r="K1389" s="1">
        <f>D1389*$E$1867/E1389</f>
        <v>45.222968216271646</v>
      </c>
      <c r="L1389" s="26">
        <f t="shared" si="104"/>
        <v>13512.937887270711</v>
      </c>
      <c r="M1389" s="10">
        <f t="shared" si="102"/>
        <v>13.887667550866054</v>
      </c>
      <c r="N1389" s="4">
        <f t="shared" si="103"/>
        <v>17.552178737142746</v>
      </c>
      <c r="O1389" s="36">
        <f>1/M1389-(G1389/100-(((E1389/E1269)^(1/10))-1))</f>
        <v>6.7220478286354135E-2</v>
      </c>
      <c r="P1389" s="48">
        <v>5.53</v>
      </c>
      <c r="R1389" s="30"/>
      <c r="S1389" s="30"/>
    </row>
    <row r="1390" spans="1:19" ht="13" x14ac:dyDescent="0.3">
      <c r="A1390" s="52" t="s">
        <v>1406</v>
      </c>
      <c r="B1390" s="6">
        <v>238.3</v>
      </c>
      <c r="C1390" s="1">
        <v>8.23</v>
      </c>
      <c r="D1390" s="6">
        <v>14.85</v>
      </c>
      <c r="E1390" s="6">
        <v>110.2</v>
      </c>
      <c r="F1390" s="1">
        <f t="shared" si="105"/>
        <v>1986.7083333332282</v>
      </c>
      <c r="G1390" s="17">
        <v>7.45</v>
      </c>
      <c r="H1390" s="1">
        <f>B1390*$E$1867/E1390</f>
        <v>724.68554514519053</v>
      </c>
      <c r="I1390" s="1">
        <f>C1390*$E$1867/E1390</f>
        <v>25.027956510889293</v>
      </c>
      <c r="J1390" s="26">
        <f t="shared" si="106"/>
        <v>217164.29906881551</v>
      </c>
      <c r="K1390" s="1">
        <f>D1390*$E$1867/E1390</f>
        <v>45.159800022686021</v>
      </c>
      <c r="L1390" s="26">
        <f t="shared" si="104"/>
        <v>13532.899039747839</v>
      </c>
      <c r="M1390" s="10">
        <f t="shared" si="102"/>
        <v>13.46731431297713</v>
      </c>
      <c r="N1390" s="4">
        <f t="shared" si="103"/>
        <v>17.007759947928374</v>
      </c>
      <c r="O1390" s="36">
        <f>1/M1390-(G1390/100-(((E1390/E1270)^(1/10))-1))</f>
        <v>6.6782088500137934E-2</v>
      </c>
      <c r="P1390" s="48">
        <v>5.21</v>
      </c>
      <c r="R1390" s="30"/>
      <c r="S1390" s="30"/>
    </row>
    <row r="1391" spans="1:19" ht="13" x14ac:dyDescent="0.3">
      <c r="A1391" s="52" t="s">
        <v>1407</v>
      </c>
      <c r="B1391" s="6">
        <v>237.4</v>
      </c>
      <c r="C1391" s="1">
        <v>8.2466699999999999</v>
      </c>
      <c r="D1391" s="6">
        <v>14.726699999999999</v>
      </c>
      <c r="E1391" s="6">
        <v>110.3</v>
      </c>
      <c r="F1391" s="1">
        <f t="shared" si="105"/>
        <v>1986.7916666665615</v>
      </c>
      <c r="G1391" s="17">
        <v>7.43</v>
      </c>
      <c r="H1391" s="1">
        <f>B1391*$E$1867/E1391</f>
        <v>721.29405575702629</v>
      </c>
      <c r="I1391" s="1">
        <f>C1391*$E$1867/E1391</f>
        <v>25.055914283023572</v>
      </c>
      <c r="J1391" s="26">
        <f t="shared" si="106"/>
        <v>216773.68425326835</v>
      </c>
      <c r="K1391" s="1">
        <f>D1391*$E$1867/E1391</f>
        <v>44.744234081368987</v>
      </c>
      <c r="L1391" s="26">
        <f t="shared" si="104"/>
        <v>13447.182038300785</v>
      </c>
      <c r="M1391" s="10">
        <f t="shared" si="102"/>
        <v>13.425918860857362</v>
      </c>
      <c r="N1391" s="4">
        <f t="shared" si="103"/>
        <v>16.942441583196945</v>
      </c>
      <c r="O1391" s="36">
        <f>1/M1391-(G1391/100-(((E1391/E1271)^(1/10))-1))</f>
        <v>6.6753610688413567E-2</v>
      </c>
      <c r="P1391" s="48">
        <v>5.18</v>
      </c>
      <c r="R1391" s="30"/>
      <c r="S1391" s="30"/>
    </row>
    <row r="1392" spans="1:19" ht="13" x14ac:dyDescent="0.3">
      <c r="A1392" s="52" t="s">
        <v>1408</v>
      </c>
      <c r="B1392" s="6">
        <v>245.1</v>
      </c>
      <c r="C1392" s="1">
        <v>8.2633299999999998</v>
      </c>
      <c r="D1392" s="6">
        <v>14.603300000000001</v>
      </c>
      <c r="E1392" s="6">
        <v>110.4</v>
      </c>
      <c r="F1392" s="1">
        <f t="shared" si="105"/>
        <v>1986.8749999998947</v>
      </c>
      <c r="G1392" s="17">
        <v>7.25</v>
      </c>
      <c r="H1392" s="1">
        <f>B1392*$E$1867/E1392</f>
        <v>744.0144816576086</v>
      </c>
      <c r="I1392" s="1">
        <f>C1392*$E$1867/E1392</f>
        <v>25.083791051471916</v>
      </c>
      <c r="J1392" s="26">
        <f t="shared" si="106"/>
        <v>224230.16593474674</v>
      </c>
      <c r="K1392" s="1">
        <f>D1392*$E$1867/E1392</f>
        <v>44.329117421422104</v>
      </c>
      <c r="L1392" s="26">
        <f t="shared" si="104"/>
        <v>13359.854680517697</v>
      </c>
      <c r="M1392" s="10">
        <f t="shared" si="102"/>
        <v>13.872985596138603</v>
      </c>
      <c r="N1392" s="4">
        <f t="shared" si="103"/>
        <v>17.49166618064254</v>
      </c>
      <c r="O1392" s="36">
        <f>1/M1392-(G1392/100-(((E1392/E1272)^(1/10))-1))</f>
        <v>6.6065956858145716E-2</v>
      </c>
      <c r="P1392" s="48">
        <v>5.35</v>
      </c>
      <c r="R1392" s="30"/>
      <c r="S1392" s="30"/>
    </row>
    <row r="1393" spans="1:19" ht="13" x14ac:dyDescent="0.3">
      <c r="A1393" s="52" t="s">
        <v>1409</v>
      </c>
      <c r="B1393" s="6">
        <v>248.6</v>
      </c>
      <c r="C1393" s="1">
        <v>8.2799999999999994</v>
      </c>
      <c r="D1393" s="6">
        <v>14.48</v>
      </c>
      <c r="E1393" s="6">
        <v>110.5</v>
      </c>
      <c r="F1393" s="1">
        <f t="shared" si="105"/>
        <v>1986.958333333228</v>
      </c>
      <c r="G1393" s="17">
        <v>7.11</v>
      </c>
      <c r="H1393" s="1">
        <f>B1393*$E$1867/E1393</f>
        <v>753.95599230769221</v>
      </c>
      <c r="I1393" s="1">
        <f>C1393*$E$1867/E1393</f>
        <v>25.111647692307688</v>
      </c>
      <c r="J1393" s="26">
        <f t="shared" si="106"/>
        <v>227857.00258911331</v>
      </c>
      <c r="K1393" s="1">
        <f>D1393*$E$1867/E1393</f>
        <v>43.915055384615385</v>
      </c>
      <c r="L1393" s="26">
        <f t="shared" si="104"/>
        <v>13271.79966810282</v>
      </c>
      <c r="M1393" s="10">
        <f t="shared" si="102"/>
        <v>14.085139814743307</v>
      </c>
      <c r="N1393" s="4">
        <f t="shared" si="103"/>
        <v>17.743316425436959</v>
      </c>
      <c r="O1393" s="36">
        <f>1/M1393-(G1393/100-(((E1393/E1273)^(1/10))-1))</f>
        <v>6.610970206910384E-2</v>
      </c>
      <c r="P1393" s="48">
        <v>5.53</v>
      </c>
      <c r="R1393" s="30"/>
      <c r="S1393" s="30"/>
    </row>
    <row r="1394" spans="1:19" ht="13" x14ac:dyDescent="0.3">
      <c r="A1394" s="52" t="s">
        <v>1410</v>
      </c>
      <c r="B1394" s="6">
        <v>264.5</v>
      </c>
      <c r="C1394" s="1">
        <v>8.3000000000000007</v>
      </c>
      <c r="D1394" s="6">
        <v>14.6867</v>
      </c>
      <c r="E1394" s="6">
        <v>111.2</v>
      </c>
      <c r="F1394" s="1">
        <f t="shared" si="105"/>
        <v>1987.0416666665612</v>
      </c>
      <c r="G1394" s="17">
        <v>7.08</v>
      </c>
      <c r="H1394" s="1">
        <f>B1394*$E$1867/E1394</f>
        <v>797.12795526079128</v>
      </c>
      <c r="I1394" s="1">
        <f>C1394*$E$1867/E1394</f>
        <v>25.013845098920864</v>
      </c>
      <c r="J1394" s="26">
        <f t="shared" si="106"/>
        <v>241534.19218666668</v>
      </c>
      <c r="K1394" s="1">
        <f>D1394*$E$1867/E1394</f>
        <v>44.26154684509892</v>
      </c>
      <c r="L1394" s="26">
        <f t="shared" si="104"/>
        <v>13411.494216967552</v>
      </c>
      <c r="M1394" s="10">
        <f t="shared" si="102"/>
        <v>14.922208103718948</v>
      </c>
      <c r="N1394" s="4">
        <f t="shared" si="103"/>
        <v>18.77796279426213</v>
      </c>
      <c r="O1394" s="36">
        <f>1/M1394-(G1394/100-(((E1394/E1274)^(1/10))-1))</f>
        <v>6.2552225871873632E-2</v>
      </c>
      <c r="P1394" s="48">
        <v>5.43</v>
      </c>
      <c r="R1394" s="30"/>
      <c r="S1394" s="30"/>
    </row>
    <row r="1395" spans="1:19" ht="13" x14ac:dyDescent="0.3">
      <c r="A1395" s="52" t="s">
        <v>1411</v>
      </c>
      <c r="B1395" s="6">
        <v>280.89999999999998</v>
      </c>
      <c r="C1395" s="1">
        <v>8.32</v>
      </c>
      <c r="D1395" s="6">
        <v>14.8933</v>
      </c>
      <c r="E1395" s="6">
        <v>111.6</v>
      </c>
      <c r="F1395" s="1">
        <f t="shared" si="105"/>
        <v>1987.1249999998945</v>
      </c>
      <c r="G1395" s="17">
        <v>7.25</v>
      </c>
      <c r="H1395" s="1">
        <f>B1395*$E$1867/E1395</f>
        <v>843.5186624103942</v>
      </c>
      <c r="I1395" s="1">
        <f>C1395*$E$1867/E1395</f>
        <v>24.984248028673836</v>
      </c>
      <c r="J1395" s="26">
        <f t="shared" si="106"/>
        <v>256221.69759843411</v>
      </c>
      <c r="K1395" s="1">
        <f>D1395*$E$1867/E1395</f>
        <v>44.723305428539433</v>
      </c>
      <c r="L1395" s="26">
        <f t="shared" si="104"/>
        <v>13584.857988048272</v>
      </c>
      <c r="M1395" s="10">
        <f t="shared" si="102"/>
        <v>15.822318142836455</v>
      </c>
      <c r="N1395" s="4">
        <f t="shared" si="103"/>
        <v>19.886426559991136</v>
      </c>
      <c r="O1395" s="36">
        <f>1/M1395-(G1395/100-(((E1395/E1275)^(1/10))-1))</f>
        <v>5.6334889356184414E-2</v>
      </c>
      <c r="P1395" s="48">
        <v>5.59</v>
      </c>
      <c r="R1395" s="30"/>
      <c r="S1395" s="30"/>
    </row>
    <row r="1396" spans="1:19" ht="13" x14ac:dyDescent="0.3">
      <c r="A1396" s="52" t="s">
        <v>1412</v>
      </c>
      <c r="B1396" s="6">
        <v>292.5</v>
      </c>
      <c r="C1396" s="1">
        <v>8.34</v>
      </c>
      <c r="D1396" s="6">
        <v>15.1</v>
      </c>
      <c r="E1396" s="6">
        <v>112.1</v>
      </c>
      <c r="F1396" s="1">
        <f t="shared" si="105"/>
        <v>1987.2083333332278</v>
      </c>
      <c r="G1396" s="17">
        <v>7.25</v>
      </c>
      <c r="H1396" s="1">
        <f>B1396*$E$1867/E1396</f>
        <v>874.43475133809102</v>
      </c>
      <c r="I1396" s="1">
        <f>C1396*$E$1867/E1396</f>
        <v>24.932601115075823</v>
      </c>
      <c r="J1396" s="26">
        <f t="shared" si="106"/>
        <v>266243.67966018541</v>
      </c>
      <c r="K1396" s="1">
        <f>D1396*$E$1867/E1396</f>
        <v>45.14175981266726</v>
      </c>
      <c r="L1396" s="26">
        <f t="shared" si="104"/>
        <v>13744.545514081366</v>
      </c>
      <c r="M1396" s="10">
        <f t="shared" si="102"/>
        <v>16.433343976069921</v>
      </c>
      <c r="N1396" s="4">
        <f t="shared" si="103"/>
        <v>20.627202938129209</v>
      </c>
      <c r="O1396" s="36">
        <f>1/M1396-(G1396/100-(((E1396/E1276)^(1/10))-1))</f>
        <v>5.3742497442263164E-2</v>
      </c>
      <c r="P1396" s="48">
        <v>5.59</v>
      </c>
      <c r="R1396" s="30"/>
      <c r="S1396" s="30"/>
    </row>
    <row r="1397" spans="1:19" ht="13" x14ac:dyDescent="0.3">
      <c r="A1397" s="52" t="s">
        <v>1413</v>
      </c>
      <c r="B1397" s="6">
        <v>289.3</v>
      </c>
      <c r="C1397" s="1">
        <v>8.4</v>
      </c>
      <c r="D1397" s="6">
        <v>14.8733</v>
      </c>
      <c r="E1397" s="6">
        <v>112.7</v>
      </c>
      <c r="F1397" s="1">
        <f t="shared" si="105"/>
        <v>1987.291666666561</v>
      </c>
      <c r="G1397" s="17">
        <v>8.02</v>
      </c>
      <c r="H1397" s="1">
        <f>B1397*$E$1867/E1397</f>
        <v>860.26384050576758</v>
      </c>
      <c r="I1397" s="1">
        <f>C1397*$E$1867/E1397</f>
        <v>24.97827950310559</v>
      </c>
      <c r="J1397" s="26">
        <f t="shared" si="106"/>
        <v>262562.76119409275</v>
      </c>
      <c r="K1397" s="1">
        <f>D1397*$E$1867/E1397</f>
        <v>44.227314825421473</v>
      </c>
      <c r="L1397" s="26">
        <f t="shared" si="104"/>
        <v>13498.702786270651</v>
      </c>
      <c r="M1397" s="10">
        <f t="shared" si="102"/>
        <v>16.196534453220881</v>
      </c>
      <c r="N1397" s="4">
        <f t="shared" si="103"/>
        <v>20.303841071051373</v>
      </c>
      <c r="O1397" s="36">
        <f>1/M1397-(G1397/100-(((E1397/E1277)^(1/10))-1))</f>
        <v>4.6609431506182783E-2</v>
      </c>
      <c r="P1397" s="48">
        <v>5.64</v>
      </c>
      <c r="R1397" s="30"/>
      <c r="S1397" s="30"/>
    </row>
    <row r="1398" spans="1:19" ht="13" x14ac:dyDescent="0.3">
      <c r="A1398" s="52" t="s">
        <v>1414</v>
      </c>
      <c r="B1398" s="6">
        <v>289.10000000000002</v>
      </c>
      <c r="C1398" s="1">
        <v>8.4600000000000009</v>
      </c>
      <c r="D1398" s="6">
        <v>14.646699999999999</v>
      </c>
      <c r="E1398" s="6">
        <v>113.1</v>
      </c>
      <c r="F1398" s="1">
        <f t="shared" si="105"/>
        <v>1987.3749999998943</v>
      </c>
      <c r="G1398" s="17">
        <v>8.61</v>
      </c>
      <c r="H1398" s="1">
        <f>B1398*$E$1867/E1398</f>
        <v>856.62873364279415</v>
      </c>
      <c r="I1398" s="1">
        <f>C1398*$E$1867/E1398</f>
        <v>25.067724270557029</v>
      </c>
      <c r="J1398" s="26">
        <f t="shared" si="106"/>
        <v>262090.86396797147</v>
      </c>
      <c r="K1398" s="1">
        <f>D1398*$E$1867/E1398</f>
        <v>43.399460646993809</v>
      </c>
      <c r="L1398" s="26">
        <f t="shared" si="104"/>
        <v>13278.333646764742</v>
      </c>
      <c r="M1398" s="10">
        <f t="shared" si="102"/>
        <v>16.160311952655739</v>
      </c>
      <c r="N1398" s="4">
        <f t="shared" si="103"/>
        <v>20.233478963142385</v>
      </c>
      <c r="O1398" s="36">
        <f>1/M1398-(G1398/100-(((E1398/E1278)^(1/10))-1))</f>
        <v>4.0693975709329595E-2</v>
      </c>
      <c r="P1398" s="48">
        <v>5.66</v>
      </c>
      <c r="R1398" s="30"/>
      <c r="S1398" s="30"/>
    </row>
    <row r="1399" spans="1:19" ht="13" x14ac:dyDescent="0.3">
      <c r="A1399" s="52" t="s">
        <v>1415</v>
      </c>
      <c r="B1399" s="6">
        <v>301.39999999999998</v>
      </c>
      <c r="C1399" s="1">
        <v>8.52</v>
      </c>
      <c r="D1399" s="6">
        <v>14.42</v>
      </c>
      <c r="E1399" s="6">
        <v>113.5</v>
      </c>
      <c r="F1399" s="1">
        <f t="shared" si="105"/>
        <v>1987.4583333332275</v>
      </c>
      <c r="G1399" s="17">
        <v>8.4</v>
      </c>
      <c r="H1399" s="1">
        <f>B1399*$E$1867/E1399</f>
        <v>889.92731585903073</v>
      </c>
      <c r="I1399" s="1">
        <f>C1399*$E$1867/E1399</f>
        <v>25.156538590308369</v>
      </c>
      <c r="J1399" s="26">
        <f t="shared" si="106"/>
        <v>272920.17122259876</v>
      </c>
      <c r="K1399" s="1">
        <f>D1399*$E$1867/E1399</f>
        <v>42.577146299559466</v>
      </c>
      <c r="L1399" s="26">
        <f t="shared" si="104"/>
        <v>13057.428231685049</v>
      </c>
      <c r="M1399" s="10">
        <f t="shared" si="102"/>
        <v>16.82520730787871</v>
      </c>
      <c r="N1399" s="4">
        <f t="shared" si="103"/>
        <v>21.038765339298084</v>
      </c>
      <c r="O1399" s="36">
        <f>1/M1399-(G1399/100-(((E1399/E1279)^(1/10))-1))</f>
        <v>4.0020549424348628E-2</v>
      </c>
      <c r="P1399" s="48">
        <v>5.67</v>
      </c>
      <c r="R1399" s="30"/>
      <c r="S1399" s="30"/>
    </row>
    <row r="1400" spans="1:19" ht="13" x14ac:dyDescent="0.3">
      <c r="A1400" s="52" t="s">
        <v>1416</v>
      </c>
      <c r="B1400" s="6">
        <v>310.10000000000002</v>
      </c>
      <c r="C1400" s="1">
        <v>8.5666700000000002</v>
      </c>
      <c r="D1400" s="6">
        <v>14.9</v>
      </c>
      <c r="E1400" s="6">
        <v>113.8</v>
      </c>
      <c r="F1400" s="1">
        <f t="shared" si="105"/>
        <v>1987.5416666665608</v>
      </c>
      <c r="G1400" s="17">
        <v>8.4499999999999993</v>
      </c>
      <c r="H1400" s="1">
        <f>B1400*$E$1867/E1400</f>
        <v>913.2015819420036</v>
      </c>
      <c r="I1400" s="1">
        <f>C1400*$E$1867/E1400</f>
        <v>25.227657516849739</v>
      </c>
      <c r="J1400" s="26">
        <f t="shared" si="106"/>
        <v>280702.57990374696</v>
      </c>
      <c r="K1400" s="1">
        <f>D1400*$E$1867/E1400</f>
        <v>43.878437829525481</v>
      </c>
      <c r="L1400" s="26">
        <f t="shared" si="104"/>
        <v>13487.482878316121</v>
      </c>
      <c r="M1400" s="10">
        <f t="shared" si="102"/>
        <v>17.306004390512218</v>
      </c>
      <c r="N1400" s="4">
        <f t="shared" si="103"/>
        <v>21.611453473791169</v>
      </c>
      <c r="O1400" s="36">
        <f>1/M1400-(G1400/100-(((E1400/E1280)^(1/10))-1))</f>
        <v>3.7625517261062232E-2</v>
      </c>
      <c r="P1400" s="48">
        <v>5.69</v>
      </c>
      <c r="R1400" s="30"/>
      <c r="S1400" s="30"/>
    </row>
    <row r="1401" spans="1:19" ht="13" x14ac:dyDescent="0.3">
      <c r="A1401" s="52" t="s">
        <v>1417</v>
      </c>
      <c r="B1401" s="6">
        <v>329.4</v>
      </c>
      <c r="C1401" s="1">
        <v>8.6133299999999995</v>
      </c>
      <c r="D1401" s="6">
        <v>15.38</v>
      </c>
      <c r="E1401" s="6">
        <v>114.4</v>
      </c>
      <c r="F1401" s="1">
        <f t="shared" si="105"/>
        <v>1987.624999999894</v>
      </c>
      <c r="G1401" s="17">
        <v>8.76</v>
      </c>
      <c r="H1401" s="1">
        <f>B1401*$E$1867/E1401</f>
        <v>964.94980201048929</v>
      </c>
      <c r="I1401" s="1">
        <f>C1401*$E$1867/E1401</f>
        <v>25.232031202644226</v>
      </c>
      <c r="J1401" s="26">
        <f t="shared" si="106"/>
        <v>297255.42416668026</v>
      </c>
      <c r="K1401" s="1">
        <f>D1401*$E$1867/E1401</f>
        <v>45.054426092657337</v>
      </c>
      <c r="L1401" s="26">
        <f t="shared" si="104"/>
        <v>13879.139112579061</v>
      </c>
      <c r="M1401" s="10">
        <f t="shared" si="102"/>
        <v>18.326907245856329</v>
      </c>
      <c r="N1401" s="4">
        <f t="shared" si="103"/>
        <v>22.852095511377332</v>
      </c>
      <c r="O1401" s="36">
        <f>1/M1401-(G1401/100-(((E1401/E1281)^(1/10))-1))</f>
        <v>3.1518001960628601E-2</v>
      </c>
      <c r="P1401" s="48">
        <v>6.04</v>
      </c>
      <c r="R1401" s="30"/>
      <c r="S1401" s="30"/>
    </row>
    <row r="1402" spans="1:19" ht="13" x14ac:dyDescent="0.3">
      <c r="A1402" s="52" t="s">
        <v>1418</v>
      </c>
      <c r="B1402" s="6">
        <v>318.7</v>
      </c>
      <c r="C1402" s="1">
        <v>8.66</v>
      </c>
      <c r="D1402" s="6">
        <v>15.86</v>
      </c>
      <c r="E1402" s="6">
        <v>115</v>
      </c>
      <c r="F1402" s="1">
        <f t="shared" si="105"/>
        <v>1987.7083333332273</v>
      </c>
      <c r="G1402" s="17">
        <v>9.42</v>
      </c>
      <c r="H1402" s="1">
        <f>B1402*$E$1867/E1402</f>
        <v>928.73406239130429</v>
      </c>
      <c r="I1402" s="1">
        <f>C1402*$E$1867/E1402</f>
        <v>25.236388391304349</v>
      </c>
      <c r="J1402" s="26">
        <f t="shared" si="106"/>
        <v>286746.91145139775</v>
      </c>
      <c r="K1402" s="1">
        <f>D1402*$E$1867/E1402</f>
        <v>46.218143173913042</v>
      </c>
      <c r="L1402" s="26">
        <f t="shared" si="104"/>
        <v>14269.865125883804</v>
      </c>
      <c r="M1402" s="10">
        <f t="shared" ref="M1402:M1465" si="107">H1402/AVERAGE(K1282:K1401)</f>
        <v>17.675620449938215</v>
      </c>
      <c r="N1402" s="4">
        <f t="shared" ref="N1402:N1465" si="108">J1402/AVERAGE(L1282:L1401)</f>
        <v>22.007766234206699</v>
      </c>
      <c r="O1402" s="36">
        <f>1/M1402-(G1402/100-(((E1402/E1282)^(1/10))-1))</f>
        <v>2.7138089806860242E-2</v>
      </c>
      <c r="P1402" s="48">
        <v>6.4</v>
      </c>
      <c r="R1402" s="30"/>
      <c r="S1402" s="30"/>
    </row>
    <row r="1403" spans="1:19" ht="13" x14ac:dyDescent="0.3">
      <c r="A1403" s="52" t="s">
        <v>1419</v>
      </c>
      <c r="B1403" s="6">
        <v>280.2</v>
      </c>
      <c r="C1403" s="1">
        <v>8.7100000000000009</v>
      </c>
      <c r="D1403" s="6">
        <v>16.406700000000001</v>
      </c>
      <c r="E1403" s="6">
        <v>115.3</v>
      </c>
      <c r="F1403" s="1">
        <f t="shared" si="105"/>
        <v>1987.7916666665606</v>
      </c>
      <c r="G1403" s="17">
        <v>9.52</v>
      </c>
      <c r="H1403" s="1">
        <f>B1403*$E$1867/E1403</f>
        <v>814.41539505637456</v>
      </c>
      <c r="I1403" s="1">
        <f>C1403*$E$1867/E1403</f>
        <v>25.316053143972248</v>
      </c>
      <c r="J1403" s="26">
        <f t="shared" si="106"/>
        <v>252102.3512788972</v>
      </c>
      <c r="K1403" s="1">
        <f>D1403*$E$1867/E1403</f>
        <v>47.68689886535126</v>
      </c>
      <c r="L1403" s="26">
        <f t="shared" si="104"/>
        <v>14761.483393031704</v>
      </c>
      <c r="M1403" s="10">
        <f t="shared" si="107"/>
        <v>15.530055563627307</v>
      </c>
      <c r="N1403" s="4">
        <f t="shared" si="108"/>
        <v>19.313386963315367</v>
      </c>
      <c r="O1403" s="36">
        <f>1/M1403-(G1403/100-(((E1403/E1283)^(1/10))-1))</f>
        <v>3.3885399558438389E-2</v>
      </c>
      <c r="P1403" s="48">
        <v>6.13</v>
      </c>
      <c r="R1403" s="30"/>
      <c r="S1403" s="30"/>
    </row>
    <row r="1404" spans="1:19" ht="13" x14ac:dyDescent="0.3">
      <c r="A1404" s="52" t="s">
        <v>1420</v>
      </c>
      <c r="B1404" s="6">
        <v>245</v>
      </c>
      <c r="C1404" s="1">
        <v>8.76</v>
      </c>
      <c r="D1404" s="6">
        <v>16.953299999999999</v>
      </c>
      <c r="E1404" s="6">
        <v>115.4</v>
      </c>
      <c r="F1404" s="1">
        <f t="shared" si="105"/>
        <v>1987.8749999998938</v>
      </c>
      <c r="G1404" s="17">
        <v>8.86</v>
      </c>
      <c r="H1404" s="1">
        <f>B1404*$E$1867/E1404</f>
        <v>711.4877491334488</v>
      </c>
      <c r="I1404" s="1">
        <f>C1404*$E$1867/E1404</f>
        <v>25.439317071057189</v>
      </c>
      <c r="J1404" s="26">
        <f t="shared" si="106"/>
        <v>220897.31872958783</v>
      </c>
      <c r="K1404" s="1">
        <f>D1404*$E$1867/E1404</f>
        <v>49.232919417894273</v>
      </c>
      <c r="L1404" s="26">
        <f t="shared" si="104"/>
        <v>15285.463320891107</v>
      </c>
      <c r="M1404" s="10">
        <f t="shared" si="107"/>
        <v>13.590885143189078</v>
      </c>
      <c r="N1404" s="4">
        <f t="shared" si="108"/>
        <v>16.88736630976846</v>
      </c>
      <c r="O1404" s="36">
        <f>1/M1404-(G1404/100-(((E1404/E1284)^(1/10))-1))</f>
        <v>4.9247979245254009E-2</v>
      </c>
      <c r="P1404" s="48">
        <v>5.69</v>
      </c>
      <c r="R1404" s="30"/>
      <c r="S1404" s="30"/>
    </row>
    <row r="1405" spans="1:19" ht="13" x14ac:dyDescent="0.3">
      <c r="A1405" s="52" t="s">
        <v>1421</v>
      </c>
      <c r="B1405" s="6">
        <v>241</v>
      </c>
      <c r="C1405" s="1">
        <v>8.81</v>
      </c>
      <c r="D1405" s="6">
        <v>17.5</v>
      </c>
      <c r="E1405" s="6">
        <v>115.4</v>
      </c>
      <c r="F1405" s="1">
        <f t="shared" si="105"/>
        <v>1987.9583333332271</v>
      </c>
      <c r="G1405" s="17">
        <v>8.99</v>
      </c>
      <c r="H1405" s="1">
        <f>B1405*$E$1867/E1405</f>
        <v>699.87162261698427</v>
      </c>
      <c r="I1405" s="1">
        <f>C1405*$E$1867/E1405</f>
        <v>25.584518652512998</v>
      </c>
      <c r="J1405" s="26">
        <f t="shared" si="106"/>
        <v>217952.77249795088</v>
      </c>
      <c r="K1405" s="1">
        <f>D1405*$E$1867/E1405</f>
        <v>50.820553509532054</v>
      </c>
      <c r="L1405" s="26">
        <f t="shared" si="104"/>
        <v>15826.446135743323</v>
      </c>
      <c r="M1405" s="10">
        <f t="shared" si="107"/>
        <v>13.389028514426956</v>
      </c>
      <c r="N1405" s="4">
        <f t="shared" si="108"/>
        <v>16.622494633999843</v>
      </c>
      <c r="O1405" s="36">
        <f>1/M1405-(G1405/100-(((E1405/E1285)^(1/10))-1))</f>
        <v>4.8714014484914525E-2</v>
      </c>
      <c r="P1405" s="48">
        <v>5.77</v>
      </c>
      <c r="R1405" s="30"/>
      <c r="S1405" s="30"/>
    </row>
    <row r="1406" spans="1:19" ht="13" x14ac:dyDescent="0.3">
      <c r="A1406" s="52" t="s">
        <v>1422</v>
      </c>
      <c r="B1406" s="6">
        <v>250.5</v>
      </c>
      <c r="C1406" s="1">
        <v>8.8566699999999994</v>
      </c>
      <c r="D1406" s="6">
        <v>17.863299999999999</v>
      </c>
      <c r="E1406" s="6">
        <v>115.7</v>
      </c>
      <c r="F1406" s="1">
        <f t="shared" si="105"/>
        <v>1988.0416666665603</v>
      </c>
      <c r="G1406" s="17">
        <v>8.67</v>
      </c>
      <c r="H1406" s="1">
        <f>B1406*$E$1867/E1406</f>
        <v>725.57368301642168</v>
      </c>
      <c r="I1406" s="1">
        <f>C1406*$E$1867/E1406</f>
        <v>25.653359964714774</v>
      </c>
      <c r="J1406" s="26">
        <f t="shared" si="106"/>
        <v>226622.60594201615</v>
      </c>
      <c r="K1406" s="1">
        <f>D1406*$E$1867/E1406</f>
        <v>51.741079328651679</v>
      </c>
      <c r="L1406" s="26">
        <f t="shared" si="104"/>
        <v>16160.589208479108</v>
      </c>
      <c r="M1406" s="10">
        <f t="shared" si="107"/>
        <v>13.898336683569131</v>
      </c>
      <c r="N1406" s="4">
        <f t="shared" si="108"/>
        <v>17.237464801757387</v>
      </c>
      <c r="O1406" s="36">
        <f>1/M1406-(G1406/100-(((E1406/E1286)^(1/10))-1))</f>
        <v>4.877025449457402E-2</v>
      </c>
      <c r="P1406" s="48">
        <v>5.81</v>
      </c>
      <c r="R1406" s="30"/>
      <c r="S1406" s="30"/>
    </row>
    <row r="1407" spans="1:19" ht="13" x14ac:dyDescent="0.3">
      <c r="A1407" s="52" t="s">
        <v>1423</v>
      </c>
      <c r="B1407" s="6">
        <v>258.10000000000002</v>
      </c>
      <c r="C1407" s="1">
        <v>8.9033300000000004</v>
      </c>
      <c r="D1407" s="6">
        <v>18.226700000000001</v>
      </c>
      <c r="E1407" s="6">
        <v>116</v>
      </c>
      <c r="F1407" s="1">
        <f t="shared" si="105"/>
        <v>1988.1249999998936</v>
      </c>
      <c r="G1407" s="17">
        <v>8.2100000000000009</v>
      </c>
      <c r="H1407" s="1">
        <f>B1407*$E$1867/E1407</f>
        <v>745.65368125000009</v>
      </c>
      <c r="I1407" s="1">
        <f>C1407*$E$1867/E1407</f>
        <v>25.721816311056035</v>
      </c>
      <c r="J1407" s="26">
        <f t="shared" si="106"/>
        <v>233563.79431712118</v>
      </c>
      <c r="K1407" s="1">
        <f>D1407*$E$1867/E1407</f>
        <v>52.657132708405172</v>
      </c>
      <c r="L1407" s="26">
        <f t="shared" si="104"/>
        <v>16493.983765516747</v>
      </c>
      <c r="M1407" s="10">
        <f t="shared" si="107"/>
        <v>14.298270962469518</v>
      </c>
      <c r="N1407" s="4">
        <f t="shared" si="108"/>
        <v>17.714126170441709</v>
      </c>
      <c r="O1407" s="36">
        <f>1/M1407-(G1407/100-(((E1407/E1287)^(1/10))-1))</f>
        <v>5.0954722160582056E-2</v>
      </c>
      <c r="P1407" s="48">
        <v>5.66</v>
      </c>
      <c r="R1407" s="30"/>
      <c r="S1407" s="30"/>
    </row>
    <row r="1408" spans="1:19" ht="13" x14ac:dyDescent="0.3">
      <c r="A1408" s="52" t="s">
        <v>1424</v>
      </c>
      <c r="B1408" s="6">
        <v>265.7</v>
      </c>
      <c r="C1408" s="1">
        <v>8.9499999999999993</v>
      </c>
      <c r="D1408" s="6">
        <v>18.59</v>
      </c>
      <c r="E1408" s="6">
        <v>116.5</v>
      </c>
      <c r="F1408" s="1">
        <f t="shared" si="105"/>
        <v>1988.2083333332268</v>
      </c>
      <c r="G1408" s="17">
        <v>8.3699999999999992</v>
      </c>
      <c r="H1408" s="1">
        <f>B1408*$E$1867/E1408</f>
        <v>764.31569892703851</v>
      </c>
      <c r="I1408" s="1">
        <f>C1408*$E$1867/E1408</f>
        <v>25.745673712446347</v>
      </c>
      <c r="J1408" s="26">
        <f t="shared" si="106"/>
        <v>240081.39967524947</v>
      </c>
      <c r="K1408" s="1">
        <f>D1408*$E$1867/E1408</f>
        <v>53.47620942060086</v>
      </c>
      <c r="L1408" s="26">
        <f t="shared" si="104"/>
        <v>16797.565750707145</v>
      </c>
      <c r="M1408" s="10">
        <f t="shared" si="107"/>
        <v>14.668946811103456</v>
      </c>
      <c r="N1408" s="4">
        <f t="shared" si="108"/>
        <v>18.152060554951017</v>
      </c>
      <c r="O1408" s="36">
        <f>1/M1408-(G1408/100-(((E1408/E1288)^(1/10))-1))</f>
        <v>4.7202997059628854E-2</v>
      </c>
      <c r="P1408" s="48">
        <v>5.7</v>
      </c>
      <c r="R1408" s="30"/>
      <c r="S1408" s="30"/>
    </row>
    <row r="1409" spans="1:19" ht="13" x14ac:dyDescent="0.3">
      <c r="A1409" s="52" t="s">
        <v>1425</v>
      </c>
      <c r="B1409" s="6">
        <v>262.60000000000002</v>
      </c>
      <c r="C1409" s="1">
        <v>9.0433299999999992</v>
      </c>
      <c r="D1409" s="6">
        <v>19.616700000000002</v>
      </c>
      <c r="E1409" s="6">
        <v>117.1</v>
      </c>
      <c r="F1409" s="1">
        <f t="shared" si="105"/>
        <v>1988.2916666665601</v>
      </c>
      <c r="G1409" s="17">
        <v>8.7200000000000006</v>
      </c>
      <c r="H1409" s="1">
        <f>B1409*$E$1867/E1409</f>
        <v>751.52767421007695</v>
      </c>
      <c r="I1409" s="1">
        <f>C1409*$E$1867/E1409</f>
        <v>25.880855910183602</v>
      </c>
      <c r="J1409" s="26">
        <f t="shared" si="106"/>
        <v>236741.97566402346</v>
      </c>
      <c r="K1409" s="1">
        <f>D1409*$E$1867/E1409</f>
        <v>56.140490962211793</v>
      </c>
      <c r="L1409" s="26">
        <f t="shared" si="104"/>
        <v>17685.058316863859</v>
      </c>
      <c r="M1409" s="10">
        <f t="shared" si="107"/>
        <v>14.433316420838942</v>
      </c>
      <c r="N1409" s="4">
        <f t="shared" si="108"/>
        <v>17.840595093043461</v>
      </c>
      <c r="O1409" s="36">
        <f>1/M1409-(G1409/100-(((E1409/E1289)^(1/10))-1))</f>
        <v>4.4527058308336587E-2</v>
      </c>
      <c r="P1409" s="48">
        <v>5.91</v>
      </c>
      <c r="R1409" s="30"/>
      <c r="S1409" s="30"/>
    </row>
    <row r="1410" spans="1:19" ht="13" x14ac:dyDescent="0.3">
      <c r="A1410" s="52" t="s">
        <v>1426</v>
      </c>
      <c r="B1410" s="6">
        <v>256.10000000000002</v>
      </c>
      <c r="C1410" s="1">
        <v>9.1366700000000005</v>
      </c>
      <c r="D1410" s="6">
        <v>20.6433</v>
      </c>
      <c r="E1410" s="6">
        <v>117.5</v>
      </c>
      <c r="F1410" s="1">
        <f t="shared" si="105"/>
        <v>1988.3749999998934</v>
      </c>
      <c r="G1410" s="17">
        <v>9.09</v>
      </c>
      <c r="H1410" s="1">
        <f>B1410*$E$1867/E1410</f>
        <v>730.4304385106384</v>
      </c>
      <c r="I1410" s="1">
        <f>C1410*$E$1867/E1410</f>
        <v>26.058968663127661</v>
      </c>
      <c r="J1410" s="26">
        <f t="shared" si="106"/>
        <v>230780.12342109563</v>
      </c>
      <c r="K1410" s="1">
        <f>D1410*$E$1867/E1410</f>
        <v>58.87737083680851</v>
      </c>
      <c r="L1410" s="26">
        <f t="shared" si="104"/>
        <v>18602.355805617739</v>
      </c>
      <c r="M1410" s="10">
        <f t="shared" si="107"/>
        <v>14.031891348027774</v>
      </c>
      <c r="N1410" s="4">
        <f t="shared" si="108"/>
        <v>17.325317986212713</v>
      </c>
      <c r="O1410" s="36">
        <f>1/M1410-(G1410/100-(((E1410/E1290)^(1/10))-1))</f>
        <v>4.2178685061003057E-2</v>
      </c>
      <c r="P1410" s="48">
        <v>6.26</v>
      </c>
      <c r="R1410" s="30"/>
      <c r="S1410" s="30"/>
    </row>
    <row r="1411" spans="1:19" ht="13" x14ac:dyDescent="0.3">
      <c r="A1411" s="52" t="s">
        <v>1427</v>
      </c>
      <c r="B1411" s="6">
        <v>270.7</v>
      </c>
      <c r="C1411" s="1">
        <v>9.23</v>
      </c>
      <c r="D1411" s="6">
        <v>21.67</v>
      </c>
      <c r="E1411" s="6">
        <v>118</v>
      </c>
      <c r="F1411" s="1">
        <f t="shared" si="105"/>
        <v>1988.4583333332266</v>
      </c>
      <c r="G1411" s="17">
        <v>8.92</v>
      </c>
      <c r="H1411" s="1">
        <f>B1411*$E$1867/E1411</f>
        <v>768.80004385593213</v>
      </c>
      <c r="I1411" s="1">
        <f>C1411*$E$1867/E1411</f>
        <v>26.213610656779661</v>
      </c>
      <c r="J1411" s="26">
        <f t="shared" si="106"/>
        <v>243593.21753061726</v>
      </c>
      <c r="K1411" s="1">
        <f>D1411*$E$1867/E1411</f>
        <v>61.543764131355935</v>
      </c>
      <c r="L1411" s="26">
        <f t="shared" ref="L1411:L1474" si="109">K1411*(J1411/H1411)</f>
        <v>19500.055500142138</v>
      </c>
      <c r="M1411" s="10">
        <f t="shared" si="107"/>
        <v>14.766468647879615</v>
      </c>
      <c r="N1411" s="4">
        <f t="shared" si="108"/>
        <v>18.208235569514827</v>
      </c>
      <c r="O1411" s="36">
        <f>1/M1411-(G1411/100-(((E1411/E1291)^(1/10))-1))</f>
        <v>3.9638410850633077E-2</v>
      </c>
      <c r="P1411" s="48">
        <v>6.46</v>
      </c>
      <c r="R1411" s="30"/>
      <c r="S1411" s="30"/>
    </row>
    <row r="1412" spans="1:19" ht="13" x14ac:dyDescent="0.3">
      <c r="A1412" s="52" t="s">
        <v>1428</v>
      </c>
      <c r="B1412" s="6">
        <v>269.10000000000002</v>
      </c>
      <c r="C1412" s="1">
        <v>9.3066700000000004</v>
      </c>
      <c r="D1412" s="6">
        <v>22.023299999999999</v>
      </c>
      <c r="E1412" s="6">
        <v>118.5</v>
      </c>
      <c r="F1412" s="1">
        <f t="shared" ref="F1412:F1475" si="110">F1411+1/12</f>
        <v>1988.5416666665599</v>
      </c>
      <c r="G1412" s="17">
        <v>9.06</v>
      </c>
      <c r="H1412" s="1">
        <f>B1412*$E$1867/E1412</f>
        <v>761.03126392405068</v>
      </c>
      <c r="I1412" s="1">
        <f>C1412*$E$1867/E1412</f>
        <v>26.319832155421942</v>
      </c>
      <c r="J1412" s="26">
        <f t="shared" ref="J1412:J1475" si="111">J1411*((H1412+(I1412/12))/H1411)</f>
        <v>241826.6406500428</v>
      </c>
      <c r="K1412" s="1">
        <f>D1412*$E$1867/E1412</f>
        <v>62.283239817088607</v>
      </c>
      <c r="L1412" s="26">
        <f t="shared" si="109"/>
        <v>19791.2324601564</v>
      </c>
      <c r="M1412" s="10">
        <f t="shared" si="107"/>
        <v>14.608315717522096</v>
      </c>
      <c r="N1412" s="4">
        <f t="shared" si="108"/>
        <v>17.988763201028423</v>
      </c>
      <c r="O1412" s="36">
        <f>1/M1412-(G1412/100-(((E1412/E1292)^(1/10))-1))</f>
        <v>3.860967549508626E-2</v>
      </c>
      <c r="P1412" s="48">
        <v>6.73</v>
      </c>
      <c r="R1412" s="30"/>
      <c r="S1412" s="30"/>
    </row>
    <row r="1413" spans="1:19" ht="13" x14ac:dyDescent="0.3">
      <c r="A1413" s="52" t="s">
        <v>1429</v>
      </c>
      <c r="B1413" s="6">
        <v>263.7</v>
      </c>
      <c r="C1413" s="1">
        <v>9.3833300000000008</v>
      </c>
      <c r="D1413" s="6">
        <v>22.3767</v>
      </c>
      <c r="E1413" s="6">
        <v>119</v>
      </c>
      <c r="F1413" s="1">
        <f t="shared" si="110"/>
        <v>1988.6249999998931</v>
      </c>
      <c r="G1413" s="17">
        <v>9.26</v>
      </c>
      <c r="H1413" s="1">
        <f>B1413*$E$1867/E1413</f>
        <v>742.62628928571428</v>
      </c>
      <c r="I1413" s="1">
        <f>C1413*$E$1867/E1413</f>
        <v>26.425132874642859</v>
      </c>
      <c r="J1413" s="26">
        <f t="shared" si="111"/>
        <v>236677.98476541584</v>
      </c>
      <c r="K1413" s="1">
        <f>D1413*$E$1867/E1413</f>
        <v>63.016783039285713</v>
      </c>
      <c r="L1413" s="26">
        <f t="shared" si="109"/>
        <v>20083.702167994998</v>
      </c>
      <c r="M1413" s="10">
        <f t="shared" si="107"/>
        <v>14.244946310675649</v>
      </c>
      <c r="N1413" s="4">
        <f t="shared" si="108"/>
        <v>17.518725933895688</v>
      </c>
      <c r="O1413" s="36">
        <f>1/M1413-(G1413/100-(((E1413/E1293)^(1/10))-1))</f>
        <v>3.8319223452196446E-2</v>
      </c>
      <c r="P1413" s="48">
        <v>7.06</v>
      </c>
      <c r="R1413" s="30"/>
      <c r="S1413" s="30"/>
    </row>
    <row r="1414" spans="1:19" ht="13" x14ac:dyDescent="0.3">
      <c r="A1414" s="52" t="s">
        <v>1430</v>
      </c>
      <c r="B1414" s="6">
        <v>268</v>
      </c>
      <c r="C1414" s="1">
        <v>9.4600000000000009</v>
      </c>
      <c r="D1414" s="6">
        <v>22.73</v>
      </c>
      <c r="E1414" s="6">
        <v>119.8</v>
      </c>
      <c r="F1414" s="1">
        <f t="shared" si="110"/>
        <v>1988.7083333332264</v>
      </c>
      <c r="G1414" s="17">
        <v>8.98</v>
      </c>
      <c r="H1414" s="1">
        <f>B1414*$E$1867/E1414</f>
        <v>749.69588480801337</v>
      </c>
      <c r="I1414" s="1">
        <f>C1414*$E$1867/E1414</f>
        <v>26.463145784641071</v>
      </c>
      <c r="J1414" s="26">
        <f t="shared" si="111"/>
        <v>239633.91920274129</v>
      </c>
      <c r="K1414" s="1">
        <f>D1414*$E$1867/E1414</f>
        <v>63.584281573455762</v>
      </c>
      <c r="L1414" s="26">
        <f t="shared" si="109"/>
        <v>20324.175311486229</v>
      </c>
      <c r="M1414" s="10">
        <f t="shared" si="107"/>
        <v>14.369428776140158</v>
      </c>
      <c r="N1414" s="4">
        <f t="shared" si="108"/>
        <v>17.648292003694415</v>
      </c>
      <c r="O1414" s="36">
        <f>1/M1414-(G1414/100-(((E1414/E1294)^(1/10))-1))</f>
        <v>4.0421236973085861E-2</v>
      </c>
      <c r="P1414" s="48">
        <v>7.24</v>
      </c>
      <c r="R1414" s="30"/>
      <c r="S1414" s="30"/>
    </row>
    <row r="1415" spans="1:19" ht="13" x14ac:dyDescent="0.3">
      <c r="A1415" s="52" t="s">
        <v>1431</v>
      </c>
      <c r="B1415" s="6">
        <v>277.39999999999998</v>
      </c>
      <c r="C1415" s="1">
        <v>9.5500000000000007</v>
      </c>
      <c r="D1415" s="6">
        <v>23.0733</v>
      </c>
      <c r="E1415" s="6">
        <v>120.2</v>
      </c>
      <c r="F1415" s="1">
        <f t="shared" si="110"/>
        <v>1988.7916666665596</v>
      </c>
      <c r="G1415" s="17">
        <v>8.8000000000000007</v>
      </c>
      <c r="H1415" s="1">
        <f>B1415*$E$1867/E1415</f>
        <v>773.40885482529109</v>
      </c>
      <c r="I1415" s="1">
        <f>C1415*$E$1867/E1415</f>
        <v>26.626007799500833</v>
      </c>
      <c r="J1415" s="26">
        <f t="shared" si="111"/>
        <v>247922.80000171371</v>
      </c>
      <c r="K1415" s="1">
        <f>D1415*$E$1867/E1415</f>
        <v>64.32982887541597</v>
      </c>
      <c r="L1415" s="26">
        <f t="shared" si="109"/>
        <v>20621.474914490052</v>
      </c>
      <c r="M1415" s="10">
        <f t="shared" si="107"/>
        <v>14.811450153277722</v>
      </c>
      <c r="N1415" s="4">
        <f t="shared" si="108"/>
        <v>18.165517397941169</v>
      </c>
      <c r="O1415" s="36">
        <f>1/M1415-(G1415/100-(((E1415/E1295)^(1/10))-1))</f>
        <v>3.9545427218485321E-2</v>
      </c>
      <c r="P1415" s="48">
        <v>7.35</v>
      </c>
      <c r="R1415" s="30"/>
      <c r="S1415" s="30"/>
    </row>
    <row r="1416" spans="1:19" ht="13" x14ac:dyDescent="0.3">
      <c r="A1416" s="52" t="s">
        <v>1432</v>
      </c>
      <c r="B1416" s="6">
        <v>271</v>
      </c>
      <c r="C1416" s="1">
        <v>9.64</v>
      </c>
      <c r="D1416" s="6">
        <v>23.416699999999999</v>
      </c>
      <c r="E1416" s="6">
        <v>120.3</v>
      </c>
      <c r="F1416" s="1">
        <f t="shared" si="110"/>
        <v>1988.8749999998929</v>
      </c>
      <c r="G1416" s="17">
        <v>8.9600000000000009</v>
      </c>
      <c r="H1416" s="1">
        <f>B1416*$E$1867/E1416</f>
        <v>754.9371799667498</v>
      </c>
      <c r="I1416" s="1">
        <f>C1416*$E$1867/E1416</f>
        <v>26.854591936824605</v>
      </c>
      <c r="J1416" s="26">
        <f t="shared" si="111"/>
        <v>242718.9195560083</v>
      </c>
      <c r="K1416" s="1">
        <f>D1416*$E$1867/E1416</f>
        <v>65.232979565045724</v>
      </c>
      <c r="L1416" s="26">
        <f t="shared" si="109"/>
        <v>20972.97462570915</v>
      </c>
      <c r="M1416" s="10">
        <f t="shared" si="107"/>
        <v>14.445530680872885</v>
      </c>
      <c r="N1416" s="4">
        <f t="shared" si="108"/>
        <v>17.692871543397207</v>
      </c>
      <c r="O1416" s="36">
        <f>1/M1416-(G1416/100-(((E1416/E1296)^(1/10))-1))</f>
        <v>3.9271002237617883E-2</v>
      </c>
      <c r="P1416" s="48">
        <v>7.76</v>
      </c>
      <c r="R1416" s="30"/>
      <c r="S1416" s="30"/>
    </row>
    <row r="1417" spans="1:19" ht="13" x14ac:dyDescent="0.3">
      <c r="A1417" s="52" t="s">
        <v>1433</v>
      </c>
      <c r="B1417" s="6">
        <v>276.5</v>
      </c>
      <c r="C1417" s="1">
        <v>9.75</v>
      </c>
      <c r="D1417" s="6">
        <v>23.75</v>
      </c>
      <c r="E1417" s="6">
        <v>120.5</v>
      </c>
      <c r="F1417" s="1">
        <f t="shared" si="110"/>
        <v>1988.9583333332262</v>
      </c>
      <c r="G1417" s="17">
        <v>9.11</v>
      </c>
      <c r="H1417" s="1">
        <f>B1417*$E$1867/E1417</f>
        <v>768.98034543568463</v>
      </c>
      <c r="I1417" s="1">
        <f>C1417*$E$1867/E1417</f>
        <v>27.115943464730289</v>
      </c>
      <c r="J1417" s="26">
        <f t="shared" si="111"/>
        <v>247960.42144933867</v>
      </c>
      <c r="K1417" s="1">
        <f>D1417*$E$1867/E1417</f>
        <v>66.051657157676345</v>
      </c>
      <c r="L1417" s="26">
        <f t="shared" si="109"/>
        <v>21298.589545829269</v>
      </c>
      <c r="M1417" s="10">
        <f t="shared" si="107"/>
        <v>14.702086748571993</v>
      </c>
      <c r="N1417" s="4">
        <f t="shared" si="108"/>
        <v>17.981586492014166</v>
      </c>
      <c r="O1417" s="36">
        <f>1/M1417-(G1417/100-(((E1417/E1297)^(1/10))-1))</f>
        <v>3.6268450358792864E-2</v>
      </c>
      <c r="P1417" s="48">
        <v>8.07</v>
      </c>
      <c r="R1417" s="30"/>
      <c r="S1417" s="30"/>
    </row>
    <row r="1418" spans="1:19" ht="13" x14ac:dyDescent="0.3">
      <c r="A1418" s="52" t="s">
        <v>1434</v>
      </c>
      <c r="B1418" s="6">
        <v>285.39999999999998</v>
      </c>
      <c r="C1418" s="1">
        <v>9.8133300000000006</v>
      </c>
      <c r="D1418" s="6">
        <v>24.16</v>
      </c>
      <c r="E1418" s="6">
        <v>121.1</v>
      </c>
      <c r="F1418" s="1">
        <f t="shared" si="110"/>
        <v>1989.0416666665594</v>
      </c>
      <c r="G1418" s="17">
        <v>9.09</v>
      </c>
      <c r="H1418" s="1">
        <f>B1418*$E$1867/E1418</f>
        <v>789.79972213047063</v>
      </c>
      <c r="I1418" s="1">
        <f>C1418*$E$1867/E1418</f>
        <v>27.156851111333609</v>
      </c>
      <c r="J1418" s="26">
        <f t="shared" si="111"/>
        <v>255403.4380024806</v>
      </c>
      <c r="K1418" s="1">
        <f>D1418*$E$1867/E1418</f>
        <v>66.859009413707682</v>
      </c>
      <c r="L1418" s="26">
        <f t="shared" si="109"/>
        <v>21620.697484722958</v>
      </c>
      <c r="M1418" s="10">
        <f t="shared" si="107"/>
        <v>15.088072442713282</v>
      </c>
      <c r="N1418" s="4">
        <f t="shared" si="108"/>
        <v>18.425435496743216</v>
      </c>
      <c r="O1418" s="36">
        <f>1/M1418-(G1418/100-(((E1418/E1298)^(1/10))-1))</f>
        <v>3.4319933499708799E-2</v>
      </c>
      <c r="P1418" s="48">
        <v>8.27</v>
      </c>
      <c r="R1418" s="30"/>
      <c r="S1418" s="30"/>
    </row>
    <row r="1419" spans="1:19" ht="13" x14ac:dyDescent="0.3">
      <c r="A1419" s="52" t="s">
        <v>1435</v>
      </c>
      <c r="B1419" s="6">
        <v>294</v>
      </c>
      <c r="C1419" s="1">
        <v>9.8966700000000003</v>
      </c>
      <c r="D1419" s="6">
        <v>24.56</v>
      </c>
      <c r="E1419" s="6">
        <v>121.6</v>
      </c>
      <c r="F1419" s="1">
        <f t="shared" si="110"/>
        <v>1989.1249999998927</v>
      </c>
      <c r="G1419" s="17">
        <v>9.17</v>
      </c>
      <c r="H1419" s="1">
        <f>B1419*$E$1867/E1419</f>
        <v>810.25348273026316</v>
      </c>
      <c r="I1419" s="1">
        <f>C1419*$E$1867/E1419</f>
        <v>27.274868486163651</v>
      </c>
      <c r="J1419" s="26">
        <f t="shared" si="111"/>
        <v>262752.72991344571</v>
      </c>
      <c r="K1419" s="1">
        <f>D1419*$E$1867/E1419</f>
        <v>67.68648141447369</v>
      </c>
      <c r="L1419" s="26">
        <f t="shared" si="109"/>
        <v>21949.683832225262</v>
      </c>
      <c r="M1419" s="10">
        <f t="shared" si="107"/>
        <v>15.467060462734747</v>
      </c>
      <c r="N1419" s="4">
        <f t="shared" si="108"/>
        <v>18.857435717731345</v>
      </c>
      <c r="O1419" s="36">
        <f>1/M1419-(G1419/100-(((E1419/E1299)^(1/10))-1))</f>
        <v>3.1099424417409954E-2</v>
      </c>
      <c r="P1419" s="48">
        <v>8.5299999999999994</v>
      </c>
      <c r="R1419" s="30"/>
      <c r="S1419" s="30"/>
    </row>
    <row r="1420" spans="1:19" ht="13" x14ac:dyDescent="0.3">
      <c r="A1420" s="52" t="s">
        <v>1436</v>
      </c>
      <c r="B1420" s="6">
        <v>292.7</v>
      </c>
      <c r="C1420" s="1">
        <v>10.01</v>
      </c>
      <c r="D1420" s="6">
        <v>24.96</v>
      </c>
      <c r="E1420" s="6">
        <v>122.3</v>
      </c>
      <c r="F1420" s="1">
        <f t="shared" si="110"/>
        <v>1989.2083333332259</v>
      </c>
      <c r="G1420" s="17">
        <v>9.36</v>
      </c>
      <c r="H1420" s="1">
        <f>B1420*$E$1867/E1420</f>
        <v>802.05364411283722</v>
      </c>
      <c r="I1420" s="1">
        <f>C1420*$E$1867/E1420</f>
        <v>27.429302964022892</v>
      </c>
      <c r="J1420" s="26">
        <f t="shared" si="111"/>
        <v>260834.8902144125</v>
      </c>
      <c r="K1420" s="1">
        <f>D1420*$E$1867/E1420</f>
        <v>68.395145053147999</v>
      </c>
      <c r="L1420" s="26">
        <f t="shared" si="109"/>
        <v>22242.701946538218</v>
      </c>
      <c r="M1420" s="10">
        <f t="shared" si="107"/>
        <v>15.298969108882355</v>
      </c>
      <c r="N1420" s="4">
        <f t="shared" si="108"/>
        <v>18.622276927610891</v>
      </c>
      <c r="O1420" s="36">
        <f>1/M1420-(G1420/100-(((E1420/E1300)^(1/10))-1))</f>
        <v>2.9450727706516813E-2</v>
      </c>
      <c r="P1420" s="48">
        <v>8.82</v>
      </c>
      <c r="R1420" s="30"/>
      <c r="S1420" s="30"/>
    </row>
    <row r="1421" spans="1:19" ht="13" x14ac:dyDescent="0.3">
      <c r="A1421" s="52" t="s">
        <v>1437</v>
      </c>
      <c r="B1421" s="6">
        <v>302.3</v>
      </c>
      <c r="C1421" s="1">
        <v>10.0867</v>
      </c>
      <c r="D1421" s="6">
        <v>25.046700000000001</v>
      </c>
      <c r="E1421" s="6">
        <v>123.1</v>
      </c>
      <c r="F1421" s="1">
        <f t="shared" si="110"/>
        <v>1989.2916666665592</v>
      </c>
      <c r="G1421" s="17">
        <v>9.18</v>
      </c>
      <c r="H1421" s="1">
        <f>B1421*$E$1867/E1421</f>
        <v>822.97614195775793</v>
      </c>
      <c r="I1421" s="1">
        <f>C1421*$E$1867/E1421</f>
        <v>27.45985263342811</v>
      </c>
      <c r="J1421" s="26">
        <f t="shared" si="111"/>
        <v>268383.25240116683</v>
      </c>
      <c r="K1421" s="1">
        <f>D1421*$E$1867/E1421</f>
        <v>68.186690488830223</v>
      </c>
      <c r="L1421" s="26">
        <f t="shared" si="109"/>
        <v>22236.568997407558</v>
      </c>
      <c r="M1421" s="10">
        <f t="shared" si="107"/>
        <v>15.686742656144579</v>
      </c>
      <c r="N1421" s="4">
        <f t="shared" si="108"/>
        <v>19.06141795976551</v>
      </c>
      <c r="O1421" s="36">
        <f>1/M1421-(G1421/100-(((E1421/E1301)^(1/10))-1))</f>
        <v>2.9119326302348064E-2</v>
      </c>
      <c r="P1421" s="48">
        <v>8.65</v>
      </c>
      <c r="R1421" s="30"/>
      <c r="S1421" s="30"/>
    </row>
    <row r="1422" spans="1:19" ht="13" x14ac:dyDescent="0.3">
      <c r="A1422" s="52" t="s">
        <v>1438</v>
      </c>
      <c r="B1422" s="6">
        <v>313.89999999999998</v>
      </c>
      <c r="C1422" s="1">
        <v>10.193300000000001</v>
      </c>
      <c r="D1422" s="6">
        <v>25.133299999999998</v>
      </c>
      <c r="E1422" s="6">
        <v>123.8</v>
      </c>
      <c r="F1422" s="1">
        <f t="shared" si="110"/>
        <v>1989.3749999998925</v>
      </c>
      <c r="G1422" s="17">
        <v>8.86</v>
      </c>
      <c r="H1422" s="1">
        <f>B1422*$E$1867/E1422</f>
        <v>849.72387701938601</v>
      </c>
      <c r="I1422" s="1">
        <f>C1422*$E$1867/E1422</f>
        <v>27.593151945274638</v>
      </c>
      <c r="J1422" s="26">
        <f t="shared" si="111"/>
        <v>277855.91151566076</v>
      </c>
      <c r="K1422" s="1">
        <f>D1422*$E$1867/E1422</f>
        <v>68.035569029281092</v>
      </c>
      <c r="L1422" s="26">
        <f t="shared" si="109"/>
        <v>22247.327113400945</v>
      </c>
      <c r="M1422" s="10">
        <f t="shared" si="107"/>
        <v>16.186353538544548</v>
      </c>
      <c r="N1422" s="4">
        <f t="shared" si="108"/>
        <v>19.633569215559806</v>
      </c>
      <c r="O1422" s="36">
        <f>1/M1422-(G1422/100-(((E1422/E1302)^(1/10))-1))</f>
        <v>2.9612224452634367E-2</v>
      </c>
      <c r="P1422" s="48">
        <v>8.43</v>
      </c>
      <c r="R1422" s="30"/>
      <c r="S1422" s="30"/>
    </row>
    <row r="1423" spans="1:19" ht="13" x14ac:dyDescent="0.3">
      <c r="A1423" s="52" t="s">
        <v>1439</v>
      </c>
      <c r="B1423" s="6">
        <v>323.7</v>
      </c>
      <c r="C1423" s="1">
        <v>10.37</v>
      </c>
      <c r="D1423" s="6">
        <v>25.22</v>
      </c>
      <c r="E1423" s="6">
        <v>124.1</v>
      </c>
      <c r="F1423" s="1">
        <f t="shared" si="110"/>
        <v>1989.4583333332257</v>
      </c>
      <c r="G1423" s="17">
        <v>8.2799999999999994</v>
      </c>
      <c r="H1423" s="1">
        <f>B1423*$E$1867/E1423</f>
        <v>874.13411301369865</v>
      </c>
      <c r="I1423" s="1">
        <f>C1423*$E$1867/E1423</f>
        <v>28.003616780821918</v>
      </c>
      <c r="J1423" s="26">
        <f t="shared" si="111"/>
        <v>286601.03776079923</v>
      </c>
      <c r="K1423" s="1">
        <f>D1423*$E$1867/E1423</f>
        <v>68.105228082191786</v>
      </c>
      <c r="L1423" s="26">
        <f t="shared" si="109"/>
        <v>22329.558765299218</v>
      </c>
      <c r="M1423" s="10">
        <f t="shared" si="107"/>
        <v>16.641904235808582</v>
      </c>
      <c r="N1423" s="4">
        <f t="shared" si="108"/>
        <v>20.149986195019586</v>
      </c>
      <c r="O1423" s="36">
        <f>1/M1423-(G1423/100-(((E1423/E1303)^(1/10))-1))</f>
        <v>3.2801698589948164E-2</v>
      </c>
      <c r="P1423" s="48">
        <v>8.15</v>
      </c>
      <c r="R1423" s="30"/>
      <c r="S1423" s="30"/>
    </row>
    <row r="1424" spans="1:19" ht="13" x14ac:dyDescent="0.3">
      <c r="A1424" s="52" t="s">
        <v>1440</v>
      </c>
      <c r="B1424" s="6">
        <v>331.9</v>
      </c>
      <c r="C1424" s="1">
        <v>10.423299999999999</v>
      </c>
      <c r="D1424" s="6">
        <v>24.71</v>
      </c>
      <c r="E1424" s="6">
        <v>124.4</v>
      </c>
      <c r="F1424" s="1">
        <f t="shared" si="110"/>
        <v>1989.541666666559</v>
      </c>
      <c r="G1424" s="17">
        <v>8.02</v>
      </c>
      <c r="H1424" s="1">
        <f>B1424*$E$1867/E1424</f>
        <v>894.11632214630208</v>
      </c>
      <c r="I1424" s="1">
        <f>C1424*$E$1867/E1424</f>
        <v>28.079670565313503</v>
      </c>
      <c r="J1424" s="26">
        <f t="shared" si="111"/>
        <v>293919.77791662537</v>
      </c>
      <c r="K1424" s="1">
        <f>D1424*$E$1867/E1424</f>
        <v>66.567081410771706</v>
      </c>
      <c r="L1424" s="26">
        <f t="shared" si="109"/>
        <v>21882.367316420052</v>
      </c>
      <c r="M1424" s="10">
        <f t="shared" si="107"/>
        <v>17.013407650499126</v>
      </c>
      <c r="N1424" s="4">
        <f t="shared" si="108"/>
        <v>20.562062434197973</v>
      </c>
      <c r="O1424" s="36">
        <f>1/M1424-(G1424/100-(((E1424/E1304)^(1/10))-1))</f>
        <v>3.3183324471873235E-2</v>
      </c>
      <c r="P1424" s="48">
        <v>7.88</v>
      </c>
      <c r="R1424" s="30"/>
      <c r="S1424" s="30"/>
    </row>
    <row r="1425" spans="1:19" ht="13" x14ac:dyDescent="0.3">
      <c r="A1425" s="52" t="s">
        <v>1441</v>
      </c>
      <c r="B1425" s="6">
        <v>346.6</v>
      </c>
      <c r="C1425" s="1">
        <v>10.5467</v>
      </c>
      <c r="D1425" s="6">
        <v>24.2</v>
      </c>
      <c r="E1425" s="6">
        <v>124.6</v>
      </c>
      <c r="F1425" s="1">
        <f t="shared" si="110"/>
        <v>1989.6249999998922</v>
      </c>
      <c r="G1425" s="17">
        <v>8.11</v>
      </c>
      <c r="H1425" s="1">
        <f>B1425*$E$1867/E1425</f>
        <v>932.21839205457479</v>
      </c>
      <c r="I1425" s="1">
        <f>C1425*$E$1867/E1425</f>
        <v>28.366496582463881</v>
      </c>
      <c r="J1425" s="26">
        <f t="shared" si="111"/>
        <v>307222.00846797967</v>
      </c>
      <c r="K1425" s="1">
        <f>D1425*$E$1867/E1425</f>
        <v>65.088531701444623</v>
      </c>
      <c r="L1425" s="26">
        <f t="shared" si="109"/>
        <v>21450.584549697367</v>
      </c>
      <c r="M1425" s="10">
        <f t="shared" si="107"/>
        <v>17.734251436577324</v>
      </c>
      <c r="N1425" s="4">
        <f t="shared" si="108"/>
        <v>21.393656539479537</v>
      </c>
      <c r="O1425" s="36">
        <f>1/M1425-(G1425/100-(((E1425/E1305)^(1/10))-1))</f>
        <v>2.9058877372121802E-2</v>
      </c>
      <c r="P1425" s="48">
        <v>7.9</v>
      </c>
      <c r="R1425" s="30"/>
      <c r="S1425" s="30"/>
    </row>
    <row r="1426" spans="1:19" ht="13" x14ac:dyDescent="0.3">
      <c r="A1426" s="52" t="s">
        <v>1442</v>
      </c>
      <c r="B1426" s="6">
        <v>347.3</v>
      </c>
      <c r="C1426" s="1">
        <v>10.73</v>
      </c>
      <c r="D1426" s="6">
        <v>23.69</v>
      </c>
      <c r="E1426" s="6">
        <v>125</v>
      </c>
      <c r="F1426" s="1">
        <f t="shared" si="110"/>
        <v>1989.7083333332255</v>
      </c>
      <c r="G1426" s="17">
        <v>8.19</v>
      </c>
      <c r="H1426" s="1">
        <f>B1426*$E$1867/E1426</f>
        <v>931.1119946</v>
      </c>
      <c r="I1426" s="1">
        <f>C1426*$E$1867/E1426</f>
        <v>28.767151460000001</v>
      </c>
      <c r="J1426" s="26">
        <f t="shared" si="111"/>
        <v>307647.4261519424</v>
      </c>
      <c r="K1426" s="1">
        <f>D1426*$E$1867/E1426</f>
        <v>63.512937380000004</v>
      </c>
      <c r="L1426" s="26">
        <f t="shared" si="109"/>
        <v>20985.221783874218</v>
      </c>
      <c r="M1426" s="10">
        <f t="shared" si="107"/>
        <v>17.714220678979082</v>
      </c>
      <c r="N1426" s="4">
        <f t="shared" si="108"/>
        <v>21.332067137506492</v>
      </c>
      <c r="O1426" s="36">
        <f>1/M1426-(G1426/100-(((E1426/E1306)^(1/10))-1))</f>
        <v>2.7524537130818809E-2</v>
      </c>
      <c r="P1426" s="48">
        <v>7.75</v>
      </c>
      <c r="R1426" s="30"/>
      <c r="S1426" s="30"/>
    </row>
    <row r="1427" spans="1:19" ht="13" x14ac:dyDescent="0.3">
      <c r="A1427" s="52" t="s">
        <v>1443</v>
      </c>
      <c r="B1427" s="6">
        <v>347.4</v>
      </c>
      <c r="C1427" s="1">
        <v>10.7967</v>
      </c>
      <c r="D1427" s="6">
        <v>23.4267</v>
      </c>
      <c r="E1427" s="6">
        <v>125.6</v>
      </c>
      <c r="F1427" s="1">
        <f t="shared" si="110"/>
        <v>1989.7916666665587</v>
      </c>
      <c r="G1427" s="17">
        <v>8.01</v>
      </c>
      <c r="H1427" s="1">
        <f>B1427*$E$1867/E1427</f>
        <v>926.9308268312102</v>
      </c>
      <c r="I1427" s="1">
        <f>C1427*$E$1867/E1427</f>
        <v>28.807697346138536</v>
      </c>
      <c r="J1427" s="26">
        <f t="shared" si="111"/>
        <v>307059.12491242535</v>
      </c>
      <c r="K1427" s="1">
        <f>D1427*$E$1867/E1427</f>
        <v>62.506995972730891</v>
      </c>
      <c r="L1427" s="26">
        <f t="shared" si="109"/>
        <v>20706.338519245583</v>
      </c>
      <c r="M1427" s="10">
        <f t="shared" si="107"/>
        <v>17.640853852797949</v>
      </c>
      <c r="N1427" s="4">
        <f t="shared" si="108"/>
        <v>21.20812869743861</v>
      </c>
      <c r="O1427" s="36">
        <f>1/M1427-(G1427/100-(((E1427/E1307)^(1/10))-1))</f>
        <v>2.9220080548534887E-2</v>
      </c>
      <c r="P1427" s="48">
        <v>7.64</v>
      </c>
      <c r="R1427" s="30"/>
      <c r="S1427" s="30"/>
    </row>
    <row r="1428" spans="1:19" ht="13" x14ac:dyDescent="0.3">
      <c r="A1428" s="52" t="s">
        <v>1444</v>
      </c>
      <c r="B1428" s="6">
        <v>340.2</v>
      </c>
      <c r="C1428" s="1">
        <v>10.923299999999999</v>
      </c>
      <c r="D1428" s="6">
        <v>23.1633</v>
      </c>
      <c r="E1428" s="6">
        <v>125.9</v>
      </c>
      <c r="F1428" s="1">
        <f t="shared" si="110"/>
        <v>1989.874999999892</v>
      </c>
      <c r="G1428" s="17">
        <v>7.87</v>
      </c>
      <c r="H1428" s="1">
        <f>B1428*$E$1867/E1428</f>
        <v>905.55687092930884</v>
      </c>
      <c r="I1428" s="1">
        <f>C1428*$E$1867/E1428</f>
        <v>29.076041646743445</v>
      </c>
      <c r="J1428" s="26">
        <f t="shared" si="111"/>
        <v>300781.35023778537</v>
      </c>
      <c r="K1428" s="1">
        <f>D1428*$E$1867/E1428</f>
        <v>61.656923775416999</v>
      </c>
      <c r="L1428" s="26">
        <f t="shared" si="109"/>
        <v>20479.390505475883</v>
      </c>
      <c r="M1428" s="10">
        <f t="shared" si="107"/>
        <v>17.242369266947424</v>
      </c>
      <c r="N1428" s="4">
        <f t="shared" si="108"/>
        <v>20.697305291068069</v>
      </c>
      <c r="O1428" s="36">
        <f>1/M1428-(G1428/100-(((E1428/E1308)^(1/10))-1))</f>
        <v>3.1206213805868237E-2</v>
      </c>
      <c r="P1428" s="48">
        <v>7.69</v>
      </c>
      <c r="R1428" s="30"/>
      <c r="S1428" s="30"/>
    </row>
    <row r="1429" spans="1:19" ht="13" x14ac:dyDescent="0.3">
      <c r="A1429" s="52" t="s">
        <v>1445</v>
      </c>
      <c r="B1429" s="6">
        <v>348.6</v>
      </c>
      <c r="C1429" s="1">
        <v>11.06</v>
      </c>
      <c r="D1429" s="6">
        <v>22.87</v>
      </c>
      <c r="E1429" s="6">
        <v>126.1</v>
      </c>
      <c r="F1429" s="1">
        <f t="shared" si="110"/>
        <v>1989.9583333332253</v>
      </c>
      <c r="G1429" s="17">
        <v>7.84</v>
      </c>
      <c r="H1429" s="1">
        <f>B1429*$E$1867/E1429</f>
        <v>926.44458485329108</v>
      </c>
      <c r="I1429" s="1">
        <f>C1429*$E$1867/E1429</f>
        <v>29.393221768437751</v>
      </c>
      <c r="J1429" s="26">
        <f t="shared" si="111"/>
        <v>308532.80068084621</v>
      </c>
      <c r="K1429" s="1">
        <f>D1429*$E$1867/E1429</f>
        <v>60.779654777954008</v>
      </c>
      <c r="L1429" s="26">
        <f t="shared" si="109"/>
        <v>20241.380239733084</v>
      </c>
      <c r="M1429" s="10">
        <f t="shared" si="107"/>
        <v>17.650212904947324</v>
      </c>
      <c r="N1429" s="4">
        <f t="shared" si="108"/>
        <v>21.154881971751593</v>
      </c>
      <c r="O1429" s="36">
        <f>1/M1429-(G1429/100-(((E1429/E1309)^(1/10))-1))</f>
        <v>2.9230540597029113E-2</v>
      </c>
      <c r="P1429" s="48">
        <v>7.63</v>
      </c>
      <c r="R1429" s="30"/>
      <c r="S1429" s="30"/>
    </row>
    <row r="1430" spans="1:19" ht="13" x14ac:dyDescent="0.3">
      <c r="A1430" s="52" t="s">
        <v>1446</v>
      </c>
      <c r="B1430" s="6">
        <v>339.97</v>
      </c>
      <c r="C1430" s="1">
        <v>11.14</v>
      </c>
      <c r="D1430" s="6">
        <v>22.49</v>
      </c>
      <c r="E1430" s="6">
        <v>127.4</v>
      </c>
      <c r="F1430" s="1">
        <f t="shared" si="110"/>
        <v>1990.0416666665585</v>
      </c>
      <c r="G1430" s="17">
        <v>8.2100000000000009</v>
      </c>
      <c r="H1430" s="1">
        <f>B1430*$E$1867/E1430</f>
        <v>894.28988416405025</v>
      </c>
      <c r="I1430" s="1">
        <f>C1430*$E$1867/E1430</f>
        <v>29.303730651491367</v>
      </c>
      <c r="J1430" s="26">
        <f t="shared" si="111"/>
        <v>298637.60583102971</v>
      </c>
      <c r="K1430" s="1">
        <f>D1430*$E$1867/E1430</f>
        <v>59.159865561224478</v>
      </c>
      <c r="L1430" s="26">
        <f t="shared" si="109"/>
        <v>19755.742433567248</v>
      </c>
      <c r="M1430" s="10">
        <f t="shared" si="107"/>
        <v>17.048843606878268</v>
      </c>
      <c r="N1430" s="4">
        <f t="shared" si="108"/>
        <v>20.406154475024746</v>
      </c>
      <c r="O1430" s="36">
        <f>1/M1430-(G1430/100-(((E1430/E1310)^(1/10))-1))</f>
        <v>2.7110461834883491E-2</v>
      </c>
      <c r="P1430" s="48">
        <v>7.64</v>
      </c>
      <c r="R1430" s="30"/>
      <c r="S1430" s="30"/>
    </row>
    <row r="1431" spans="1:19" ht="13" x14ac:dyDescent="0.3">
      <c r="A1431" s="52" t="s">
        <v>1447</v>
      </c>
      <c r="B1431" s="6">
        <v>330.45</v>
      </c>
      <c r="C1431" s="1">
        <v>11.23</v>
      </c>
      <c r="D1431" s="6">
        <v>22.08</v>
      </c>
      <c r="E1431" s="6">
        <v>128</v>
      </c>
      <c r="F1431" s="1">
        <f t="shared" si="110"/>
        <v>1990.1249999998918</v>
      </c>
      <c r="G1431" s="17">
        <v>8.4700000000000006</v>
      </c>
      <c r="H1431" s="1">
        <f>B1431*$E$1867/E1431</f>
        <v>865.17295986328122</v>
      </c>
      <c r="I1431" s="1">
        <f>C1431*$E$1867/E1431</f>
        <v>29.402004355468751</v>
      </c>
      <c r="J1431" s="26">
        <f t="shared" si="111"/>
        <v>289732.55536836392</v>
      </c>
      <c r="K1431" s="1">
        <f>D1431*$E$1867/E1431</f>
        <v>57.809105624999994</v>
      </c>
      <c r="L1431" s="26">
        <f t="shared" si="109"/>
        <v>19359.342782670527</v>
      </c>
      <c r="M1431" s="10">
        <f t="shared" si="107"/>
        <v>16.508093516490288</v>
      </c>
      <c r="N1431" s="4">
        <f t="shared" si="108"/>
        <v>19.735353262096385</v>
      </c>
      <c r="O1431" s="36">
        <f>1/M1431-(G1431/100-(((E1431/E1311)^(1/10))-1))</f>
        <v>2.5450909551060011E-2</v>
      </c>
      <c r="P1431" s="48">
        <v>7.74</v>
      </c>
      <c r="R1431" s="30"/>
      <c r="S1431" s="30"/>
    </row>
    <row r="1432" spans="1:19" ht="13" x14ac:dyDescent="0.3">
      <c r="A1432" s="52" t="s">
        <v>1448</v>
      </c>
      <c r="B1432" s="6">
        <v>338.46</v>
      </c>
      <c r="C1432" s="1">
        <v>11.32</v>
      </c>
      <c r="D1432" s="6">
        <v>21.67</v>
      </c>
      <c r="E1432" s="6">
        <v>128.69999999999999</v>
      </c>
      <c r="F1432" s="1">
        <f t="shared" si="110"/>
        <v>1990.208333333225</v>
      </c>
      <c r="G1432" s="17">
        <v>8.59</v>
      </c>
      <c r="H1432" s="1">
        <f>B1432*$E$1867/E1432</f>
        <v>881.32472505827502</v>
      </c>
      <c r="I1432" s="1">
        <f>C1432*$E$1867/E1432</f>
        <v>29.476440015540017</v>
      </c>
      <c r="J1432" s="26">
        <f t="shared" si="111"/>
        <v>295964.12155359547</v>
      </c>
      <c r="K1432" s="1">
        <f>D1432*$E$1867/E1432</f>
        <v>56.427072008547015</v>
      </c>
      <c r="L1432" s="26">
        <f t="shared" si="109"/>
        <v>18949.189015146294</v>
      </c>
      <c r="M1432" s="10">
        <f t="shared" si="107"/>
        <v>16.833748233480947</v>
      </c>
      <c r="N1432" s="4">
        <f t="shared" si="108"/>
        <v>20.101015892206522</v>
      </c>
      <c r="O1432" s="36">
        <f>1/M1432-(G1432/100-(((E1432/E1312)^(1/10))-1))</f>
        <v>2.2067655369177076E-2</v>
      </c>
      <c r="P1432" s="48">
        <v>7.9</v>
      </c>
      <c r="R1432" s="30"/>
      <c r="S1432" s="30"/>
    </row>
    <row r="1433" spans="1:19" ht="13" x14ac:dyDescent="0.3">
      <c r="A1433" s="52" t="s">
        <v>1449</v>
      </c>
      <c r="B1433" s="6">
        <v>338.18</v>
      </c>
      <c r="C1433" s="1">
        <v>11.4367</v>
      </c>
      <c r="D1433" s="6">
        <v>21.533300000000001</v>
      </c>
      <c r="E1433" s="6">
        <v>128.9</v>
      </c>
      <c r="F1433" s="1">
        <f t="shared" si="110"/>
        <v>1990.2916666665583</v>
      </c>
      <c r="G1433" s="17">
        <v>8.7899999999999991</v>
      </c>
      <c r="H1433" s="1">
        <f>B1433*$E$1867/E1433</f>
        <v>879.2293021334367</v>
      </c>
      <c r="I1433" s="1">
        <f>C1433*$E$1867/E1433</f>
        <v>29.734111300814583</v>
      </c>
      <c r="J1433" s="26">
        <f t="shared" si="111"/>
        <v>296092.54471306491</v>
      </c>
      <c r="K1433" s="1">
        <f>D1433*$E$1867/E1433</f>
        <v>55.984115948991459</v>
      </c>
      <c r="L1433" s="26">
        <f t="shared" si="109"/>
        <v>18853.42005165841</v>
      </c>
      <c r="M1433" s="10">
        <f t="shared" si="107"/>
        <v>16.813913898735766</v>
      </c>
      <c r="N1433" s="4">
        <f t="shared" si="108"/>
        <v>20.055719260909878</v>
      </c>
      <c r="O1433" s="36">
        <f>1/M1433-(G1433/100-(((E1433/E1313)^(1/10))-1))</f>
        <v>1.9129445488778159E-2</v>
      </c>
      <c r="P1433" s="48">
        <v>7.77</v>
      </c>
      <c r="R1433" s="30"/>
      <c r="S1433" s="30"/>
    </row>
    <row r="1434" spans="1:19" ht="13" x14ac:dyDescent="0.3">
      <c r="A1434" s="52" t="s">
        <v>1450</v>
      </c>
      <c r="B1434" s="6">
        <v>350.25</v>
      </c>
      <c r="C1434" s="1">
        <v>11.5533</v>
      </c>
      <c r="D1434" s="6">
        <v>21.396699999999999</v>
      </c>
      <c r="E1434" s="6">
        <v>129.19999999999999</v>
      </c>
      <c r="F1434" s="1">
        <f t="shared" si="110"/>
        <v>1990.3749999998915</v>
      </c>
      <c r="G1434" s="17">
        <v>8.76</v>
      </c>
      <c r="H1434" s="1">
        <f>B1434*$E$1867/E1434</f>
        <v>908.49550164473692</v>
      </c>
      <c r="I1434" s="1">
        <f>C1434*$E$1867/E1434</f>
        <v>29.967512003289475</v>
      </c>
      <c r="J1434" s="26">
        <f t="shared" si="111"/>
        <v>306789.33701196575</v>
      </c>
      <c r="K1434" s="1">
        <f>D1434*$E$1867/E1434</f>
        <v>55.499802141447368</v>
      </c>
      <c r="L1434" s="26">
        <f t="shared" si="109"/>
        <v>18741.697094201078</v>
      </c>
      <c r="M1434" s="10">
        <f t="shared" si="107"/>
        <v>17.392413588645006</v>
      </c>
      <c r="N1434" s="4">
        <f t="shared" si="108"/>
        <v>20.723389021046003</v>
      </c>
      <c r="O1434" s="36">
        <f>1/M1434-(G1434/100-(((E1434/E1314)^(1/10))-1))</f>
        <v>1.6665497777807625E-2</v>
      </c>
      <c r="P1434" s="48">
        <v>7.74</v>
      </c>
      <c r="R1434" s="30"/>
      <c r="S1434" s="30"/>
    </row>
    <row r="1435" spans="1:19" ht="13" x14ac:dyDescent="0.3">
      <c r="A1435" s="52" t="s">
        <v>1451</v>
      </c>
      <c r="B1435" s="6">
        <v>360.39</v>
      </c>
      <c r="C1435" s="1">
        <v>11.66</v>
      </c>
      <c r="D1435" s="6">
        <v>21.26</v>
      </c>
      <c r="E1435" s="6">
        <v>129.9</v>
      </c>
      <c r="F1435" s="1">
        <f t="shared" si="110"/>
        <v>1990.4583333332248</v>
      </c>
      <c r="G1435" s="17">
        <v>8.48</v>
      </c>
      <c r="H1435" s="1">
        <f>B1435*$E$1867/E1435</f>
        <v>929.75972938799066</v>
      </c>
      <c r="I1435" s="1">
        <f>C1435*$E$1867/E1435</f>
        <v>30.081296497305619</v>
      </c>
      <c r="J1435" s="26">
        <f t="shared" si="111"/>
        <v>314816.55351326999</v>
      </c>
      <c r="K1435" s="1">
        <f>D1435*$E$1867/E1435</f>
        <v>54.848058622016936</v>
      </c>
      <c r="L1435" s="26">
        <f t="shared" si="109"/>
        <v>18571.547289581067</v>
      </c>
      <c r="M1435" s="10">
        <f t="shared" si="107"/>
        <v>17.81708282165301</v>
      </c>
      <c r="N1435" s="4">
        <f t="shared" si="108"/>
        <v>21.206758327830457</v>
      </c>
      <c r="O1435" s="36">
        <f>1/M1435-(G1435/100-(((E1435/E1315)^(1/10))-1))</f>
        <v>1.7515428083203013E-2</v>
      </c>
      <c r="P1435" s="48">
        <v>7.73</v>
      </c>
      <c r="R1435" s="30"/>
      <c r="S1435" s="30"/>
    </row>
    <row r="1436" spans="1:19" ht="13" x14ac:dyDescent="0.3">
      <c r="A1436" s="52" t="s">
        <v>1452</v>
      </c>
      <c r="B1436" s="6">
        <v>360.03</v>
      </c>
      <c r="C1436" s="1">
        <v>11.726699999999999</v>
      </c>
      <c r="D1436" s="6">
        <v>21.42</v>
      </c>
      <c r="E1436" s="6">
        <v>130.4</v>
      </c>
      <c r="F1436" s="1">
        <f t="shared" si="110"/>
        <v>1990.5416666665581</v>
      </c>
      <c r="G1436" s="17">
        <v>8.4700000000000006</v>
      </c>
      <c r="H1436" s="1">
        <f>B1436*$E$1867/E1436</f>
        <v>925.26950734279126</v>
      </c>
      <c r="I1436" s="1">
        <f>C1436*$E$1867/E1436</f>
        <v>30.137371696127296</v>
      </c>
      <c r="J1436" s="26">
        <f t="shared" si="111"/>
        <v>314146.54069349333</v>
      </c>
      <c r="K1436" s="1">
        <f>D1436*$E$1867/E1436</f>
        <v>55.048948274539882</v>
      </c>
      <c r="L1436" s="26">
        <f t="shared" si="109"/>
        <v>18690.161657791377</v>
      </c>
      <c r="M1436" s="10">
        <f t="shared" si="107"/>
        <v>17.747171587070241</v>
      </c>
      <c r="N1436" s="4">
        <f t="shared" si="108"/>
        <v>21.102886533306997</v>
      </c>
      <c r="O1436" s="36">
        <f>1/M1436-(G1436/100-(((E1436/E1316)^(1/10))-1))</f>
        <v>1.8238518796174517E-2</v>
      </c>
      <c r="P1436" s="48">
        <v>7.62</v>
      </c>
      <c r="R1436" s="30"/>
      <c r="S1436" s="30"/>
    </row>
    <row r="1437" spans="1:19" ht="13" x14ac:dyDescent="0.3">
      <c r="A1437" s="52" t="s">
        <v>1453</v>
      </c>
      <c r="B1437" s="6">
        <v>330.75</v>
      </c>
      <c r="C1437" s="1">
        <v>11.783300000000001</v>
      </c>
      <c r="D1437" s="6">
        <v>21.58</v>
      </c>
      <c r="E1437" s="6">
        <v>131.6</v>
      </c>
      <c r="F1437" s="1">
        <f t="shared" si="110"/>
        <v>1990.6249999998913</v>
      </c>
      <c r="G1437" s="17">
        <v>8.75</v>
      </c>
      <c r="H1437" s="1">
        <f>B1437*$E$1867/E1437</f>
        <v>842.26957779255315</v>
      </c>
      <c r="I1437" s="1">
        <f>C1437*$E$1867/E1437</f>
        <v>30.006697251709731</v>
      </c>
      <c r="J1437" s="26">
        <f t="shared" si="111"/>
        <v>286815.47783337213</v>
      </c>
      <c r="K1437" s="1">
        <f>D1437*$E$1867/E1437</f>
        <v>54.954429293313069</v>
      </c>
      <c r="L1437" s="26">
        <f t="shared" si="109"/>
        <v>18713.463376097265</v>
      </c>
      <c r="M1437" s="10">
        <f t="shared" si="107"/>
        <v>16.16833475650898</v>
      </c>
      <c r="N1437" s="4">
        <f t="shared" si="108"/>
        <v>19.211937494842847</v>
      </c>
      <c r="O1437" s="36">
        <f>1/M1437-(G1437/100-(((E1437/E1317)^(1/10))-1))</f>
        <v>2.114296086816294E-2</v>
      </c>
      <c r="P1437" s="48">
        <v>7.45</v>
      </c>
      <c r="R1437" s="30"/>
      <c r="S1437" s="30"/>
    </row>
    <row r="1438" spans="1:19" ht="13" x14ac:dyDescent="0.3">
      <c r="A1438" s="52" t="s">
        <v>1454</v>
      </c>
      <c r="B1438" s="6">
        <v>315.41000000000003</v>
      </c>
      <c r="C1438" s="1">
        <v>11.83</v>
      </c>
      <c r="D1438" s="6">
        <v>21.74</v>
      </c>
      <c r="E1438" s="6">
        <v>132.69999999999999</v>
      </c>
      <c r="F1438" s="1">
        <f t="shared" si="110"/>
        <v>1990.7083333332246</v>
      </c>
      <c r="G1438" s="17">
        <v>8.89</v>
      </c>
      <c r="H1438" s="1">
        <f>B1438*$E$1867/E1438</f>
        <v>796.54751396006043</v>
      </c>
      <c r="I1438" s="1">
        <f>C1438*$E$1867/E1438</f>
        <v>29.875898323285607</v>
      </c>
      <c r="J1438" s="26">
        <f t="shared" si="111"/>
        <v>272093.67924520426</v>
      </c>
      <c r="K1438" s="1">
        <f>D1438*$E$1867/E1438</f>
        <v>54.902961077618691</v>
      </c>
      <c r="L1438" s="26">
        <f t="shared" si="109"/>
        <v>18754.372362292699</v>
      </c>
      <c r="M1438" s="10">
        <f t="shared" si="107"/>
        <v>15.30128544352263</v>
      </c>
      <c r="N1438" s="4">
        <f t="shared" si="108"/>
        <v>18.172367021965105</v>
      </c>
      <c r="O1438" s="36">
        <f>1/M1438-(G1438/100-(((E1438/E1318)^(1/10))-1))</f>
        <v>2.3243018638749571E-2</v>
      </c>
      <c r="P1438" s="48">
        <v>7.36</v>
      </c>
      <c r="R1438" s="30"/>
      <c r="S1438" s="30"/>
    </row>
    <row r="1439" spans="1:19" ht="13" x14ac:dyDescent="0.3">
      <c r="A1439" s="52" t="s">
        <v>1455</v>
      </c>
      <c r="B1439" s="6">
        <v>307.12</v>
      </c>
      <c r="C1439" s="1">
        <v>11.9267</v>
      </c>
      <c r="D1439" s="6">
        <v>21.6067</v>
      </c>
      <c r="E1439" s="6">
        <v>133.5</v>
      </c>
      <c r="F1439" s="1">
        <f t="shared" si="110"/>
        <v>1990.7916666665578</v>
      </c>
      <c r="G1439" s="17">
        <v>8.7200000000000006</v>
      </c>
      <c r="H1439" s="1">
        <f>B1439*$E$1867/E1439</f>
        <v>770.96379610486895</v>
      </c>
      <c r="I1439" s="1">
        <f>C1439*$E$1867/E1439</f>
        <v>29.939612877715355</v>
      </c>
      <c r="J1439" s="26">
        <f t="shared" si="111"/>
        <v>264206.76370285987</v>
      </c>
      <c r="K1439" s="1">
        <f>D1439*$E$1867/E1439</f>
        <v>54.239331379588016</v>
      </c>
      <c r="L1439" s="26">
        <f t="shared" si="109"/>
        <v>18587.640926343389</v>
      </c>
      <c r="M1439" s="10">
        <f t="shared" si="107"/>
        <v>14.818147965500808</v>
      </c>
      <c r="N1439" s="4">
        <f t="shared" si="108"/>
        <v>17.592164749355881</v>
      </c>
      <c r="O1439" s="36">
        <f>1/M1439-(G1439/100-(((E1439/E1319)^(1/10))-1))</f>
        <v>2.6710863834608717E-2</v>
      </c>
      <c r="P1439" s="48">
        <v>7.17</v>
      </c>
      <c r="R1439" s="30"/>
      <c r="S1439" s="30"/>
    </row>
    <row r="1440" spans="1:19" ht="13" x14ac:dyDescent="0.3">
      <c r="A1440" s="52" t="s">
        <v>1456</v>
      </c>
      <c r="B1440" s="6">
        <v>315.29000000000002</v>
      </c>
      <c r="C1440" s="1">
        <v>12.013299999999999</v>
      </c>
      <c r="D1440" s="6">
        <v>21.473299999999998</v>
      </c>
      <c r="E1440" s="6">
        <v>133.80000000000001</v>
      </c>
      <c r="F1440" s="1">
        <f t="shared" si="110"/>
        <v>1990.8749999998911</v>
      </c>
      <c r="G1440" s="17">
        <v>8.39</v>
      </c>
      <c r="H1440" s="1">
        <f>B1440*$E$1867/E1440</f>
        <v>789.69835629671138</v>
      </c>
      <c r="I1440" s="1">
        <f>C1440*$E$1867/E1440</f>
        <v>30.0893883843423</v>
      </c>
      <c r="J1440" s="26">
        <f t="shared" si="111"/>
        <v>271486.33057738771</v>
      </c>
      <c r="K1440" s="1">
        <f>D1440*$E$1867/E1440</f>
        <v>53.783595148168899</v>
      </c>
      <c r="L1440" s="26">
        <f t="shared" si="109"/>
        <v>18489.985164094705</v>
      </c>
      <c r="M1440" s="10">
        <f t="shared" si="107"/>
        <v>15.187607599503187</v>
      </c>
      <c r="N1440" s="4">
        <f t="shared" si="108"/>
        <v>18.02373975409844</v>
      </c>
      <c r="O1440" s="36">
        <f>1/M1440-(G1440/100-(((E1440/E1320)^(1/10))-1))</f>
        <v>2.7744027536762111E-2</v>
      </c>
      <c r="P1440" s="48">
        <v>7.06</v>
      </c>
      <c r="R1440" s="30"/>
      <c r="S1440" s="30"/>
    </row>
    <row r="1441" spans="1:19" ht="13" x14ac:dyDescent="0.3">
      <c r="A1441" s="52" t="s">
        <v>1457</v>
      </c>
      <c r="B1441" s="6">
        <v>328.75</v>
      </c>
      <c r="C1441" s="1">
        <v>12.09</v>
      </c>
      <c r="D1441" s="6">
        <v>21.34</v>
      </c>
      <c r="E1441" s="6">
        <v>133.80000000000001</v>
      </c>
      <c r="F1441" s="1">
        <f t="shared" si="110"/>
        <v>1990.9583333332243</v>
      </c>
      <c r="G1441" s="17">
        <v>8.08</v>
      </c>
      <c r="H1441" s="1">
        <f>B1441*$E$1867/E1441</f>
        <v>823.41125513826603</v>
      </c>
      <c r="I1441" s="1">
        <f>C1441*$E$1867/E1441</f>
        <v>30.281496804932729</v>
      </c>
      <c r="J1441" s="26">
        <f t="shared" si="111"/>
        <v>283943.84108399547</v>
      </c>
      <c r="K1441" s="1">
        <f>D1441*$E$1867/E1441</f>
        <v>53.449722234678617</v>
      </c>
      <c r="L1441" s="26">
        <f t="shared" si="109"/>
        <v>18431.518079794565</v>
      </c>
      <c r="M1441" s="10">
        <f t="shared" si="107"/>
        <v>15.846314974728767</v>
      </c>
      <c r="N1441" s="4">
        <f t="shared" si="108"/>
        <v>18.796495662019151</v>
      </c>
      <c r="O1441" s="36">
        <f>1/M1441-(G1441/100-(((E1441/E1321)^(1/10))-1))</f>
        <v>2.713350287088985E-2</v>
      </c>
      <c r="P1441" s="48">
        <v>6.74</v>
      </c>
      <c r="R1441" s="30"/>
      <c r="S1441" s="30"/>
    </row>
    <row r="1442" spans="1:19" ht="13" x14ac:dyDescent="0.3">
      <c r="A1442" s="52" t="s">
        <v>1458</v>
      </c>
      <c r="B1442" s="6">
        <v>325.49</v>
      </c>
      <c r="C1442" s="1">
        <v>12.1067</v>
      </c>
      <c r="D1442" s="6">
        <v>21.183299999999999</v>
      </c>
      <c r="E1442" s="6">
        <v>134.6</v>
      </c>
      <c r="F1442" s="1">
        <f t="shared" si="110"/>
        <v>1991.0416666665576</v>
      </c>
      <c r="G1442" s="17">
        <v>8.09</v>
      </c>
      <c r="H1442" s="1">
        <f>B1442*$E$1867/E1442</f>
        <v>810.40057669019313</v>
      </c>
      <c r="I1442" s="1">
        <f>C1442*$E$1867/E1442</f>
        <v>30.14309705924963</v>
      </c>
      <c r="J1442" s="26">
        <f t="shared" si="111"/>
        <v>280323.46738662221</v>
      </c>
      <c r="K1442" s="1">
        <f>D1442*$E$1867/E1442</f>
        <v>52.741892335252601</v>
      </c>
      <c r="L1442" s="26">
        <f t="shared" si="109"/>
        <v>18243.805052969477</v>
      </c>
      <c r="M1442" s="10">
        <f t="shared" si="107"/>
        <v>15.606190118802363</v>
      </c>
      <c r="N1442" s="4">
        <f t="shared" si="108"/>
        <v>18.503950717933972</v>
      </c>
      <c r="O1442" s="36">
        <f>1/M1442-(G1442/100-(((E1442/E1322)^(1/10))-1))</f>
        <v>2.778329380891667E-2</v>
      </c>
      <c r="P1442" s="48">
        <v>6.22</v>
      </c>
      <c r="R1442" s="30"/>
      <c r="S1442" s="30"/>
    </row>
    <row r="1443" spans="1:19" ht="13" x14ac:dyDescent="0.3">
      <c r="A1443" s="52" t="s">
        <v>1459</v>
      </c>
      <c r="B1443" s="6">
        <v>362.26</v>
      </c>
      <c r="C1443" s="1">
        <v>12.113300000000001</v>
      </c>
      <c r="D1443" s="6">
        <v>21.026700000000002</v>
      </c>
      <c r="E1443" s="6">
        <v>134.80000000000001</v>
      </c>
      <c r="F1443" s="1">
        <f t="shared" si="110"/>
        <v>1991.1249999998909</v>
      </c>
      <c r="G1443" s="17">
        <v>7.85</v>
      </c>
      <c r="H1443" s="1">
        <f>B1443*$E$1867/E1443</f>
        <v>900.61181798961411</v>
      </c>
      <c r="I1443" s="1">
        <f>C1443*$E$1867/E1443</f>
        <v>30.114782572885755</v>
      </c>
      <c r="J1443" s="26">
        <f t="shared" si="111"/>
        <v>312396.27030464972</v>
      </c>
      <c r="K1443" s="1">
        <f>D1443*$E$1867/E1443</f>
        <v>52.274318206045997</v>
      </c>
      <c r="L1443" s="26">
        <f t="shared" si="109"/>
        <v>18132.45364328046</v>
      </c>
      <c r="M1443" s="10">
        <f t="shared" si="107"/>
        <v>17.35466474520511</v>
      </c>
      <c r="N1443" s="4">
        <f t="shared" si="108"/>
        <v>20.563141293016159</v>
      </c>
      <c r="O1443" s="36">
        <f>1/M1443-(G1443/100-(((E1443/E1323)^(1/10))-1))</f>
        <v>2.2807981407616203E-2</v>
      </c>
      <c r="P1443" s="48">
        <v>5.94</v>
      </c>
      <c r="R1443" s="30"/>
      <c r="S1443" s="30"/>
    </row>
    <row r="1444" spans="1:19" ht="13" x14ac:dyDescent="0.3">
      <c r="A1444" s="52" t="s">
        <v>1460</v>
      </c>
      <c r="B1444" s="6">
        <v>372.28</v>
      </c>
      <c r="C1444" s="1">
        <v>12.11</v>
      </c>
      <c r="D1444" s="6">
        <v>20.94</v>
      </c>
      <c r="E1444" s="6">
        <v>135</v>
      </c>
      <c r="F1444" s="1">
        <f t="shared" si="110"/>
        <v>1991.2083333332241</v>
      </c>
      <c r="G1444" s="17">
        <v>8.11</v>
      </c>
      <c r="H1444" s="1">
        <f>B1444*$E$1867/E1444</f>
        <v>924.15131903703696</v>
      </c>
      <c r="I1444" s="1">
        <f>C1444*$E$1867/E1444</f>
        <v>30.061976129629628</v>
      </c>
      <c r="J1444" s="26">
        <f t="shared" si="111"/>
        <v>321430.41384048486</v>
      </c>
      <c r="K1444" s="1">
        <f>D1444*$E$1867/E1444</f>
        <v>51.981649888888896</v>
      </c>
      <c r="L1444" s="26">
        <f t="shared" si="109"/>
        <v>18079.813220747164</v>
      </c>
      <c r="M1444" s="10">
        <f t="shared" si="107"/>
        <v>17.818620083397377</v>
      </c>
      <c r="N1444" s="4">
        <f t="shared" si="108"/>
        <v>21.098075248981377</v>
      </c>
      <c r="O1444" s="36">
        <f>1/M1444-(G1444/100-(((E1444/E1324)^(1/10))-1))</f>
        <v>1.8152543511216632E-2</v>
      </c>
      <c r="P1444" s="48">
        <v>5.91</v>
      </c>
      <c r="R1444" s="30"/>
      <c r="S1444" s="30"/>
    </row>
    <row r="1445" spans="1:19" ht="13" x14ac:dyDescent="0.3">
      <c r="A1445" s="52" t="s">
        <v>1461</v>
      </c>
      <c r="B1445" s="6">
        <v>379.68</v>
      </c>
      <c r="C1445" s="1">
        <v>12.13</v>
      </c>
      <c r="D1445" s="6">
        <v>20.363299999999999</v>
      </c>
      <c r="E1445" s="6">
        <v>135.19999999999999</v>
      </c>
      <c r="F1445" s="1">
        <f t="shared" si="110"/>
        <v>1991.2916666665574</v>
      </c>
      <c r="G1445" s="17">
        <v>8.0399999999999991</v>
      </c>
      <c r="H1445" s="1">
        <f>B1445*$E$1867/E1445</f>
        <v>941.12688550295866</v>
      </c>
      <c r="I1445" s="1">
        <f>C1445*$E$1867/E1445</f>
        <v>30.067080491863909</v>
      </c>
      <c r="J1445" s="26">
        <f t="shared" si="111"/>
        <v>328206.18320759706</v>
      </c>
      <c r="K1445" s="1">
        <f>D1445*$E$1867/E1445</f>
        <v>50.475266296782543</v>
      </c>
      <c r="L1445" s="26">
        <f t="shared" si="109"/>
        <v>17602.615282636063</v>
      </c>
      <c r="M1445" s="10">
        <f t="shared" si="107"/>
        <v>18.155345895198025</v>
      </c>
      <c r="N1445" s="4">
        <f t="shared" si="108"/>
        <v>21.4815318736301</v>
      </c>
      <c r="O1445" s="36">
        <f>1/M1445-(G1445/100-(((E1445/E1325)^(1/10))-1))</f>
        <v>1.7261417915378836E-2</v>
      </c>
      <c r="P1445" s="48">
        <v>5.65</v>
      </c>
      <c r="R1445" s="30"/>
      <c r="S1445" s="30"/>
    </row>
    <row r="1446" spans="1:19" ht="13" x14ac:dyDescent="0.3">
      <c r="A1446" s="52" t="s">
        <v>1462</v>
      </c>
      <c r="B1446" s="6">
        <v>377.99</v>
      </c>
      <c r="C1446" s="1">
        <v>12.14</v>
      </c>
      <c r="D1446" s="6">
        <v>19.8567</v>
      </c>
      <c r="E1446" s="6">
        <v>135.6</v>
      </c>
      <c r="F1446" s="1">
        <f t="shared" si="110"/>
        <v>1991.3749999998906</v>
      </c>
      <c r="G1446" s="17">
        <v>8.07</v>
      </c>
      <c r="H1446" s="1">
        <f>B1446*$E$1867/E1446</f>
        <v>934.17399150073743</v>
      </c>
      <c r="I1446" s="1">
        <f>C1446*$E$1867/E1446</f>
        <v>30.003101290560476</v>
      </c>
      <c r="J1446" s="26">
        <f t="shared" si="111"/>
        <v>326653.38246912789</v>
      </c>
      <c r="K1446" s="1">
        <f>D1446*$E$1867/E1446</f>
        <v>49.074347726216814</v>
      </c>
      <c r="L1446" s="26">
        <f t="shared" si="109"/>
        <v>17159.867244304696</v>
      </c>
      <c r="M1446" s="10">
        <f t="shared" si="107"/>
        <v>18.03543091100406</v>
      </c>
      <c r="N1446" s="4">
        <f t="shared" si="108"/>
        <v>21.325816065887022</v>
      </c>
      <c r="O1446" s="36">
        <f>1/M1446-(G1446/100-(((E1446/E1326)^(1/10))-1))</f>
        <v>1.6819875859940409E-2</v>
      </c>
      <c r="P1446" s="48">
        <v>5.46</v>
      </c>
      <c r="R1446" s="30"/>
      <c r="S1446" s="30"/>
    </row>
    <row r="1447" spans="1:19" ht="13" x14ac:dyDescent="0.3">
      <c r="A1447" s="52" t="s">
        <v>1463</v>
      </c>
      <c r="B1447" s="6">
        <v>378.29</v>
      </c>
      <c r="C1447" s="1">
        <v>12.15</v>
      </c>
      <c r="D1447" s="6">
        <v>19.41</v>
      </c>
      <c r="E1447" s="6">
        <v>136</v>
      </c>
      <c r="F1447" s="1">
        <f t="shared" si="110"/>
        <v>1991.4583333332239</v>
      </c>
      <c r="G1447" s="17">
        <v>8.2799999999999994</v>
      </c>
      <c r="H1447" s="1">
        <f>B1447*$E$1867/E1447</f>
        <v>932.16566781250003</v>
      </c>
      <c r="I1447" s="1">
        <f>C1447*$E$1867/E1447</f>
        <v>29.939498437499999</v>
      </c>
      <c r="J1447" s="26">
        <f t="shared" si="111"/>
        <v>326823.54435734195</v>
      </c>
      <c r="K1447" s="1">
        <f>D1447*$E$1867/E1447</f>
        <v>47.829272812500001</v>
      </c>
      <c r="L1447" s="26">
        <f t="shared" si="109"/>
        <v>16769.264310386228</v>
      </c>
      <c r="M1447" s="10">
        <f t="shared" si="107"/>
        <v>18.015227044688331</v>
      </c>
      <c r="N1447" s="4">
        <f t="shared" si="108"/>
        <v>21.28908462725887</v>
      </c>
      <c r="O1447" s="36">
        <f>1/M1447-(G1447/100-(((E1447/E1327)^(1/10))-1))</f>
        <v>1.4164945242447345E-2</v>
      </c>
      <c r="P1447" s="48">
        <v>5.57</v>
      </c>
      <c r="R1447" s="30"/>
      <c r="S1447" s="30"/>
    </row>
    <row r="1448" spans="1:19" ht="13" x14ac:dyDescent="0.3">
      <c r="A1448" s="52" t="s">
        <v>1464</v>
      </c>
      <c r="B1448" s="6">
        <v>380.23</v>
      </c>
      <c r="C1448" s="1">
        <v>12.193300000000001</v>
      </c>
      <c r="D1448" s="6">
        <v>18.84</v>
      </c>
      <c r="E1448" s="6">
        <v>136.19999999999999</v>
      </c>
      <c r="F1448" s="1">
        <f t="shared" si="110"/>
        <v>1991.5416666665571</v>
      </c>
      <c r="G1448" s="17">
        <v>8.27</v>
      </c>
      <c r="H1448" s="1">
        <f>B1448*$E$1867/E1448</f>
        <v>935.57029227239366</v>
      </c>
      <c r="I1448" s="1">
        <f>C1448*$E$1867/E1448</f>
        <v>30.002075703560944</v>
      </c>
      <c r="J1448" s="26">
        <f t="shared" si="111"/>
        <v>328893.80599979201</v>
      </c>
      <c r="K1448" s="1">
        <f>D1448*$E$1867/E1448</f>
        <v>46.356532378854631</v>
      </c>
      <c r="L1448" s="26">
        <f t="shared" si="109"/>
        <v>16296.345120153806</v>
      </c>
      <c r="M1448" s="10">
        <f t="shared" si="107"/>
        <v>18.103452345519752</v>
      </c>
      <c r="N1448" s="4">
        <f t="shared" si="108"/>
        <v>21.381252264915311</v>
      </c>
      <c r="O1448" s="36">
        <f>1/M1448-(G1448/100-(((E1448/E1328)^(1/10))-1))</f>
        <v>1.3004730493853901E-2</v>
      </c>
      <c r="P1448" s="48">
        <v>5.58</v>
      </c>
      <c r="R1448" s="30"/>
      <c r="S1448" s="30"/>
    </row>
    <row r="1449" spans="1:19" ht="13" x14ac:dyDescent="0.3">
      <c r="A1449" s="52" t="s">
        <v>1465</v>
      </c>
      <c r="B1449" s="6">
        <v>389.4</v>
      </c>
      <c r="C1449" s="1">
        <v>12.236700000000001</v>
      </c>
      <c r="D1449" s="6">
        <v>18.329999999999998</v>
      </c>
      <c r="E1449" s="6">
        <v>136.6</v>
      </c>
      <c r="F1449" s="1">
        <f t="shared" si="110"/>
        <v>1991.6249999998904</v>
      </c>
      <c r="G1449" s="17">
        <v>7.9</v>
      </c>
      <c r="H1449" s="1">
        <f>B1449*$E$1867/E1449</f>
        <v>955.32776244509512</v>
      </c>
      <c r="I1449" s="1">
        <f>C1449*$E$1867/E1449</f>
        <v>30.02069653495608</v>
      </c>
      <c r="J1449" s="26">
        <f t="shared" si="111"/>
        <v>336718.88486809493</v>
      </c>
      <c r="K1449" s="1">
        <f>D1449*$E$1867/E1449</f>
        <v>44.969588817715952</v>
      </c>
      <c r="L1449" s="26">
        <f t="shared" si="109"/>
        <v>15850.172469522802</v>
      </c>
      <c r="M1449" s="10">
        <f t="shared" si="107"/>
        <v>18.512258455337722</v>
      </c>
      <c r="N1449" s="4">
        <f t="shared" si="108"/>
        <v>21.851849122501878</v>
      </c>
      <c r="O1449" s="36">
        <f>1/M1449-(G1449/100-(((E1449/E1329)^(1/10))-1))</f>
        <v>1.4998050819334099E-2</v>
      </c>
      <c r="P1449" s="48">
        <v>5.33</v>
      </c>
      <c r="R1449" s="30"/>
      <c r="S1449" s="30"/>
    </row>
    <row r="1450" spans="1:19" ht="13" x14ac:dyDescent="0.3">
      <c r="A1450" s="52" t="s">
        <v>1466</v>
      </c>
      <c r="B1450" s="6">
        <v>387.2</v>
      </c>
      <c r="C1450" s="1">
        <v>12.28</v>
      </c>
      <c r="D1450" s="6">
        <v>17.82</v>
      </c>
      <c r="E1450" s="6">
        <v>137.19999999999999</v>
      </c>
      <c r="F1450" s="1">
        <f t="shared" si="110"/>
        <v>1991.7083333332237</v>
      </c>
      <c r="G1450" s="17">
        <v>7.65</v>
      </c>
      <c r="H1450" s="1">
        <f>B1450*$E$1867/E1450</f>
        <v>945.77621574344028</v>
      </c>
      <c r="I1450" s="1">
        <f>C1450*$E$1867/E1450</f>
        <v>29.995175437317783</v>
      </c>
      <c r="J1450" s="26">
        <f t="shared" si="111"/>
        <v>334233.32502978394</v>
      </c>
      <c r="K1450" s="1">
        <f>D1450*$E$1867/E1450</f>
        <v>43.527200838192421</v>
      </c>
      <c r="L1450" s="26">
        <f t="shared" si="109"/>
        <v>15382.329163302556</v>
      </c>
      <c r="M1450" s="10">
        <f t="shared" si="107"/>
        <v>18.357282591774332</v>
      </c>
      <c r="N1450" s="4">
        <f t="shared" si="108"/>
        <v>21.658412976072615</v>
      </c>
      <c r="O1450" s="36">
        <f>1/M1450-(G1450/100-(((E1450/E1330)^(1/10))-1))</f>
        <v>1.7400877305726377E-2</v>
      </c>
      <c r="P1450" s="48">
        <v>5.22</v>
      </c>
      <c r="R1450" s="30"/>
      <c r="S1450" s="30"/>
    </row>
    <row r="1451" spans="1:19" ht="13" x14ac:dyDescent="0.3">
      <c r="A1451" s="52" t="s">
        <v>1467</v>
      </c>
      <c r="B1451" s="6">
        <v>386.88</v>
      </c>
      <c r="C1451" s="1">
        <v>12.253299999999999</v>
      </c>
      <c r="D1451" s="6">
        <v>17.203299999999999</v>
      </c>
      <c r="E1451" s="6">
        <v>137.4</v>
      </c>
      <c r="F1451" s="1">
        <f t="shared" si="110"/>
        <v>1991.7916666665569</v>
      </c>
      <c r="G1451" s="17">
        <v>7.53</v>
      </c>
      <c r="H1451" s="1">
        <f>B1451*$E$1867/E1451</f>
        <v>943.61904454148464</v>
      </c>
      <c r="I1451" s="1">
        <f>C1451*$E$1867/E1451</f>
        <v>29.886391745451235</v>
      </c>
      <c r="J1451" s="26">
        <f t="shared" si="111"/>
        <v>334351.13355768158</v>
      </c>
      <c r="K1451" s="1">
        <f>D1451*$E$1867/E1451</f>
        <v>41.959681319687036</v>
      </c>
      <c r="L1451" s="26">
        <f t="shared" si="109"/>
        <v>14867.511517609757</v>
      </c>
      <c r="M1451" s="10">
        <f t="shared" si="107"/>
        <v>18.349187992001987</v>
      </c>
      <c r="N1451" s="4">
        <f t="shared" si="108"/>
        <v>21.639545015859081</v>
      </c>
      <c r="O1451" s="36">
        <f>1/M1451-(G1451/100-(((E1451/E1331)^(1/10))-1))</f>
        <v>1.8553506314309728E-2</v>
      </c>
      <c r="P1451" s="48">
        <v>4.99</v>
      </c>
      <c r="R1451" s="30"/>
      <c r="S1451" s="30"/>
    </row>
    <row r="1452" spans="1:19" ht="13" x14ac:dyDescent="0.3">
      <c r="A1452" s="52" t="s">
        <v>1468</v>
      </c>
      <c r="B1452" s="6">
        <v>385.92</v>
      </c>
      <c r="C1452" s="1">
        <v>12.226699999999999</v>
      </c>
      <c r="D1452" s="6">
        <v>16.5867</v>
      </c>
      <c r="E1452" s="6">
        <v>137.80000000000001</v>
      </c>
      <c r="F1452" s="1">
        <f t="shared" si="110"/>
        <v>1991.8749999998902</v>
      </c>
      <c r="G1452" s="17">
        <v>7.42</v>
      </c>
      <c r="H1452" s="1">
        <f>B1452*$E$1867/E1452</f>
        <v>938.54525747460082</v>
      </c>
      <c r="I1452" s="1">
        <f>C1452*$E$1867/E1452</f>
        <v>29.734948433780836</v>
      </c>
      <c r="J1452" s="26">
        <f t="shared" si="111"/>
        <v>333431.34113438235</v>
      </c>
      <c r="K1452" s="1">
        <f>D1452*$E$1867/E1452</f>
        <v>40.3383307995283</v>
      </c>
      <c r="L1452" s="26">
        <f t="shared" si="109"/>
        <v>14330.756700854219</v>
      </c>
      <c r="M1452" s="10">
        <f t="shared" si="107"/>
        <v>18.288868169301342</v>
      </c>
      <c r="N1452" s="4">
        <f t="shared" si="108"/>
        <v>21.56029678442329</v>
      </c>
      <c r="O1452" s="36">
        <f>1/M1452-(G1452/100-(((E1452/E1332)^(1/10))-1))</f>
        <v>1.9802084951974309E-2</v>
      </c>
      <c r="P1452" s="48">
        <v>4.5599999999999996</v>
      </c>
      <c r="R1452" s="30"/>
      <c r="S1452" s="30"/>
    </row>
    <row r="1453" spans="1:19" ht="13" x14ac:dyDescent="0.3">
      <c r="A1453" s="52" t="s">
        <v>1469</v>
      </c>
      <c r="B1453" s="6">
        <v>388.51</v>
      </c>
      <c r="C1453" s="1">
        <v>12.2</v>
      </c>
      <c r="D1453" s="6">
        <v>15.97</v>
      </c>
      <c r="E1453" s="6">
        <v>137.9</v>
      </c>
      <c r="F1453" s="1">
        <f t="shared" si="110"/>
        <v>1991.9583333332234</v>
      </c>
      <c r="G1453" s="17">
        <v>7.09</v>
      </c>
      <c r="H1453" s="1">
        <f>B1453*$E$1867/E1453</f>
        <v>944.15888961203768</v>
      </c>
      <c r="I1453" s="1">
        <f>C1453*$E$1867/E1453</f>
        <v>29.648499274836837</v>
      </c>
      <c r="J1453" s="26">
        <f t="shared" si="111"/>
        <v>336303.41623543779</v>
      </c>
      <c r="K1453" s="1">
        <f>D1453*$E$1867/E1453</f>
        <v>38.810371591733137</v>
      </c>
      <c r="L1453" s="26">
        <f t="shared" si="109"/>
        <v>13824.008538467328</v>
      </c>
      <c r="M1453" s="10">
        <f t="shared" si="107"/>
        <v>18.44165231351273</v>
      </c>
      <c r="N1453" s="4">
        <f t="shared" si="108"/>
        <v>21.732934673031131</v>
      </c>
      <c r="O1453" s="36">
        <f>1/M1453-(G1453/100-(((E1453/E1333)^(1/10))-1))</f>
        <v>2.2392289241092447E-2</v>
      </c>
      <c r="P1453" s="48">
        <v>4.07</v>
      </c>
      <c r="R1453" s="30"/>
      <c r="S1453" s="30"/>
    </row>
    <row r="1454" spans="1:19" ht="13" x14ac:dyDescent="0.3">
      <c r="A1454" s="52" t="s">
        <v>1470</v>
      </c>
      <c r="B1454" s="6">
        <v>416.08</v>
      </c>
      <c r="C1454" s="1">
        <v>12.24</v>
      </c>
      <c r="D1454" s="6">
        <v>16.046700000000001</v>
      </c>
      <c r="E1454" s="6">
        <v>138.1</v>
      </c>
      <c r="F1454" s="1">
        <f t="shared" si="110"/>
        <v>1992.0416666665567</v>
      </c>
      <c r="G1454" s="17">
        <v>7.03</v>
      </c>
      <c r="H1454" s="1">
        <f>B1454*$E$1867/E1454</f>
        <v>1009.6952499637944</v>
      </c>
      <c r="I1454" s="1">
        <f>C1454*$E$1867/E1454</f>
        <v>29.702628964518468</v>
      </c>
      <c r="J1454" s="26">
        <f t="shared" si="111"/>
        <v>360528.71004800015</v>
      </c>
      <c r="K1454" s="1">
        <f>D1454*$E$1867/E1454</f>
        <v>38.940292173606089</v>
      </c>
      <c r="L1454" s="26">
        <f t="shared" si="109"/>
        <v>13904.28776083264</v>
      </c>
      <c r="M1454" s="10">
        <f t="shared" si="107"/>
        <v>19.773068211462647</v>
      </c>
      <c r="N1454" s="4">
        <f t="shared" si="108"/>
        <v>23.291329926001989</v>
      </c>
      <c r="O1454" s="36">
        <f>1/M1454-(G1454/100-(((E1454/E1334)^(1/10))-1))</f>
        <v>1.9160569763829335E-2</v>
      </c>
      <c r="P1454" s="48">
        <v>3.8</v>
      </c>
      <c r="R1454" s="30"/>
      <c r="S1454" s="30"/>
    </row>
    <row r="1455" spans="1:19" ht="13" x14ac:dyDescent="0.3">
      <c r="A1455" s="52" t="s">
        <v>1471</v>
      </c>
      <c r="B1455" s="6">
        <v>412.56</v>
      </c>
      <c r="C1455" s="1">
        <v>12.28</v>
      </c>
      <c r="D1455" s="6">
        <v>16.1233</v>
      </c>
      <c r="E1455" s="6">
        <v>138.6</v>
      </c>
      <c r="F1455" s="1">
        <f t="shared" si="110"/>
        <v>1992.12499999989</v>
      </c>
      <c r="G1455" s="17">
        <v>7.34</v>
      </c>
      <c r="H1455" s="1">
        <f>B1455*$E$1867/E1455</f>
        <v>997.5416532467533</v>
      </c>
      <c r="I1455" s="1">
        <f>C1455*$E$1867/E1455</f>
        <v>29.692193867243866</v>
      </c>
      <c r="J1455" s="26">
        <f t="shared" si="111"/>
        <v>357072.57165623375</v>
      </c>
      <c r="K1455" s="1">
        <f>D1455*$E$1867/E1455</f>
        <v>38.985028451118332</v>
      </c>
      <c r="L1455" s="26">
        <f t="shared" si="109"/>
        <v>13954.790078012784</v>
      </c>
      <c r="M1455" s="10">
        <f t="shared" si="107"/>
        <v>19.582982970386748</v>
      </c>
      <c r="N1455" s="4">
        <f t="shared" si="108"/>
        <v>23.058298827241956</v>
      </c>
      <c r="O1455" s="36">
        <f>1/M1455-(G1455/100-(((E1455/E1335)^(1/10))-1))</f>
        <v>1.6596949753805747E-2</v>
      </c>
      <c r="P1455" s="48">
        <v>3.84</v>
      </c>
      <c r="R1455" s="30"/>
      <c r="S1455" s="30"/>
    </row>
    <row r="1456" spans="1:19" ht="13" x14ac:dyDescent="0.3">
      <c r="A1456" s="52" t="s">
        <v>1472</v>
      </c>
      <c r="B1456" s="6">
        <v>407.36</v>
      </c>
      <c r="C1456" s="1">
        <v>12.32</v>
      </c>
      <c r="D1456" s="6">
        <v>16.190000000000001</v>
      </c>
      <c r="E1456" s="6">
        <v>139.30000000000001</v>
      </c>
      <c r="F1456" s="1">
        <f t="shared" si="110"/>
        <v>1992.2083333332232</v>
      </c>
      <c r="G1456" s="17">
        <v>7.54</v>
      </c>
      <c r="H1456" s="1">
        <f>B1456*$E$1867/E1456</f>
        <v>980.01882153625263</v>
      </c>
      <c r="I1456" s="1">
        <f>C1456*$E$1867/E1456</f>
        <v>29.63921809045226</v>
      </c>
      <c r="J1456" s="26">
        <f t="shared" si="111"/>
        <v>351684.34894029953</v>
      </c>
      <c r="K1456" s="1">
        <f>D1456*$E$1867/E1456</f>
        <v>38.949589357501793</v>
      </c>
      <c r="L1456" s="26">
        <f t="shared" si="109"/>
        <v>13977.242756636511</v>
      </c>
      <c r="M1456" s="10">
        <f t="shared" si="107"/>
        <v>19.283561861298558</v>
      </c>
      <c r="N1456" s="4">
        <f t="shared" si="108"/>
        <v>22.698465263289894</v>
      </c>
      <c r="O1456" s="36">
        <f>1/M1456-(G1456/100-(((E1456/E1336)^(1/10))-1))</f>
        <v>1.6023313388900999E-2</v>
      </c>
      <c r="P1456" s="48">
        <v>4.04</v>
      </c>
      <c r="R1456" s="30"/>
      <c r="S1456" s="30"/>
    </row>
    <row r="1457" spans="1:19" ht="13" x14ac:dyDescent="0.3">
      <c r="A1457" s="52" t="s">
        <v>1473</v>
      </c>
      <c r="B1457" s="6">
        <v>407.41</v>
      </c>
      <c r="C1457" s="1">
        <v>12.32</v>
      </c>
      <c r="D1457" s="6">
        <v>16.4833</v>
      </c>
      <c r="E1457" s="6">
        <v>139.5</v>
      </c>
      <c r="F1457" s="1">
        <f t="shared" si="110"/>
        <v>1992.2916666665565</v>
      </c>
      <c r="G1457" s="17">
        <v>7.48</v>
      </c>
      <c r="H1457" s="1">
        <f>B1457*$E$1867/E1457</f>
        <v>978.73389320788522</v>
      </c>
      <c r="I1457" s="1">
        <f>C1457*$E$1867/E1457</f>
        <v>29.596724587813622</v>
      </c>
      <c r="J1457" s="26">
        <f t="shared" si="111"/>
        <v>352108.32333384344</v>
      </c>
      <c r="K1457" s="1">
        <f>D1457*$E$1867/E1457</f>
        <v>39.598351493369179</v>
      </c>
      <c r="L1457" s="26">
        <f t="shared" si="109"/>
        <v>14245.863199255646</v>
      </c>
      <c r="M1457" s="10">
        <f t="shared" si="107"/>
        <v>19.301229507881047</v>
      </c>
      <c r="N1457" s="4">
        <f t="shared" si="108"/>
        <v>22.712689513614677</v>
      </c>
      <c r="O1457" s="36">
        <f>1/M1457-(G1457/100-(((E1457/E1337)^(1/10))-1))</f>
        <v>1.6285934688981193E-2</v>
      </c>
      <c r="P1457" s="48">
        <v>3.75</v>
      </c>
      <c r="R1457" s="30"/>
      <c r="S1457" s="30"/>
    </row>
    <row r="1458" spans="1:19" ht="13" x14ac:dyDescent="0.3">
      <c r="A1458" s="52" t="s">
        <v>1474</v>
      </c>
      <c r="B1458" s="6">
        <v>414.81</v>
      </c>
      <c r="C1458" s="1">
        <v>12.32</v>
      </c>
      <c r="D1458" s="6">
        <v>16.7667</v>
      </c>
      <c r="E1458" s="6">
        <v>139.69999999999999</v>
      </c>
      <c r="F1458" s="1">
        <f t="shared" si="110"/>
        <v>1992.3749999998897</v>
      </c>
      <c r="G1458" s="17">
        <v>7.39</v>
      </c>
      <c r="H1458" s="1">
        <f>B1458*$E$1867/E1458</f>
        <v>995.08450216535448</v>
      </c>
      <c r="I1458" s="1">
        <f>C1458*$E$1867/E1458</f>
        <v>29.554352755905516</v>
      </c>
      <c r="J1458" s="26">
        <f t="shared" si="111"/>
        <v>358876.63903008588</v>
      </c>
      <c r="K1458" s="1">
        <f>D1458*$E$1867/E1458</f>
        <v>40.221507009126704</v>
      </c>
      <c r="L1458" s="26">
        <f t="shared" si="109"/>
        <v>14505.862789290857</v>
      </c>
      <c r="M1458" s="10">
        <f t="shared" si="107"/>
        <v>19.662279795641695</v>
      </c>
      <c r="N1458" s="4">
        <f t="shared" si="108"/>
        <v>23.130349591325814</v>
      </c>
      <c r="O1458" s="36">
        <f>1/M1458-(G1458/100-(((E1458/E1338)^(1/10))-1))</f>
        <v>1.5402822169063295E-2</v>
      </c>
      <c r="P1458" s="48">
        <v>3.63</v>
      </c>
      <c r="R1458" s="30"/>
      <c r="S1458" s="30"/>
    </row>
    <row r="1459" spans="1:19" ht="13" x14ac:dyDescent="0.3">
      <c r="A1459" s="52" t="s">
        <v>1475</v>
      </c>
      <c r="B1459" s="6">
        <v>408.27</v>
      </c>
      <c r="C1459" s="1">
        <v>12.32</v>
      </c>
      <c r="D1459" s="6">
        <v>17.05</v>
      </c>
      <c r="E1459" s="6">
        <v>140.19999999999999</v>
      </c>
      <c r="F1459" s="1">
        <f t="shared" si="110"/>
        <v>1992.458333333223</v>
      </c>
      <c r="G1459" s="17">
        <v>7.26</v>
      </c>
      <c r="H1459" s="1">
        <f>B1459*$E$1867/E1459</f>
        <v>975.90289456134099</v>
      </c>
      <c r="I1459" s="1">
        <f>C1459*$E$1867/E1459</f>
        <v>29.448952068473613</v>
      </c>
      <c r="J1459" s="26">
        <f t="shared" si="111"/>
        <v>352843.86582343705</v>
      </c>
      <c r="K1459" s="1">
        <f>D1459*$E$1867/E1459</f>
        <v>40.755246166191156</v>
      </c>
      <c r="L1459" s="26">
        <f t="shared" si="109"/>
        <v>14735.317099687956</v>
      </c>
      <c r="M1459" s="10">
        <f t="shared" si="107"/>
        <v>19.315365967644595</v>
      </c>
      <c r="N1459" s="4">
        <f t="shared" si="108"/>
        <v>22.716805900471623</v>
      </c>
      <c r="O1459" s="36">
        <f>1/M1459-(G1459/100-(((E1459/E1339)^(1/10))-1))</f>
        <v>1.6695001272217146E-2</v>
      </c>
      <c r="P1459" s="48">
        <v>3.66</v>
      </c>
      <c r="R1459" s="30"/>
      <c r="S1459" s="30"/>
    </row>
    <row r="1460" spans="1:19" ht="13" x14ac:dyDescent="0.3">
      <c r="A1460" s="52" t="s">
        <v>1476</v>
      </c>
      <c r="B1460" s="6">
        <v>415.05</v>
      </c>
      <c r="C1460" s="1">
        <v>12.343299999999999</v>
      </c>
      <c r="D1460" s="6">
        <v>17.38</v>
      </c>
      <c r="E1460" s="6">
        <v>140.5</v>
      </c>
      <c r="F1460" s="1">
        <f t="shared" si="110"/>
        <v>1992.5416666665562</v>
      </c>
      <c r="G1460" s="17">
        <v>6.84</v>
      </c>
      <c r="H1460" s="1">
        <f>B1460*$E$1867/E1460</f>
        <v>989.99099653024905</v>
      </c>
      <c r="I1460" s="1">
        <f>C1460*$E$1867/E1460</f>
        <v>29.441647674911028</v>
      </c>
      <c r="J1460" s="26">
        <f t="shared" si="111"/>
        <v>358824.57605444832</v>
      </c>
      <c r="K1460" s="1">
        <f>D1460*$E$1867/E1460</f>
        <v>41.455351209964405</v>
      </c>
      <c r="L1460" s="26">
        <f t="shared" si="109"/>
        <v>15025.590005604892</v>
      </c>
      <c r="M1460" s="10">
        <f t="shared" si="107"/>
        <v>19.620740694824406</v>
      </c>
      <c r="N1460" s="4">
        <f t="shared" si="108"/>
        <v>23.07054366253525</v>
      </c>
      <c r="O1460" s="36">
        <f>1/M1460-(G1460/100-(((E1460/E1340)^(1/10))-1))</f>
        <v>1.9777611352638634E-2</v>
      </c>
      <c r="P1460" s="48">
        <v>3.21</v>
      </c>
      <c r="R1460" s="30"/>
      <c r="S1460" s="30"/>
    </row>
    <row r="1461" spans="1:19" ht="13" x14ac:dyDescent="0.3">
      <c r="A1461" s="52" t="s">
        <v>1477</v>
      </c>
      <c r="B1461" s="6">
        <v>417.93</v>
      </c>
      <c r="C1461" s="1">
        <v>12.3667</v>
      </c>
      <c r="D1461" s="6">
        <v>17.71</v>
      </c>
      <c r="E1461" s="6">
        <v>140.9</v>
      </c>
      <c r="F1461" s="1">
        <f t="shared" si="110"/>
        <v>1992.6249999998895</v>
      </c>
      <c r="G1461" s="17">
        <v>6.59</v>
      </c>
      <c r="H1461" s="1">
        <f>B1461*$E$1867/E1461</f>
        <v>994.03048781050393</v>
      </c>
      <c r="I1461" s="1">
        <f>C1461*$E$1867/E1461</f>
        <v>29.413721995564231</v>
      </c>
      <c r="J1461" s="26">
        <f t="shared" si="111"/>
        <v>361177.12196787511</v>
      </c>
      <c r="K1461" s="1">
        <f>D1461*$E$1867/E1461</f>
        <v>42.12255626330731</v>
      </c>
      <c r="L1461" s="26">
        <f t="shared" si="109"/>
        <v>15305.067427681832</v>
      </c>
      <c r="M1461" s="10">
        <f t="shared" si="107"/>
        <v>19.722137498351525</v>
      </c>
      <c r="N1461" s="4">
        <f t="shared" si="108"/>
        <v>23.184600663955496</v>
      </c>
      <c r="O1461" s="36">
        <f>1/M1461-(G1461/100-(((E1461/E1341)^(1/10))-1))</f>
        <v>2.2097910826092249E-2</v>
      </c>
      <c r="P1461" s="48">
        <v>3.13</v>
      </c>
      <c r="R1461" s="30"/>
      <c r="S1461" s="30"/>
    </row>
    <row r="1462" spans="1:19" ht="13" x14ac:dyDescent="0.3">
      <c r="A1462" s="52" t="s">
        <v>1478</v>
      </c>
      <c r="B1462" s="6">
        <v>418.48</v>
      </c>
      <c r="C1462" s="1">
        <v>12.4</v>
      </c>
      <c r="D1462" s="6">
        <v>18.04</v>
      </c>
      <c r="E1462" s="6">
        <v>141.30000000000001</v>
      </c>
      <c r="F1462" s="1">
        <f t="shared" si="110"/>
        <v>1992.7083333332228</v>
      </c>
      <c r="G1462" s="17">
        <v>6.42</v>
      </c>
      <c r="H1462" s="1">
        <f>B1462*$E$1867/E1462</f>
        <v>992.52098103326261</v>
      </c>
      <c r="I1462" s="1">
        <f>C1462*$E$1867/E1462</f>
        <v>29.409434536447275</v>
      </c>
      <c r="J1462" s="26">
        <f t="shared" si="111"/>
        <v>361519.13219910575</v>
      </c>
      <c r="K1462" s="1">
        <f>D1462*$E$1867/E1462</f>
        <v>42.785983793347484</v>
      </c>
      <c r="L1462" s="26">
        <f t="shared" si="109"/>
        <v>15584.508566411458</v>
      </c>
      <c r="M1462" s="10">
        <f t="shared" si="107"/>
        <v>19.708766424745306</v>
      </c>
      <c r="N1462" s="4">
        <f t="shared" si="108"/>
        <v>23.164274166851847</v>
      </c>
      <c r="O1462" s="36">
        <f>1/M1462-(G1462/100-(((E1462/E1342)^(1/10))-1))</f>
        <v>2.3914247386812443E-2</v>
      </c>
      <c r="P1462" s="48">
        <v>2.91</v>
      </c>
      <c r="R1462" s="30"/>
      <c r="S1462" s="30"/>
    </row>
    <row r="1463" spans="1:19" ht="13" x14ac:dyDescent="0.3">
      <c r="A1463" s="52" t="s">
        <v>1479</v>
      </c>
      <c r="B1463" s="6">
        <v>412.5</v>
      </c>
      <c r="C1463" s="1">
        <v>12.386699999999999</v>
      </c>
      <c r="D1463" s="6">
        <v>18.39</v>
      </c>
      <c r="E1463" s="6">
        <v>141.80000000000001</v>
      </c>
      <c r="F1463" s="1">
        <f t="shared" si="110"/>
        <v>1992.791666666556</v>
      </c>
      <c r="G1463" s="17">
        <v>6.59</v>
      </c>
      <c r="H1463" s="1">
        <f>B1463*$E$1867/E1463</f>
        <v>974.88833303949207</v>
      </c>
      <c r="I1463" s="1">
        <f>C1463*$E$1867/E1463</f>
        <v>29.274301369358245</v>
      </c>
      <c r="J1463" s="26">
        <f t="shared" si="111"/>
        <v>355985.13875835243</v>
      </c>
      <c r="K1463" s="1">
        <f>D1463*$E$1867/E1463</f>
        <v>43.462294411142452</v>
      </c>
      <c r="L1463" s="26">
        <f t="shared" si="109"/>
        <v>15870.464731554186</v>
      </c>
      <c r="M1463" s="10">
        <f t="shared" si="107"/>
        <v>19.37027107690697</v>
      </c>
      <c r="N1463" s="4">
        <f t="shared" si="108"/>
        <v>22.763052023573326</v>
      </c>
      <c r="O1463" s="36">
        <f>1/M1463-(G1463/100-(((E1463/E1343)^(1/10))-1))</f>
        <v>2.3149941896531738E-2</v>
      </c>
      <c r="P1463" s="48">
        <v>2.86</v>
      </c>
      <c r="R1463" s="30"/>
      <c r="S1463" s="30"/>
    </row>
    <row r="1464" spans="1:19" ht="13" x14ac:dyDescent="0.3">
      <c r="A1464" s="52" t="s">
        <v>1480</v>
      </c>
      <c r="B1464" s="6">
        <v>422.84</v>
      </c>
      <c r="C1464" s="1">
        <v>12.3833</v>
      </c>
      <c r="D1464" s="6">
        <v>18.739999999999998</v>
      </c>
      <c r="E1464" s="6">
        <v>142</v>
      </c>
      <c r="F1464" s="1">
        <f t="shared" si="110"/>
        <v>1992.8749999998893</v>
      </c>
      <c r="G1464" s="17">
        <v>6.87</v>
      </c>
      <c r="H1464" s="1">
        <f>B1464*$E$1867/E1464</f>
        <v>997.91803316901394</v>
      </c>
      <c r="I1464" s="1">
        <f>C1464*$E$1867/E1464</f>
        <v>29.225045833274649</v>
      </c>
      <c r="J1464" s="26">
        <f t="shared" si="111"/>
        <v>365283.84937845921</v>
      </c>
      <c r="K1464" s="1">
        <f>D1464*$E$1867/E1464</f>
        <v>44.227092852112669</v>
      </c>
      <c r="L1464" s="26">
        <f t="shared" si="109"/>
        <v>16189.147992981565</v>
      </c>
      <c r="M1464" s="10">
        <f t="shared" si="107"/>
        <v>19.83365603880123</v>
      </c>
      <c r="N1464" s="4">
        <f t="shared" si="108"/>
        <v>23.303331550784851</v>
      </c>
      <c r="O1464" s="36">
        <f>1/M1464-(G1464/100-(((E1464/E1344)^(1/10))-1))</f>
        <v>1.9501570278503674E-2</v>
      </c>
      <c r="P1464" s="48">
        <v>3.13</v>
      </c>
      <c r="R1464" s="30"/>
      <c r="S1464" s="30"/>
    </row>
    <row r="1465" spans="1:19" ht="13" x14ac:dyDescent="0.3">
      <c r="A1465" s="52" t="s">
        <v>1481</v>
      </c>
      <c r="B1465" s="6">
        <v>435.64</v>
      </c>
      <c r="C1465" s="1">
        <v>12.39</v>
      </c>
      <c r="D1465" s="6">
        <v>19.09</v>
      </c>
      <c r="E1465" s="6">
        <v>141.9</v>
      </c>
      <c r="F1465" s="1">
        <f t="shared" si="110"/>
        <v>1992.9583333332225</v>
      </c>
      <c r="G1465" s="17">
        <v>6.77</v>
      </c>
      <c r="H1465" s="1">
        <f>B1465*$E$1867/E1465</f>
        <v>1028.8510494009865</v>
      </c>
      <c r="I1465" s="1">
        <f>C1465*$E$1867/E1465</f>
        <v>29.261464746300213</v>
      </c>
      <c r="J1465" s="26">
        <f t="shared" si="111"/>
        <v>377499.34124286147</v>
      </c>
      <c r="K1465" s="1">
        <f>D1465*$E$1867/E1465</f>
        <v>45.084855690627201</v>
      </c>
      <c r="L1465" s="26">
        <f t="shared" si="109"/>
        <v>16542.242274185624</v>
      </c>
      <c r="M1465" s="10">
        <f t="shared" si="107"/>
        <v>20.448606721242967</v>
      </c>
      <c r="N1465" s="4">
        <f t="shared" si="108"/>
        <v>24.020186324731092</v>
      </c>
      <c r="O1465" s="36">
        <f>1/M1465-(G1465/100-(((E1465/E1345)^(1/10))-1))</f>
        <v>1.9336711772753895E-2</v>
      </c>
      <c r="P1465" s="48">
        <v>3.22</v>
      </c>
      <c r="R1465" s="30"/>
      <c r="S1465" s="30"/>
    </row>
    <row r="1466" spans="1:19" ht="13" x14ac:dyDescent="0.3">
      <c r="A1466" s="52" t="s">
        <v>1482</v>
      </c>
      <c r="B1466" s="6">
        <v>435.23</v>
      </c>
      <c r="C1466" s="1">
        <v>12.4133</v>
      </c>
      <c r="D1466" s="6">
        <v>19.34</v>
      </c>
      <c r="E1466" s="6">
        <v>142.6</v>
      </c>
      <c r="F1466" s="1">
        <f t="shared" si="110"/>
        <v>1993.0416666665558</v>
      </c>
      <c r="G1466" s="17">
        <v>6.6</v>
      </c>
      <c r="H1466" s="1">
        <f>B1466*$E$1867/E1466</f>
        <v>1022.8370445827489</v>
      </c>
      <c r="I1466" s="1">
        <f>C1466*$E$1867/E1466</f>
        <v>29.172582509291725</v>
      </c>
      <c r="J1466" s="26">
        <f t="shared" si="111"/>
        <v>376184.70620934264</v>
      </c>
      <c r="K1466" s="1">
        <f>D1466*$E$1867/E1466</f>
        <v>45.451068267882185</v>
      </c>
      <c r="L1466" s="26">
        <f t="shared" si="109"/>
        <v>16716.247083355207</v>
      </c>
      <c r="M1466" s="10">
        <f t="shared" ref="M1466:M1529" si="112">H1466/AVERAGE(K1346:K1465)</f>
        <v>20.323410802995703</v>
      </c>
      <c r="N1466" s="4">
        <f t="shared" ref="N1466:N1529" si="113">J1466/AVERAGE(L1346:L1465)</f>
        <v>23.867950224169537</v>
      </c>
      <c r="O1466" s="36">
        <f>1/M1466-(G1466/100-(((E1466/E1346)^(1/10))-1))</f>
        <v>2.1636349599385991E-2</v>
      </c>
      <c r="P1466" s="48">
        <v>3</v>
      </c>
      <c r="R1466" s="30"/>
      <c r="S1466" s="30"/>
    </row>
    <row r="1467" spans="1:19" ht="13" x14ac:dyDescent="0.3">
      <c r="A1467" s="52" t="s">
        <v>1483</v>
      </c>
      <c r="B1467" s="6">
        <v>441.7</v>
      </c>
      <c r="C1467" s="1">
        <v>12.4467</v>
      </c>
      <c r="D1467" s="6">
        <v>19.59</v>
      </c>
      <c r="E1467" s="6">
        <v>143.1</v>
      </c>
      <c r="F1467" s="1">
        <f t="shared" si="110"/>
        <v>1993.124999999889</v>
      </c>
      <c r="G1467" s="17">
        <v>6.26</v>
      </c>
      <c r="H1467" s="1">
        <f>B1467*$E$1867/E1467</f>
        <v>1034.415254542278</v>
      </c>
      <c r="I1467" s="1">
        <f>C1467*$E$1867/E1467</f>
        <v>29.148871063417193</v>
      </c>
      <c r="J1467" s="26">
        <f t="shared" si="111"/>
        <v>381336.38261573983</v>
      </c>
      <c r="K1467" s="1">
        <f>D1467*$E$1867/E1467</f>
        <v>45.877733385744236</v>
      </c>
      <c r="L1467" s="26">
        <f t="shared" si="109"/>
        <v>16912.79088848165</v>
      </c>
      <c r="M1467" s="10">
        <f t="shared" si="112"/>
        <v>20.545336792900439</v>
      </c>
      <c r="N1467" s="4">
        <f t="shared" si="113"/>
        <v>24.122919609042558</v>
      </c>
      <c r="O1467" s="36">
        <f>1/M1467-(G1467/100-(((E1467/E1347)^(1/10))-1))</f>
        <v>2.4762232417321652E-2</v>
      </c>
      <c r="P1467" s="48">
        <v>2.93</v>
      </c>
      <c r="R1467" s="30"/>
      <c r="S1467" s="30"/>
    </row>
    <row r="1468" spans="1:19" ht="13" x14ac:dyDescent="0.3">
      <c r="A1468" s="52" t="s">
        <v>1484</v>
      </c>
      <c r="B1468" s="6">
        <v>450.16</v>
      </c>
      <c r="C1468" s="1">
        <v>12.48</v>
      </c>
      <c r="D1468" s="6">
        <v>19.84</v>
      </c>
      <c r="E1468" s="6">
        <v>143.6</v>
      </c>
      <c r="F1468" s="1">
        <f t="shared" si="110"/>
        <v>1993.2083333332223</v>
      </c>
      <c r="G1468" s="17">
        <v>5.98</v>
      </c>
      <c r="H1468" s="1">
        <f>B1468*$E$1867/E1468</f>
        <v>1050.5569814763232</v>
      </c>
      <c r="I1468" s="1">
        <f>C1468*$E$1867/E1468</f>
        <v>29.125091364902509</v>
      </c>
      <c r="J1468" s="26">
        <f t="shared" si="111"/>
        <v>388181.76294935663</v>
      </c>
      <c r="K1468" s="1">
        <f>D1468*$E$1867/E1468</f>
        <v>46.301427298050136</v>
      </c>
      <c r="L1468" s="26">
        <f t="shared" si="109"/>
        <v>17108.419621723908</v>
      </c>
      <c r="M1468" s="10">
        <f t="shared" si="112"/>
        <v>20.855200148690912</v>
      </c>
      <c r="N1468" s="4">
        <f t="shared" si="113"/>
        <v>24.480250697934391</v>
      </c>
      <c r="O1468" s="36">
        <f>1/M1468-(G1468/100-(((E1468/E1348)^(1/10))-1))</f>
        <v>2.7201413706418556E-2</v>
      </c>
      <c r="P1468" s="48">
        <v>2.95</v>
      </c>
      <c r="R1468" s="30"/>
      <c r="S1468" s="30"/>
    </row>
    <row r="1469" spans="1:19" ht="13" x14ac:dyDescent="0.3">
      <c r="A1469" s="52" t="s">
        <v>1485</v>
      </c>
      <c r="B1469" s="6">
        <v>443.08</v>
      </c>
      <c r="C1469" s="1">
        <v>12.4933</v>
      </c>
      <c r="D1469" s="6">
        <v>19.670000000000002</v>
      </c>
      <c r="E1469" s="6">
        <v>144</v>
      </c>
      <c r="F1469" s="1">
        <f t="shared" si="110"/>
        <v>1993.2916666665556</v>
      </c>
      <c r="G1469" s="17">
        <v>5.97</v>
      </c>
      <c r="H1469" s="1">
        <f>B1469*$E$1867/E1469</f>
        <v>1031.1617761805555</v>
      </c>
      <c r="I1469" s="1">
        <f>C1469*$E$1867/E1469</f>
        <v>29.075140873784719</v>
      </c>
      <c r="J1469" s="26">
        <f t="shared" si="111"/>
        <v>381910.49115692277</v>
      </c>
      <c r="K1469" s="1">
        <f>D1469*$E$1867/E1469</f>
        <v>45.777178246527782</v>
      </c>
      <c r="L1469" s="26">
        <f t="shared" si="109"/>
        <v>16954.453735345018</v>
      </c>
      <c r="M1469" s="10">
        <f t="shared" si="112"/>
        <v>20.457362016642186</v>
      </c>
      <c r="N1469" s="4">
        <f t="shared" si="113"/>
        <v>24.00798830125111</v>
      </c>
      <c r="O1469" s="36">
        <f>1/M1469-(G1469/100-(((E1469/E1349)^(1/10))-1))</f>
        <v>2.7782730536251424E-2</v>
      </c>
      <c r="P1469" s="48">
        <v>2.87</v>
      </c>
      <c r="R1469" s="30"/>
      <c r="S1469" s="30"/>
    </row>
    <row r="1470" spans="1:19" ht="13" x14ac:dyDescent="0.3">
      <c r="A1470" s="52" t="s">
        <v>1486</v>
      </c>
      <c r="B1470" s="6">
        <v>445.25</v>
      </c>
      <c r="C1470" s="1">
        <v>12.5067</v>
      </c>
      <c r="D1470" s="6">
        <v>19.5</v>
      </c>
      <c r="E1470" s="6">
        <v>144.19999999999999</v>
      </c>
      <c r="F1470" s="1">
        <f t="shared" si="110"/>
        <v>1993.3749999998888</v>
      </c>
      <c r="G1470" s="17">
        <v>6.04</v>
      </c>
      <c r="H1470" s="1">
        <f>B1470*$E$1867/E1470</f>
        <v>1034.7747403779474</v>
      </c>
      <c r="I1470" s="1">
        <f>C1470*$E$1867/E1470</f>
        <v>29.065956755721221</v>
      </c>
      <c r="J1470" s="26">
        <f t="shared" si="111"/>
        <v>384145.71599694667</v>
      </c>
      <c r="K1470" s="1">
        <f>D1470*$E$1867/E1470</f>
        <v>45.318601768377256</v>
      </c>
      <c r="L1470" s="26">
        <f t="shared" si="109"/>
        <v>16823.899970669198</v>
      </c>
      <c r="M1470" s="10">
        <f t="shared" si="112"/>
        <v>20.517605633764862</v>
      </c>
      <c r="N1470" s="4">
        <f t="shared" si="113"/>
        <v>24.07385603006238</v>
      </c>
      <c r="O1470" s="36">
        <f>1/M1470-(G1470/100-(((E1470/E1350)^(1/10))-1))</f>
        <v>2.6453373546910589E-2</v>
      </c>
      <c r="P1470" s="48">
        <v>2.96</v>
      </c>
      <c r="R1470" s="30"/>
      <c r="S1470" s="30"/>
    </row>
    <row r="1471" spans="1:19" ht="13" x14ac:dyDescent="0.3">
      <c r="A1471" s="52" t="s">
        <v>1487</v>
      </c>
      <c r="B1471" s="6">
        <v>448.06</v>
      </c>
      <c r="C1471" s="1">
        <v>12.52</v>
      </c>
      <c r="D1471" s="6">
        <v>19.329999999999998</v>
      </c>
      <c r="E1471" s="6">
        <v>144.4</v>
      </c>
      <c r="F1471" s="1">
        <f t="shared" si="110"/>
        <v>1993.4583333332221</v>
      </c>
      <c r="G1471" s="17">
        <v>5.96</v>
      </c>
      <c r="H1471" s="1">
        <f>B1471*$E$1867/E1471</f>
        <v>1039.863016031856</v>
      </c>
      <c r="I1471" s="1">
        <f>C1471*$E$1867/E1471</f>
        <v>29.056565997229914</v>
      </c>
      <c r="J1471" s="26">
        <f t="shared" si="111"/>
        <v>386933.57129286521</v>
      </c>
      <c r="K1471" s="1">
        <f>D1471*$E$1867/E1471</f>
        <v>44.861295585180052</v>
      </c>
      <c r="L1471" s="26">
        <f t="shared" si="109"/>
        <v>16692.911514286221</v>
      </c>
      <c r="M1471" s="10">
        <f t="shared" si="112"/>
        <v>20.608357012960198</v>
      </c>
      <c r="N1471" s="4">
        <f t="shared" si="113"/>
        <v>24.17576111023968</v>
      </c>
      <c r="O1471" s="36">
        <f>1/M1471-(G1471/100-(((E1471/E1351)^(1/10))-1))</f>
        <v>2.6869171617220369E-2</v>
      </c>
      <c r="P1471" s="48">
        <v>3.07</v>
      </c>
      <c r="R1471" s="30"/>
      <c r="S1471" s="30"/>
    </row>
    <row r="1472" spans="1:19" ht="13" x14ac:dyDescent="0.3">
      <c r="A1472" s="52" t="s">
        <v>1488</v>
      </c>
      <c r="B1472" s="6">
        <v>447.29</v>
      </c>
      <c r="C1472" s="1">
        <v>12.52</v>
      </c>
      <c r="D1472" s="6">
        <v>19.690000000000001</v>
      </c>
      <c r="E1472" s="6">
        <v>144.4</v>
      </c>
      <c r="F1472" s="1">
        <f t="shared" si="110"/>
        <v>1993.5416666665553</v>
      </c>
      <c r="G1472" s="17">
        <v>5.81</v>
      </c>
      <c r="H1472" s="1">
        <f>B1472*$E$1867/E1472</f>
        <v>1038.0759908067866</v>
      </c>
      <c r="I1472" s="1">
        <f>C1472*$E$1867/E1472</f>
        <v>29.056565997229914</v>
      </c>
      <c r="J1472" s="26">
        <f t="shared" si="111"/>
        <v>387169.61522184795</v>
      </c>
      <c r="K1472" s="1">
        <f>D1472*$E$1867/E1472</f>
        <v>45.696787898199446</v>
      </c>
      <c r="L1472" s="26">
        <f t="shared" si="109"/>
        <v>17043.461118554376</v>
      </c>
      <c r="M1472" s="10">
        <f t="shared" si="112"/>
        <v>20.564596413297139</v>
      </c>
      <c r="N1472" s="4">
        <f t="shared" si="113"/>
        <v>24.120424250680475</v>
      </c>
      <c r="O1472" s="36">
        <f>1/M1472-(G1472/100-(((E1472/E1352)^(1/10))-1))</f>
        <v>2.8056084282618202E-2</v>
      </c>
      <c r="P1472" s="48">
        <v>3.04</v>
      </c>
      <c r="R1472" s="30"/>
      <c r="S1472" s="30"/>
    </row>
    <row r="1473" spans="1:19" ht="13" x14ac:dyDescent="0.3">
      <c r="A1473" s="52" t="s">
        <v>1489</v>
      </c>
      <c r="B1473" s="6">
        <v>454.13</v>
      </c>
      <c r="C1473" s="1">
        <v>12.52</v>
      </c>
      <c r="D1473" s="6">
        <v>20.05</v>
      </c>
      <c r="E1473" s="6">
        <v>144.80000000000001</v>
      </c>
      <c r="F1473" s="1">
        <f t="shared" si="110"/>
        <v>1993.6249999998886</v>
      </c>
      <c r="G1473" s="17">
        <v>5.68</v>
      </c>
      <c r="H1473" s="1">
        <f>B1473*$E$1867/E1473</f>
        <v>1051.0388797133976</v>
      </c>
      <c r="I1473" s="1">
        <f>C1473*$E$1867/E1473</f>
        <v>28.976299240331485</v>
      </c>
      <c r="J1473" s="26">
        <f t="shared" si="111"/>
        <v>392904.9679145363</v>
      </c>
      <c r="K1473" s="1">
        <f>D1473*$E$1867/E1473</f>
        <v>46.403738000690602</v>
      </c>
      <c r="L1473" s="26">
        <f t="shared" si="109"/>
        <v>17346.89319509051</v>
      </c>
      <c r="M1473" s="10">
        <f t="shared" si="112"/>
        <v>20.81222754662738</v>
      </c>
      <c r="N1473" s="4">
        <f t="shared" si="113"/>
        <v>24.405153638797476</v>
      </c>
      <c r="O1473" s="36">
        <f>1/M1473-(G1473/100-(((E1473/E1353)^(1/10))-1))</f>
        <v>2.8753403914616539E-2</v>
      </c>
      <c r="P1473" s="48">
        <v>3.02</v>
      </c>
      <c r="R1473" s="30"/>
      <c r="S1473" s="30"/>
    </row>
    <row r="1474" spans="1:19" ht="13" x14ac:dyDescent="0.3">
      <c r="A1474" s="52" t="s">
        <v>1490</v>
      </c>
      <c r="B1474" s="6">
        <v>459.24</v>
      </c>
      <c r="C1474" s="1">
        <v>12.52</v>
      </c>
      <c r="D1474" s="6">
        <v>20.41</v>
      </c>
      <c r="E1474" s="6">
        <v>145.1</v>
      </c>
      <c r="F1474" s="1">
        <f t="shared" si="110"/>
        <v>1993.7083333332218</v>
      </c>
      <c r="G1474" s="17">
        <v>5.36</v>
      </c>
      <c r="H1474" s="1">
        <f>B1474*$E$1867/E1474</f>
        <v>1060.6679518263268</v>
      </c>
      <c r="I1474" s="1">
        <f>C1474*$E$1867/E1474</f>
        <v>28.916389593383872</v>
      </c>
      <c r="J1474" s="26">
        <f t="shared" si="111"/>
        <v>397405.3656841378</v>
      </c>
      <c r="K1474" s="1">
        <f>D1474*$E$1867/E1474</f>
        <v>47.139258115093043</v>
      </c>
      <c r="L1474" s="26">
        <f t="shared" si="109"/>
        <v>17661.883794123449</v>
      </c>
      <c r="M1474" s="10">
        <f t="shared" si="112"/>
        <v>20.993501005229128</v>
      </c>
      <c r="N1474" s="4">
        <f t="shared" si="113"/>
        <v>24.61059893638545</v>
      </c>
      <c r="O1474" s="36">
        <f>1/M1474-(G1474/100-(((E1474/E1354)^(1/10))-1))</f>
        <v>3.1236860631154599E-2</v>
      </c>
      <c r="P1474" s="48">
        <v>2.95</v>
      </c>
      <c r="R1474" s="30"/>
      <c r="S1474" s="30"/>
    </row>
    <row r="1475" spans="1:19" ht="13" x14ac:dyDescent="0.3">
      <c r="A1475" s="52" t="s">
        <v>1491</v>
      </c>
      <c r="B1475" s="6">
        <v>463.9</v>
      </c>
      <c r="C1475" s="1">
        <v>12.54</v>
      </c>
      <c r="D1475" s="6">
        <v>20.9</v>
      </c>
      <c r="E1475" s="6">
        <v>145.69999999999999</v>
      </c>
      <c r="F1475" s="1">
        <f t="shared" si="110"/>
        <v>1993.7916666665551</v>
      </c>
      <c r="G1475" s="17">
        <v>5.33</v>
      </c>
      <c r="H1475" s="1">
        <f>B1475*$E$1867/E1475</f>
        <v>1067.0185550789292</v>
      </c>
      <c r="I1475" s="1">
        <f>C1475*$E$1867/E1475</f>
        <v>28.843312525737819</v>
      </c>
      <c r="J1475" s="26">
        <f t="shared" si="111"/>
        <v>400685.34700667241</v>
      </c>
      <c r="K1475" s="1">
        <f>D1475*$E$1867/E1475</f>
        <v>48.072187542896359</v>
      </c>
      <c r="L1475" s="26">
        <f t="shared" ref="L1475:L1538" si="114">K1475*(J1475/H1475)</f>
        <v>18052.002053113716</v>
      </c>
      <c r="M1475" s="10">
        <f t="shared" si="112"/>
        <v>21.109178247475111</v>
      </c>
      <c r="N1475" s="4">
        <f t="shared" si="113"/>
        <v>24.737889343598006</v>
      </c>
      <c r="O1475" s="36">
        <f>1/M1475-(G1475/100-(((E1475/E1355)^(1/10))-1))</f>
        <v>3.1395305530902279E-2</v>
      </c>
      <c r="P1475" s="48">
        <v>3.02</v>
      </c>
      <c r="R1475" s="30"/>
      <c r="S1475" s="30"/>
    </row>
    <row r="1476" spans="1:19" ht="13" x14ac:dyDescent="0.3">
      <c r="A1476" s="52" t="s">
        <v>1492</v>
      </c>
      <c r="B1476" s="6">
        <v>462.89</v>
      </c>
      <c r="C1476" s="1">
        <v>12.56</v>
      </c>
      <c r="D1476" s="6">
        <v>21.39</v>
      </c>
      <c r="E1476" s="6">
        <v>145.80000000000001</v>
      </c>
      <c r="F1476" s="1">
        <f t="shared" ref="F1476:F1539" si="115">F1475+1/12</f>
        <v>1993.8749999998884</v>
      </c>
      <c r="G1476" s="17">
        <v>5.72</v>
      </c>
      <c r="H1476" s="1">
        <f>B1476*$E$1867/E1476</f>
        <v>1063.9652055727022</v>
      </c>
      <c r="I1476" s="1">
        <f>C1476*$E$1867/E1476</f>
        <v>28.869500274348418</v>
      </c>
      <c r="J1476" s="26">
        <f t="shared" ref="J1476:J1539" si="116">J1475*((H1476+(I1476/12))/H1475)</f>
        <v>400442.17698188184</v>
      </c>
      <c r="K1476" s="1">
        <f>D1476*$E$1867/E1476</f>
        <v>49.165494495884772</v>
      </c>
      <c r="L1476" s="26">
        <f t="shared" si="114"/>
        <v>18504.305916400124</v>
      </c>
      <c r="M1476" s="10">
        <f t="shared" si="112"/>
        <v>21.037901189606377</v>
      </c>
      <c r="N1476" s="4">
        <f t="shared" si="113"/>
        <v>24.64540763843441</v>
      </c>
      <c r="O1476" s="36">
        <f>1/M1476-(G1476/100-(((E1476/E1356)^(1/10))-1))</f>
        <v>2.7521778620273885E-2</v>
      </c>
      <c r="P1476" s="48">
        <v>3.1</v>
      </c>
      <c r="R1476" s="30"/>
      <c r="S1476" s="30"/>
    </row>
    <row r="1477" spans="1:19" ht="13" x14ac:dyDescent="0.3">
      <c r="A1477" s="52" t="s">
        <v>1493</v>
      </c>
      <c r="B1477" s="6">
        <v>465.95</v>
      </c>
      <c r="C1477" s="1">
        <v>12.58</v>
      </c>
      <c r="D1477" s="6">
        <v>21.89</v>
      </c>
      <c r="E1477" s="6">
        <v>145.80000000000001</v>
      </c>
      <c r="F1477" s="1">
        <f t="shared" si="115"/>
        <v>1993.9583333332216</v>
      </c>
      <c r="G1477" s="17">
        <v>5.77</v>
      </c>
      <c r="H1477" s="1">
        <f>B1477*$E$1867/E1477</f>
        <v>1070.9986984739367</v>
      </c>
      <c r="I1477" s="1">
        <f>C1477*$E$1867/E1477</f>
        <v>28.915470816186556</v>
      </c>
      <c r="J1477" s="26">
        <f t="shared" si="116"/>
        <v>403996.26098405779</v>
      </c>
      <c r="K1477" s="1">
        <f>D1477*$E$1867/E1477</f>
        <v>50.314758041838132</v>
      </c>
      <c r="L1477" s="26">
        <f t="shared" si="114"/>
        <v>18979.457351520607</v>
      </c>
      <c r="M1477" s="10">
        <f t="shared" si="112"/>
        <v>21.164732079814645</v>
      </c>
      <c r="N1477" s="4">
        <f t="shared" si="113"/>
        <v>24.783708947329472</v>
      </c>
      <c r="O1477" s="36">
        <f>1/M1477-(G1477/100-(((E1477/E1357)^(1/10))-1))</f>
        <v>2.663449947564564E-2</v>
      </c>
      <c r="P1477" s="48">
        <v>3.06</v>
      </c>
      <c r="R1477" s="30"/>
      <c r="S1477" s="30"/>
    </row>
    <row r="1478" spans="1:19" ht="13" x14ac:dyDescent="0.3">
      <c r="A1478" s="52" t="s">
        <v>1494</v>
      </c>
      <c r="B1478" s="6">
        <v>472.99</v>
      </c>
      <c r="C1478" s="1">
        <v>12.6233</v>
      </c>
      <c r="D1478" s="6">
        <v>22.156700000000001</v>
      </c>
      <c r="E1478" s="6">
        <v>146.19999999999999</v>
      </c>
      <c r="F1478" s="1">
        <f t="shared" si="115"/>
        <v>1994.0416666665549</v>
      </c>
      <c r="G1478" s="17">
        <v>5.75</v>
      </c>
      <c r="H1478" s="1">
        <f>B1478*$E$1867/E1478</f>
        <v>1084.2058276162791</v>
      </c>
      <c r="I1478" s="1">
        <f>C1478*$E$1867/E1478</f>
        <v>28.93561264244186</v>
      </c>
      <c r="J1478" s="26">
        <f t="shared" si="116"/>
        <v>409887.75964840397</v>
      </c>
      <c r="K1478" s="1">
        <f>D1478*$E$1867/E1478</f>
        <v>50.788437938953493</v>
      </c>
      <c r="L1478" s="26">
        <f t="shared" si="114"/>
        <v>19200.744464368789</v>
      </c>
      <c r="M1478" s="10">
        <f t="shared" si="112"/>
        <v>21.411974913826541</v>
      </c>
      <c r="N1478" s="4">
        <f t="shared" si="113"/>
        <v>25.061136005191269</v>
      </c>
      <c r="O1478" s="36">
        <f>1/M1478-(G1478/100-(((E1478/E1358)^(1/10))-1))</f>
        <v>2.5960655912227619E-2</v>
      </c>
      <c r="P1478" s="48">
        <v>2.98</v>
      </c>
      <c r="R1478" s="30"/>
      <c r="S1478" s="30"/>
    </row>
    <row r="1479" spans="1:19" ht="13" x14ac:dyDescent="0.3">
      <c r="A1479" s="52" t="s">
        <v>1495</v>
      </c>
      <c r="B1479" s="6">
        <v>471.58</v>
      </c>
      <c r="C1479" s="1">
        <v>12.666700000000001</v>
      </c>
      <c r="D1479" s="6">
        <v>22.433299999999999</v>
      </c>
      <c r="E1479" s="6">
        <v>146.69999999999999</v>
      </c>
      <c r="F1479" s="1">
        <f t="shared" si="115"/>
        <v>1994.1249999998881</v>
      </c>
      <c r="G1479" s="17">
        <v>5.97</v>
      </c>
      <c r="H1479" s="1">
        <f>B1479*$E$1867/E1479</f>
        <v>1077.2894709952284</v>
      </c>
      <c r="I1479" s="1">
        <f>C1479*$E$1867/E1479</f>
        <v>28.936134997784599</v>
      </c>
      <c r="J1479" s="26">
        <f t="shared" si="116"/>
        <v>408184.62428021972</v>
      </c>
      <c r="K1479" s="1">
        <f>D1479*$E$1867/E1479</f>
        <v>51.247207026755284</v>
      </c>
      <c r="L1479" s="26">
        <f t="shared" si="114"/>
        <v>19417.549794023183</v>
      </c>
      <c r="M1479" s="10">
        <f t="shared" si="112"/>
        <v>21.263840187313022</v>
      </c>
      <c r="N1479" s="4">
        <f t="shared" si="113"/>
        <v>24.875326969291859</v>
      </c>
      <c r="O1479" s="36">
        <f>1/M1479-(G1479/100-(((E1479/E1359)^(1/10))-1))</f>
        <v>2.3932517058300316E-2</v>
      </c>
      <c r="P1479" s="48">
        <v>3.25</v>
      </c>
      <c r="R1479" s="30"/>
      <c r="S1479" s="30"/>
    </row>
    <row r="1480" spans="1:19" ht="13" x14ac:dyDescent="0.3">
      <c r="A1480" s="52" t="s">
        <v>1496</v>
      </c>
      <c r="B1480" s="6">
        <v>463.81</v>
      </c>
      <c r="C1480" s="1">
        <v>12.71</v>
      </c>
      <c r="D1480" s="6">
        <v>22.71</v>
      </c>
      <c r="E1480" s="6">
        <v>147.19999999999999</v>
      </c>
      <c r="F1480" s="1">
        <f t="shared" si="115"/>
        <v>1994.2083333332214</v>
      </c>
      <c r="G1480" s="17">
        <v>6.48</v>
      </c>
      <c r="H1480" s="1">
        <f>B1480*$E$1867/E1480</f>
        <v>1055.9405040930708</v>
      </c>
      <c r="I1480" s="1">
        <f>C1480*$E$1867/E1480</f>
        <v>28.93642613790761</v>
      </c>
      <c r="J1480" s="26">
        <f t="shared" si="116"/>
        <v>401009.17463931616</v>
      </c>
      <c r="K1480" s="1">
        <f>D1480*$E$1867/E1480</f>
        <v>51.703087143342401</v>
      </c>
      <c r="L1480" s="26">
        <f t="shared" si="114"/>
        <v>19635.01941756079</v>
      </c>
      <c r="M1480" s="10">
        <f t="shared" si="112"/>
        <v>20.833375889460417</v>
      </c>
      <c r="N1480" s="4">
        <f t="shared" si="113"/>
        <v>24.359940418108899</v>
      </c>
      <c r="O1480" s="36">
        <f>1/M1480-(G1480/100-(((E1480/E1360)^(1/10))-1))</f>
        <v>1.9954678488364859E-2</v>
      </c>
      <c r="P1480" s="48">
        <v>3.5</v>
      </c>
      <c r="R1480" s="30"/>
      <c r="S1480" s="30"/>
    </row>
    <row r="1481" spans="1:19" ht="13" x14ac:dyDescent="0.3">
      <c r="A1481" s="52" t="s">
        <v>1497</v>
      </c>
      <c r="B1481" s="6">
        <v>447.23</v>
      </c>
      <c r="C1481" s="1">
        <v>12.753299999999999</v>
      </c>
      <c r="D1481" s="6">
        <v>23.54</v>
      </c>
      <c r="E1481" s="6">
        <v>147.4</v>
      </c>
      <c r="F1481" s="1">
        <f t="shared" si="115"/>
        <v>1994.2916666665546</v>
      </c>
      <c r="G1481" s="17">
        <v>6.97</v>
      </c>
      <c r="H1481" s="1">
        <f>B1481*$E$1867/E1481</f>
        <v>1016.8118423168249</v>
      </c>
      <c r="I1481" s="1">
        <f>C1481*$E$1867/E1481</f>
        <v>28.995609571404337</v>
      </c>
      <c r="J1481" s="26">
        <f t="shared" si="116"/>
        <v>387067.10733719572</v>
      </c>
      <c r="K1481" s="1">
        <f>D1481*$E$1867/E1481</f>
        <v>53.520002611940292</v>
      </c>
      <c r="L1481" s="26">
        <f t="shared" si="114"/>
        <v>20373.319559773689</v>
      </c>
      <c r="M1481" s="10">
        <f t="shared" si="112"/>
        <v>20.055250085063847</v>
      </c>
      <c r="N1481" s="4">
        <f t="shared" si="113"/>
        <v>23.440099239459368</v>
      </c>
      <c r="O1481" s="36">
        <f>1/M1481-(G1481/100-(((E1481/E1361)^(1/10))-1))</f>
        <v>1.6553849274837044E-2</v>
      </c>
      <c r="P1481" s="48">
        <v>3.68</v>
      </c>
      <c r="R1481" s="30"/>
      <c r="S1481" s="30"/>
    </row>
    <row r="1482" spans="1:19" ht="13" x14ac:dyDescent="0.3">
      <c r="A1482" s="52" t="s">
        <v>1498</v>
      </c>
      <c r="B1482" s="6">
        <v>450.9</v>
      </c>
      <c r="C1482" s="1">
        <v>12.7967</v>
      </c>
      <c r="D1482" s="6">
        <v>24.37</v>
      </c>
      <c r="E1482" s="6">
        <v>147.5</v>
      </c>
      <c r="F1482" s="1">
        <f t="shared" si="115"/>
        <v>1994.3749999998879</v>
      </c>
      <c r="G1482" s="17">
        <v>7.18</v>
      </c>
      <c r="H1482" s="1">
        <f>B1482*$E$1867/E1482</f>
        <v>1024.4608489830509</v>
      </c>
      <c r="I1482" s="1">
        <f>C1482*$E$1867/E1482</f>
        <v>29.074557875762707</v>
      </c>
      <c r="J1482" s="26">
        <f t="shared" si="116"/>
        <v>390901.1460516965</v>
      </c>
      <c r="K1482" s="1">
        <f>D1482*$E$1867/E1482</f>
        <v>55.369507406779661</v>
      </c>
      <c r="L1482" s="26">
        <f t="shared" si="114"/>
        <v>21127.21430312673</v>
      </c>
      <c r="M1482" s="10">
        <f t="shared" si="112"/>
        <v>20.196492421281459</v>
      </c>
      <c r="N1482" s="4">
        <f t="shared" si="113"/>
        <v>23.593459579734979</v>
      </c>
      <c r="O1482" s="36">
        <f>1/M1482-(G1482/100-(((E1482/E1362)^(1/10))-1))</f>
        <v>1.3874324550450651E-2</v>
      </c>
      <c r="P1482" s="48">
        <v>4.1399999999999997</v>
      </c>
      <c r="R1482" s="30"/>
      <c r="S1482" s="30"/>
    </row>
    <row r="1483" spans="1:19" ht="13" x14ac:dyDescent="0.3">
      <c r="A1483" s="52" t="s">
        <v>1499</v>
      </c>
      <c r="B1483" s="6">
        <v>454.83</v>
      </c>
      <c r="C1483" s="1">
        <v>12.84</v>
      </c>
      <c r="D1483" s="6">
        <v>25.2</v>
      </c>
      <c r="E1483" s="6">
        <v>148</v>
      </c>
      <c r="F1483" s="1">
        <f t="shared" si="115"/>
        <v>1994.4583333332212</v>
      </c>
      <c r="G1483" s="17">
        <v>7.1</v>
      </c>
      <c r="H1483" s="1">
        <f>B1483*$E$1867/E1483</f>
        <v>1029.8987666047296</v>
      </c>
      <c r="I1483" s="1">
        <f>C1483*$E$1867/E1483</f>
        <v>29.074379797297297</v>
      </c>
      <c r="J1483" s="26">
        <f t="shared" si="116"/>
        <v>393900.56660751835</v>
      </c>
      <c r="K1483" s="1">
        <f>D1483*$E$1867/E1483</f>
        <v>57.061866891891881</v>
      </c>
      <c r="L1483" s="26">
        <f t="shared" si="114"/>
        <v>21824.185472614958</v>
      </c>
      <c r="M1483" s="10">
        <f t="shared" si="112"/>
        <v>20.290763690670314</v>
      </c>
      <c r="N1483" s="4">
        <f t="shared" si="113"/>
        <v>23.690087234431921</v>
      </c>
      <c r="O1483" s="36">
        <f>1/M1483-(G1483/100-(((E1483/E1363)^(1/10))-1))</f>
        <v>1.4494740216395297E-2</v>
      </c>
      <c r="P1483" s="48">
        <v>4.1399999999999997</v>
      </c>
      <c r="R1483" s="30"/>
      <c r="S1483" s="30"/>
    </row>
    <row r="1484" spans="1:19" ht="13" x14ac:dyDescent="0.3">
      <c r="A1484" s="52" t="s">
        <v>1500</v>
      </c>
      <c r="B1484" s="6">
        <v>451.4</v>
      </c>
      <c r="C1484" s="1">
        <v>12.87</v>
      </c>
      <c r="D1484" s="6">
        <v>25.91</v>
      </c>
      <c r="E1484" s="6">
        <v>148.4</v>
      </c>
      <c r="F1484" s="1">
        <f t="shared" si="115"/>
        <v>1994.5416666665544</v>
      </c>
      <c r="G1484" s="17">
        <v>7.3</v>
      </c>
      <c r="H1484" s="1">
        <f>B1484*$E$1867/E1484</f>
        <v>1019.3769396900269</v>
      </c>
      <c r="I1484" s="1">
        <f>C1484*$E$1867/E1484</f>
        <v>29.063759888814015</v>
      </c>
      <c r="J1484" s="26">
        <f t="shared" si="116"/>
        <v>390802.65602034144</v>
      </c>
      <c r="K1484" s="1">
        <f>D1484*$E$1867/E1484</f>
        <v>58.511423365902964</v>
      </c>
      <c r="L1484" s="26">
        <f t="shared" si="114"/>
        <v>22431.760783090489</v>
      </c>
      <c r="M1484" s="10">
        <f t="shared" si="112"/>
        <v>20.067951816142156</v>
      </c>
      <c r="N1484" s="4">
        <f t="shared" si="113"/>
        <v>23.41588907610987</v>
      </c>
      <c r="O1484" s="36">
        <f>1/M1484-(G1484/100-(((E1484/E1364)^(1/10))-1))</f>
        <v>1.2922687944643269E-2</v>
      </c>
      <c r="P1484" s="48">
        <v>4.33</v>
      </c>
      <c r="R1484" s="30"/>
      <c r="S1484" s="30"/>
    </row>
    <row r="1485" spans="1:19" ht="13" x14ac:dyDescent="0.3">
      <c r="A1485" s="52" t="s">
        <v>1501</v>
      </c>
      <c r="B1485" s="6">
        <v>464.24</v>
      </c>
      <c r="C1485" s="1">
        <v>12.9</v>
      </c>
      <c r="D1485" s="6">
        <v>26.62</v>
      </c>
      <c r="E1485" s="6">
        <v>149</v>
      </c>
      <c r="F1485" s="1">
        <f t="shared" si="115"/>
        <v>1994.6249999998877</v>
      </c>
      <c r="G1485" s="17">
        <v>7.24</v>
      </c>
      <c r="H1485" s="1">
        <f>B1485*$E$1867/E1485</f>
        <v>1044.1513158389262</v>
      </c>
      <c r="I1485" s="1">
        <f>C1485*$E$1867/E1485</f>
        <v>29.014199496644292</v>
      </c>
      <c r="J1485" s="26">
        <f t="shared" si="116"/>
        <v>401227.44960938842</v>
      </c>
      <c r="K1485" s="1">
        <f>D1485*$E$1867/E1485</f>
        <v>59.872712449664427</v>
      </c>
      <c r="L1485" s="26">
        <f t="shared" si="114"/>
        <v>23006.795426076857</v>
      </c>
      <c r="M1485" s="10">
        <f t="shared" si="112"/>
        <v>20.535549404755642</v>
      </c>
      <c r="N1485" s="4">
        <f t="shared" si="113"/>
        <v>23.945020932611548</v>
      </c>
      <c r="O1485" s="36">
        <f>1/M1485-(G1485/100-(((E1485/E1365)^(1/10))-1))</f>
        <v>1.2408744966443182E-2</v>
      </c>
      <c r="P1485" s="48">
        <v>4.4800000000000004</v>
      </c>
      <c r="R1485" s="30"/>
      <c r="S1485" s="30"/>
    </row>
    <row r="1486" spans="1:19" ht="13" x14ac:dyDescent="0.3">
      <c r="A1486" s="52" t="s">
        <v>1502</v>
      </c>
      <c r="B1486" s="6">
        <v>466.96</v>
      </c>
      <c r="C1486" s="1">
        <v>12.92</v>
      </c>
      <c r="D1486" s="6">
        <v>27.33</v>
      </c>
      <c r="E1486" s="6">
        <v>149.4</v>
      </c>
      <c r="F1486" s="1">
        <f t="shared" si="115"/>
        <v>1994.7083333332209</v>
      </c>
      <c r="G1486" s="17">
        <v>7.46</v>
      </c>
      <c r="H1486" s="1">
        <f>B1486*$E$1867/E1486</f>
        <v>1047.4570732262382</v>
      </c>
      <c r="I1486" s="1">
        <f>C1486*$E$1867/E1486</f>
        <v>28.981380388219542</v>
      </c>
      <c r="J1486" s="26">
        <f t="shared" si="116"/>
        <v>403425.76226356358</v>
      </c>
      <c r="K1486" s="1">
        <f>D1486*$E$1867/E1486</f>
        <v>61.305040712851394</v>
      </c>
      <c r="L1486" s="26">
        <f t="shared" si="114"/>
        <v>23611.500091363698</v>
      </c>
      <c r="M1486" s="10">
        <f t="shared" si="112"/>
        <v>20.576450100818874</v>
      </c>
      <c r="N1486" s="4">
        <f t="shared" si="113"/>
        <v>23.975369102753419</v>
      </c>
      <c r="O1486" s="36">
        <f>1/M1486-(G1486/100-(((E1486/E1366)^(1/10))-1))</f>
        <v>9.8951853180564292E-3</v>
      </c>
      <c r="P1486" s="48">
        <v>4.62</v>
      </c>
      <c r="R1486" s="30"/>
      <c r="S1486" s="30"/>
    </row>
    <row r="1487" spans="1:19" ht="13" x14ac:dyDescent="0.3">
      <c r="A1487" s="52" t="s">
        <v>1503</v>
      </c>
      <c r="B1487" s="6">
        <v>463.81</v>
      </c>
      <c r="C1487" s="1">
        <v>13.013299999999999</v>
      </c>
      <c r="D1487" s="6">
        <v>28.42</v>
      </c>
      <c r="E1487" s="6">
        <v>149.5</v>
      </c>
      <c r="F1487" s="1">
        <f t="shared" si="115"/>
        <v>1994.7916666665542</v>
      </c>
      <c r="G1487" s="17">
        <v>7.74</v>
      </c>
      <c r="H1487" s="1">
        <f>B1487*$E$1867/E1487</f>
        <v>1039.695265568562</v>
      </c>
      <c r="I1487" s="1">
        <f>C1487*$E$1867/E1487</f>
        <v>29.171139905183942</v>
      </c>
      <c r="J1487" s="26">
        <f t="shared" si="116"/>
        <v>401372.5859443454</v>
      </c>
      <c r="K1487" s="1">
        <f>D1487*$E$1867/E1487</f>
        <v>63.707422107023419</v>
      </c>
      <c r="L1487" s="26">
        <f t="shared" si="114"/>
        <v>24594.141766107448</v>
      </c>
      <c r="M1487" s="10">
        <f t="shared" si="112"/>
        <v>20.395759282410268</v>
      </c>
      <c r="N1487" s="4">
        <f t="shared" si="113"/>
        <v>23.747831033857757</v>
      </c>
      <c r="O1487" s="36">
        <f>1/M1487-(G1487/100-(((E1487/E1367)^(1/10))-1))</f>
        <v>7.2995277900826661E-3</v>
      </c>
      <c r="P1487" s="48">
        <v>4.95</v>
      </c>
      <c r="R1487" s="30"/>
      <c r="S1487" s="30"/>
    </row>
    <row r="1488" spans="1:19" ht="13" x14ac:dyDescent="0.3">
      <c r="A1488" s="52" t="s">
        <v>1504</v>
      </c>
      <c r="B1488" s="6">
        <v>461.01</v>
      </c>
      <c r="C1488" s="1">
        <v>13.0967</v>
      </c>
      <c r="D1488" s="6">
        <v>29.51</v>
      </c>
      <c r="E1488" s="6">
        <v>149.69999999999999</v>
      </c>
      <c r="F1488" s="1">
        <f t="shared" si="115"/>
        <v>1994.8749999998875</v>
      </c>
      <c r="G1488" s="17">
        <v>7.96</v>
      </c>
      <c r="H1488" s="1">
        <f>B1488*$E$1867/E1488</f>
        <v>1032.0380193887777</v>
      </c>
      <c r="I1488" s="1">
        <f>C1488*$E$1867/E1488</f>
        <v>29.318870151469607</v>
      </c>
      <c r="J1488" s="26">
        <f t="shared" si="116"/>
        <v>399359.72742490581</v>
      </c>
      <c r="K1488" s="1">
        <f>D1488*$E$1867/E1488</f>
        <v>66.062432381429531</v>
      </c>
      <c r="L1488" s="26">
        <f t="shared" si="114"/>
        <v>25563.665769308627</v>
      </c>
      <c r="M1488" s="10">
        <f t="shared" si="112"/>
        <v>20.209473020394057</v>
      </c>
      <c r="N1488" s="4">
        <f t="shared" si="113"/>
        <v>23.513754336451772</v>
      </c>
      <c r="O1488" s="36">
        <f>1/M1488-(G1488/100-(((E1488/E1368)^(1/10))-1))</f>
        <v>5.6899409769841092E-3</v>
      </c>
      <c r="P1488" s="48">
        <v>5.29</v>
      </c>
      <c r="R1488" s="30"/>
      <c r="S1488" s="30"/>
    </row>
    <row r="1489" spans="1:19" ht="13" x14ac:dyDescent="0.3">
      <c r="A1489" s="52" t="s">
        <v>1505</v>
      </c>
      <c r="B1489" s="6">
        <v>455.19</v>
      </c>
      <c r="C1489" s="1">
        <v>13.17</v>
      </c>
      <c r="D1489" s="6">
        <v>30.6</v>
      </c>
      <c r="E1489" s="6">
        <v>149.69999999999999</v>
      </c>
      <c r="F1489" s="1">
        <f t="shared" si="115"/>
        <v>1994.9583333332207</v>
      </c>
      <c r="G1489" s="17">
        <v>7.81</v>
      </c>
      <c r="H1489" s="1">
        <f>B1489*$E$1867/E1489</f>
        <v>1019.0091018537074</v>
      </c>
      <c r="I1489" s="1">
        <f>C1489*$E$1867/E1489</f>
        <v>29.482962875751507</v>
      </c>
      <c r="J1489" s="26">
        <f t="shared" si="116"/>
        <v>395268.76125765534</v>
      </c>
      <c r="K1489" s="1">
        <f>D1489*$E$1867/E1489</f>
        <v>68.502556112224454</v>
      </c>
      <c r="L1489" s="26">
        <f t="shared" si="114"/>
        <v>26571.814175364692</v>
      </c>
      <c r="M1489" s="10">
        <f t="shared" si="112"/>
        <v>19.911484108090331</v>
      </c>
      <c r="N1489" s="4">
        <f t="shared" si="113"/>
        <v>23.150110785223799</v>
      </c>
      <c r="O1489" s="36">
        <f>1/M1489-(G1489/100-(((E1489/E1369)^(1/10))-1))</f>
        <v>7.9304689773230866E-3</v>
      </c>
      <c r="P1489" s="48">
        <v>5.6</v>
      </c>
      <c r="R1489" s="30"/>
      <c r="S1489" s="30"/>
    </row>
    <row r="1490" spans="1:19" ht="13" x14ac:dyDescent="0.3">
      <c r="A1490" s="52" t="s">
        <v>1506</v>
      </c>
      <c r="B1490" s="6">
        <v>465.25</v>
      </c>
      <c r="C1490" s="1">
        <v>13.18</v>
      </c>
      <c r="D1490" s="6">
        <v>31.25</v>
      </c>
      <c r="E1490" s="6">
        <v>150.30000000000001</v>
      </c>
      <c r="F1490" s="1">
        <f t="shared" si="115"/>
        <v>1995.041666666554</v>
      </c>
      <c r="G1490" s="17">
        <v>7.78</v>
      </c>
      <c r="H1490" s="1">
        <f>B1490*$E$1867/E1490</f>
        <v>1037.3720729374584</v>
      </c>
      <c r="I1490" s="1">
        <f>C1490*$E$1867/E1490</f>
        <v>29.387563506320689</v>
      </c>
      <c r="J1490" s="26">
        <f t="shared" si="116"/>
        <v>403341.61128121911</v>
      </c>
      <c r="K1490" s="1">
        <f>D1490*$E$1867/E1490</f>
        <v>69.67840360944777</v>
      </c>
      <c r="L1490" s="26">
        <f t="shared" si="114"/>
        <v>27091.72563683632</v>
      </c>
      <c r="M1490" s="10">
        <f t="shared" si="112"/>
        <v>20.219119422457304</v>
      </c>
      <c r="N1490" s="4">
        <f t="shared" si="113"/>
        <v>23.488372636558648</v>
      </c>
      <c r="O1490" s="36">
        <f>1/M1490-(G1490/100-(((E1490/E1370)^(1/10))-1))</f>
        <v>7.6841322003245102E-3</v>
      </c>
      <c r="P1490" s="48">
        <v>5.71</v>
      </c>
      <c r="R1490" s="30"/>
      <c r="S1490" s="30"/>
    </row>
    <row r="1491" spans="1:19" ht="13" x14ac:dyDescent="0.3">
      <c r="A1491" s="52" t="s">
        <v>1507</v>
      </c>
      <c r="B1491" s="6">
        <v>481.92</v>
      </c>
      <c r="C1491" s="1">
        <v>13.18</v>
      </c>
      <c r="D1491" s="6">
        <v>31.9</v>
      </c>
      <c r="E1491" s="6">
        <v>150.9</v>
      </c>
      <c r="F1491" s="1">
        <f t="shared" si="115"/>
        <v>1995.1249999998872</v>
      </c>
      <c r="G1491" s="17">
        <v>7.47</v>
      </c>
      <c r="H1491" s="1">
        <f>B1491*$E$1867/E1491</f>
        <v>1070.2687904572565</v>
      </c>
      <c r="I1491" s="1">
        <f>C1491*$E$1867/E1491</f>
        <v>29.270714347249832</v>
      </c>
      <c r="J1491" s="26">
        <f t="shared" si="116"/>
        <v>417080.61278909189</v>
      </c>
      <c r="K1491" s="1">
        <f>D1491*$E$1867/E1491</f>
        <v>70.844900430748837</v>
      </c>
      <c r="L1491" s="26">
        <f t="shared" si="114"/>
        <v>27608.050190845017</v>
      </c>
      <c r="M1491" s="10">
        <f t="shared" si="112"/>
        <v>20.802571764332686</v>
      </c>
      <c r="N1491" s="4">
        <f t="shared" si="113"/>
        <v>24.144282243906403</v>
      </c>
      <c r="O1491" s="36">
        <f>1/M1491-(G1491/100-(((E1491/E1371)^(1/10))-1))</f>
        <v>9.3198886486230703E-3</v>
      </c>
      <c r="P1491" s="48">
        <v>5.77</v>
      </c>
      <c r="R1491" s="30"/>
      <c r="S1491" s="30"/>
    </row>
    <row r="1492" spans="1:19" ht="13" x14ac:dyDescent="0.3">
      <c r="A1492" s="52" t="s">
        <v>1508</v>
      </c>
      <c r="B1492" s="6">
        <v>493.15</v>
      </c>
      <c r="C1492" s="1">
        <v>13.17</v>
      </c>
      <c r="D1492" s="6">
        <v>32.549999999999997</v>
      </c>
      <c r="E1492" s="6">
        <v>151.4</v>
      </c>
      <c r="F1492" s="1">
        <f t="shared" si="115"/>
        <v>1995.2083333332205</v>
      </c>
      <c r="G1492" s="17">
        <v>7.2</v>
      </c>
      <c r="H1492" s="1">
        <f>B1492*$E$1867/E1492</f>
        <v>1091.5919223084543</v>
      </c>
      <c r="I1492" s="1">
        <f>C1492*$E$1867/E1492</f>
        <v>29.1519124339498</v>
      </c>
      <c r="J1492" s="26">
        <f t="shared" si="116"/>
        <v>426336.87605607451</v>
      </c>
      <c r="K1492" s="1">
        <f>D1492*$E$1867/E1492</f>
        <v>72.04971524108322</v>
      </c>
      <c r="L1492" s="26">
        <f t="shared" si="114"/>
        <v>28140.049306752971</v>
      </c>
      <c r="M1492" s="10">
        <f t="shared" si="112"/>
        <v>21.152737302036989</v>
      </c>
      <c r="N1492" s="4">
        <f t="shared" si="113"/>
        <v>24.52732082209474</v>
      </c>
      <c r="O1492" s="36">
        <f>1/M1492-(G1492/100-(((E1492/E1372)^(1/10))-1))</f>
        <v>1.117661660186179E-2</v>
      </c>
      <c r="P1492" s="48">
        <v>5.73</v>
      </c>
      <c r="R1492" s="30"/>
      <c r="S1492" s="30"/>
    </row>
    <row r="1493" spans="1:19" ht="13" x14ac:dyDescent="0.3">
      <c r="A1493" s="52" t="s">
        <v>1509</v>
      </c>
      <c r="B1493" s="6">
        <v>507.91</v>
      </c>
      <c r="C1493" s="1">
        <v>13.2433</v>
      </c>
      <c r="D1493" s="6">
        <v>33.176699999999997</v>
      </c>
      <c r="E1493" s="6">
        <v>151.9</v>
      </c>
      <c r="F1493" s="1">
        <f t="shared" si="115"/>
        <v>1995.2916666665537</v>
      </c>
      <c r="G1493" s="17">
        <v>7.06</v>
      </c>
      <c r="H1493" s="1">
        <f>B1493*$E$1867/E1493</f>
        <v>1120.5626446840026</v>
      </c>
      <c r="I1493" s="1">
        <f>C1493*$E$1867/E1493</f>
        <v>29.217670989631333</v>
      </c>
      <c r="J1493" s="26">
        <f t="shared" si="116"/>
        <v>438602.75540988101</v>
      </c>
      <c r="K1493" s="1">
        <f>D1493*$E$1867/E1493</f>
        <v>73.195193427748507</v>
      </c>
      <c r="L1493" s="26">
        <f t="shared" si="114"/>
        <v>28649.548218005151</v>
      </c>
      <c r="M1493" s="10">
        <f t="shared" si="112"/>
        <v>21.642739261879655</v>
      </c>
      <c r="N1493" s="4">
        <f t="shared" si="113"/>
        <v>25.070444808546672</v>
      </c>
      <c r="O1493" s="36">
        <f>1/M1493-(G1493/100-(((E1493/E1373)^(1/10))-1))</f>
        <v>1.1362181625356536E-2</v>
      </c>
      <c r="P1493" s="48">
        <v>5.65</v>
      </c>
      <c r="R1493" s="30"/>
      <c r="S1493" s="30"/>
    </row>
    <row r="1494" spans="1:19" ht="13" x14ac:dyDescent="0.3">
      <c r="A1494" s="52" t="s">
        <v>1510</v>
      </c>
      <c r="B1494" s="6">
        <v>523.80999999999995</v>
      </c>
      <c r="C1494" s="1">
        <v>13.306699999999999</v>
      </c>
      <c r="D1494" s="6">
        <v>33.8033</v>
      </c>
      <c r="E1494" s="6">
        <v>152.19999999999999</v>
      </c>
      <c r="F1494" s="1">
        <f t="shared" si="115"/>
        <v>1995.374999999887</v>
      </c>
      <c r="G1494" s="17">
        <v>6.63</v>
      </c>
      <c r="H1494" s="1">
        <f>B1494*$E$1867/E1494</f>
        <v>1153.3637135512481</v>
      </c>
      <c r="I1494" s="1">
        <f>C1494*$E$1867/E1494</f>
        <v>29.299679133869908</v>
      </c>
      <c r="J1494" s="26">
        <f t="shared" si="116"/>
        <v>452397.2088114433</v>
      </c>
      <c r="K1494" s="1">
        <f>D1494*$E$1867/E1494</f>
        <v>74.43061342526282</v>
      </c>
      <c r="L1494" s="26">
        <f t="shared" si="114"/>
        <v>29194.781635737894</v>
      </c>
      <c r="M1494" s="10">
        <f t="shared" si="112"/>
        <v>22.195426698019951</v>
      </c>
      <c r="N1494" s="4">
        <f t="shared" si="113"/>
        <v>25.684217711127925</v>
      </c>
      <c r="O1494" s="36">
        <f>1/M1494-(G1494/100-(((E1494/E1374)^(1/10))-1))</f>
        <v>1.4329172732935457E-2</v>
      </c>
      <c r="P1494" s="48">
        <v>5.67</v>
      </c>
      <c r="R1494" s="30"/>
      <c r="S1494" s="30"/>
    </row>
    <row r="1495" spans="1:19" ht="13" x14ac:dyDescent="0.3">
      <c r="A1495" s="52" t="s">
        <v>1511</v>
      </c>
      <c r="B1495" s="6">
        <v>539.35</v>
      </c>
      <c r="C1495" s="1">
        <v>13.36</v>
      </c>
      <c r="D1495" s="6">
        <v>34.43</v>
      </c>
      <c r="E1495" s="6">
        <v>152.5</v>
      </c>
      <c r="F1495" s="1">
        <f t="shared" si="115"/>
        <v>1995.4583333332203</v>
      </c>
      <c r="G1495" s="17">
        <v>6.17</v>
      </c>
      <c r="H1495" s="1">
        <f>B1495*$E$1867/E1495</f>
        <v>1185.2446136885246</v>
      </c>
      <c r="I1495" s="1">
        <f>C1495*$E$1867/E1495</f>
        <v>29.359169442622949</v>
      </c>
      <c r="J1495" s="26">
        <f t="shared" si="116"/>
        <v>465861.88080789091</v>
      </c>
      <c r="K1495" s="1">
        <f>D1495*$E$1867/E1495</f>
        <v>75.661392508196727</v>
      </c>
      <c r="L1495" s="26">
        <f t="shared" si="114"/>
        <v>29738.805147336025</v>
      </c>
      <c r="M1495" s="10">
        <f t="shared" si="112"/>
        <v>22.71835675952061</v>
      </c>
      <c r="N1495" s="4">
        <f t="shared" si="113"/>
        <v>26.261521783971112</v>
      </c>
      <c r="O1495" s="36">
        <f>1/M1495-(G1495/100-(((E1495/E1375)^(1/10))-1))</f>
        <v>1.7806905868943394E-2</v>
      </c>
      <c r="P1495" s="48">
        <v>5.47</v>
      </c>
      <c r="R1495" s="30"/>
      <c r="S1495" s="30"/>
    </row>
    <row r="1496" spans="1:19" ht="13" x14ac:dyDescent="0.3">
      <c r="A1496" s="52" t="s">
        <v>1512</v>
      </c>
      <c r="B1496" s="6">
        <v>557.37</v>
      </c>
      <c r="C1496" s="1">
        <v>13.44</v>
      </c>
      <c r="D1496" s="6">
        <v>34.68</v>
      </c>
      <c r="E1496" s="6">
        <v>152.5</v>
      </c>
      <c r="F1496" s="1">
        <f t="shared" si="115"/>
        <v>1995.5416666665535</v>
      </c>
      <c r="G1496" s="17">
        <v>6.28</v>
      </c>
      <c r="H1496" s="1">
        <f>B1496*$E$1867/E1496</f>
        <v>1224.8443317540984</v>
      </c>
      <c r="I1496" s="1">
        <f>C1496*$E$1867/E1496</f>
        <v>29.534972852459013</v>
      </c>
      <c r="J1496" s="26">
        <f t="shared" si="116"/>
        <v>482393.99612941319</v>
      </c>
      <c r="K1496" s="1">
        <f>D1496*$E$1867/E1496</f>
        <v>76.210778163934421</v>
      </c>
      <c r="L1496" s="26">
        <f t="shared" si="114"/>
        <v>30014.934039808471</v>
      </c>
      <c r="M1496" s="10">
        <f t="shared" si="112"/>
        <v>23.37641269151213</v>
      </c>
      <c r="N1496" s="4">
        <f t="shared" si="113"/>
        <v>26.992759359536361</v>
      </c>
      <c r="O1496" s="36">
        <f>1/M1496-(G1496/100-(((E1496/E1376)^(1/10))-1))</f>
        <v>1.5275527417729681E-2</v>
      </c>
      <c r="P1496" s="48">
        <v>5.42</v>
      </c>
      <c r="R1496" s="30"/>
      <c r="S1496" s="30"/>
    </row>
    <row r="1497" spans="1:19" ht="13" x14ac:dyDescent="0.3">
      <c r="A1497" s="52" t="s">
        <v>1513</v>
      </c>
      <c r="B1497" s="6">
        <v>559.11</v>
      </c>
      <c r="C1497" s="1">
        <v>13.51</v>
      </c>
      <c r="D1497" s="6">
        <v>34.93</v>
      </c>
      <c r="E1497" s="6">
        <v>152.9</v>
      </c>
      <c r="F1497" s="1">
        <f t="shared" si="115"/>
        <v>1995.6249999998868</v>
      </c>
      <c r="G1497" s="17">
        <v>6.49</v>
      </c>
      <c r="H1497" s="1">
        <f>B1497*$E$1867/E1497</f>
        <v>1225.4537509973838</v>
      </c>
      <c r="I1497" s="1">
        <f>C1497*$E$1867/E1497</f>
        <v>29.611132292347939</v>
      </c>
      <c r="J1497" s="26">
        <f t="shared" si="116"/>
        <v>483605.85044317407</v>
      </c>
      <c r="K1497" s="1">
        <f>D1497*$E$1867/E1497</f>
        <v>76.559352403531705</v>
      </c>
      <c r="L1497" s="26">
        <f t="shared" si="114"/>
        <v>30212.931902452234</v>
      </c>
      <c r="M1497" s="10">
        <f t="shared" si="112"/>
        <v>23.284070256230532</v>
      </c>
      <c r="N1497" s="4">
        <f t="shared" si="113"/>
        <v>26.857726122313139</v>
      </c>
      <c r="O1497" s="36">
        <f>1/M1497-(G1497/100-(((E1497/E1377)^(1/10))-1))</f>
        <v>1.3424483051002786E-2</v>
      </c>
      <c r="P1497" s="48">
        <v>5.4</v>
      </c>
      <c r="R1497" s="30"/>
      <c r="S1497" s="30"/>
    </row>
    <row r="1498" spans="1:19" ht="13" x14ac:dyDescent="0.3">
      <c r="A1498" s="52" t="s">
        <v>1514</v>
      </c>
      <c r="B1498" s="6">
        <v>578.77</v>
      </c>
      <c r="C1498" s="1">
        <v>13.58</v>
      </c>
      <c r="D1498" s="6">
        <v>35.18</v>
      </c>
      <c r="E1498" s="6">
        <v>153.19999999999999</v>
      </c>
      <c r="F1498" s="1">
        <f t="shared" si="115"/>
        <v>1995.70833333322</v>
      </c>
      <c r="G1498" s="17">
        <v>6.2</v>
      </c>
      <c r="H1498" s="1">
        <f>B1498*$E$1867/E1498</f>
        <v>1266.0603194680157</v>
      </c>
      <c r="I1498" s="1">
        <f>C1498*$E$1867/E1498</f>
        <v>29.706272160574414</v>
      </c>
      <c r="J1498" s="26">
        <f t="shared" si="116"/>
        <v>500607.51314389822</v>
      </c>
      <c r="K1498" s="1">
        <f>D1498*$E$1867/E1498</f>
        <v>76.956307408616198</v>
      </c>
      <c r="L1498" s="26">
        <f t="shared" si="114"/>
        <v>30428.965413553469</v>
      </c>
      <c r="M1498" s="10">
        <f t="shared" si="112"/>
        <v>23.94600707529986</v>
      </c>
      <c r="N1498" s="4">
        <f t="shared" si="113"/>
        <v>27.591422770766496</v>
      </c>
      <c r="O1498" s="36">
        <f>1/M1498-(G1498/100-(((E1498/E1378)^(1/10))-1))</f>
        <v>1.5053027578776031E-2</v>
      </c>
      <c r="P1498" s="48">
        <v>5.28</v>
      </c>
      <c r="R1498" s="30"/>
      <c r="S1498" s="30"/>
    </row>
    <row r="1499" spans="1:19" ht="13" x14ac:dyDescent="0.3">
      <c r="A1499" s="52" t="s">
        <v>1515</v>
      </c>
      <c r="B1499" s="6">
        <v>582.91999999999996</v>
      </c>
      <c r="C1499" s="1">
        <v>13.65</v>
      </c>
      <c r="D1499" s="6">
        <v>34.773299999999999</v>
      </c>
      <c r="E1499" s="6">
        <v>153.69999999999999</v>
      </c>
      <c r="F1499" s="1">
        <f t="shared" si="115"/>
        <v>1995.7916666665533</v>
      </c>
      <c r="G1499" s="17">
        <v>6.04</v>
      </c>
      <c r="H1499" s="1">
        <f>B1499*$E$1867/E1499</f>
        <v>1270.9903105400131</v>
      </c>
      <c r="I1499" s="1">
        <f>C1499*$E$1867/E1499</f>
        <v>29.762261955107356</v>
      </c>
      <c r="J1499" s="26">
        <f t="shared" si="116"/>
        <v>503537.54065409879</v>
      </c>
      <c r="K1499" s="1">
        <f>D1499*$E$1867/E1499</f>
        <v>75.819198801724141</v>
      </c>
      <c r="L1499" s="26">
        <f t="shared" si="114"/>
        <v>30037.847324550836</v>
      </c>
      <c r="M1499" s="10">
        <f t="shared" si="112"/>
        <v>23.926762764083279</v>
      </c>
      <c r="N1499" s="4">
        <f t="shared" si="113"/>
        <v>27.540347277091723</v>
      </c>
      <c r="O1499" s="36">
        <f>1/M1499-(G1499/100-(((E1499/E1379)^(1/10))-1))</f>
        <v>1.6642280544388328E-2</v>
      </c>
      <c r="P1499" s="48">
        <v>5.28</v>
      </c>
      <c r="R1499" s="30"/>
      <c r="S1499" s="30"/>
    </row>
    <row r="1500" spans="1:19" ht="13" x14ac:dyDescent="0.3">
      <c r="A1500" s="52" t="s">
        <v>1516</v>
      </c>
      <c r="B1500" s="6">
        <v>595.53</v>
      </c>
      <c r="C1500" s="1">
        <v>13.72</v>
      </c>
      <c r="D1500" s="6">
        <v>34.366700000000002</v>
      </c>
      <c r="E1500" s="6">
        <v>153.6</v>
      </c>
      <c r="F1500" s="1">
        <f t="shared" si="115"/>
        <v>1995.8749999998865</v>
      </c>
      <c r="G1500" s="17">
        <v>5.93</v>
      </c>
      <c r="H1500" s="1">
        <f>B1500*$E$1867/E1500</f>
        <v>1299.3303394042969</v>
      </c>
      <c r="I1500" s="1">
        <f>C1500*$E$1867/E1500</f>
        <v>29.934364778645833</v>
      </c>
      <c r="J1500" s="26">
        <f t="shared" si="116"/>
        <v>515753.49384385813</v>
      </c>
      <c r="K1500" s="1">
        <f>D1500*$E$1867/E1500</f>
        <v>74.981438340983075</v>
      </c>
      <c r="L1500" s="26">
        <f t="shared" si="114"/>
        <v>29762.976838922841</v>
      </c>
      <c r="M1500" s="10">
        <f t="shared" si="112"/>
        <v>24.347586881114818</v>
      </c>
      <c r="N1500" s="4">
        <f t="shared" si="113"/>
        <v>27.9966512606292</v>
      </c>
      <c r="O1500" s="36">
        <f>1/M1500-(G1500/100-(((E1500/E1380)^(1/10))-1))</f>
        <v>1.6667268345671428E-2</v>
      </c>
      <c r="P1500" s="48">
        <v>5.36</v>
      </c>
      <c r="R1500" s="30"/>
      <c r="S1500" s="30"/>
    </row>
    <row r="1501" spans="1:19" ht="13" x14ac:dyDescent="0.3">
      <c r="A1501" s="52" t="s">
        <v>1517</v>
      </c>
      <c r="B1501" s="6">
        <v>614.57000000000005</v>
      </c>
      <c r="C1501" s="1">
        <v>13.79</v>
      </c>
      <c r="D1501" s="6">
        <v>33.96</v>
      </c>
      <c r="E1501" s="6">
        <v>153.5</v>
      </c>
      <c r="F1501" s="1">
        <f t="shared" si="115"/>
        <v>1995.9583333332198</v>
      </c>
      <c r="G1501" s="17">
        <v>5.71</v>
      </c>
      <c r="H1501" s="1">
        <f>B1501*$E$1867/E1501</f>
        <v>1341.7454390390881</v>
      </c>
      <c r="I1501" s="1">
        <f>C1501*$E$1867/E1501</f>
        <v>30.10669184039088</v>
      </c>
      <c r="J1501" s="26">
        <f t="shared" si="116"/>
        <v>533585.52963782335</v>
      </c>
      <c r="K1501" s="1">
        <f>D1501*$E$1867/E1501</f>
        <v>74.142368013029312</v>
      </c>
      <c r="L1501" s="26">
        <f t="shared" si="114"/>
        <v>29484.948153181052</v>
      </c>
      <c r="M1501" s="10">
        <f t="shared" si="112"/>
        <v>25.027380664939109</v>
      </c>
      <c r="N1501" s="4">
        <f t="shared" si="113"/>
        <v>28.749997901545342</v>
      </c>
      <c r="O1501" s="36">
        <f>1/M1501-(G1501/100-(((E1501/E1381)^(1/10))-1))</f>
        <v>1.7399894631425286E-2</v>
      </c>
      <c r="P1501" s="48">
        <v>5.14</v>
      </c>
      <c r="R1501" s="30"/>
      <c r="S1501" s="30"/>
    </row>
    <row r="1502" spans="1:19" ht="13" x14ac:dyDescent="0.3">
      <c r="A1502" s="52" t="s">
        <v>1518</v>
      </c>
      <c r="B1502" s="6">
        <v>614.41999999999996</v>
      </c>
      <c r="C1502" s="1">
        <v>13.8933</v>
      </c>
      <c r="D1502" s="6">
        <v>33.986699999999999</v>
      </c>
      <c r="E1502" s="6">
        <v>154.4</v>
      </c>
      <c r="F1502" s="1">
        <f t="shared" si="115"/>
        <v>1996.0416666665531</v>
      </c>
      <c r="G1502" s="17">
        <v>5.65</v>
      </c>
      <c r="H1502" s="1">
        <f>B1502*$E$1867/E1502</f>
        <v>1333.5988089702071</v>
      </c>
      <c r="I1502" s="1">
        <f>C1502*$E$1867/E1502</f>
        <v>30.155412149125649</v>
      </c>
      <c r="J1502" s="26">
        <f t="shared" si="116"/>
        <v>531345.12729645194</v>
      </c>
      <c r="K1502" s="1">
        <f>D1502*$E$1867/E1502</f>
        <v>73.768143356055688</v>
      </c>
      <c r="L1502" s="26">
        <f t="shared" si="114"/>
        <v>29391.40561486658</v>
      </c>
      <c r="M1502" s="10">
        <f t="shared" si="112"/>
        <v>24.76246519464403</v>
      </c>
      <c r="N1502" s="4">
        <f t="shared" si="113"/>
        <v>28.419947350837198</v>
      </c>
      <c r="O1502" s="36">
        <f>1/M1502-(G1502/100-(((E1502/E1382)^(1/10))-1))</f>
        <v>1.8748642274762389E-2</v>
      </c>
      <c r="P1502" s="48">
        <v>5</v>
      </c>
      <c r="R1502" s="30"/>
      <c r="S1502" s="30"/>
    </row>
    <row r="1503" spans="1:19" ht="13" x14ac:dyDescent="0.3">
      <c r="A1503" s="52" t="s">
        <v>1519</v>
      </c>
      <c r="B1503" s="6">
        <v>649.54</v>
      </c>
      <c r="C1503" s="1">
        <v>13.996700000000001</v>
      </c>
      <c r="D1503" s="6">
        <v>34.013300000000001</v>
      </c>
      <c r="E1503" s="6">
        <v>154.9</v>
      </c>
      <c r="F1503" s="1">
        <f t="shared" si="115"/>
        <v>1996.1249999998863</v>
      </c>
      <c r="G1503" s="17">
        <v>5.81</v>
      </c>
      <c r="H1503" s="1">
        <f>B1503*$E$1867/E1503</f>
        <v>1405.2760160426078</v>
      </c>
      <c r="I1503" s="1">
        <f>C1503*$E$1867/E1503</f>
        <v>30.281779126371848</v>
      </c>
      <c r="J1503" s="26">
        <f t="shared" si="116"/>
        <v>560908.87172968639</v>
      </c>
      <c r="K1503" s="1">
        <f>D1503*$E$1867/E1503</f>
        <v>73.587576925919947</v>
      </c>
      <c r="L1503" s="26">
        <f t="shared" si="114"/>
        <v>29372.112151373811</v>
      </c>
      <c r="M1503" s="10">
        <f t="shared" si="112"/>
        <v>25.976065550593386</v>
      </c>
      <c r="N1503" s="4">
        <f t="shared" si="113"/>
        <v>29.784395328216359</v>
      </c>
      <c r="O1503" s="36">
        <f>1/M1503-(G1503/100-(((E1503/E1383)^(1/10))-1))</f>
        <v>1.588034021383869E-2</v>
      </c>
      <c r="P1503" s="48">
        <v>4.83</v>
      </c>
      <c r="R1503" s="30"/>
      <c r="S1503" s="30"/>
    </row>
    <row r="1504" spans="1:19" ht="13" x14ac:dyDescent="0.3">
      <c r="A1504" s="52" t="s">
        <v>1520</v>
      </c>
      <c r="B1504" s="6">
        <v>647.07000000000005</v>
      </c>
      <c r="C1504" s="1">
        <v>14.1</v>
      </c>
      <c r="D1504" s="6">
        <v>34.04</v>
      </c>
      <c r="E1504" s="6">
        <v>155.69999999999999</v>
      </c>
      <c r="F1504" s="1">
        <f t="shared" si="115"/>
        <v>1996.2083333332196</v>
      </c>
      <c r="G1504" s="17">
        <v>6.27</v>
      </c>
      <c r="H1504" s="1">
        <f>B1504*$E$1867/E1504</f>
        <v>1392.7392133429673</v>
      </c>
      <c r="I1504" s="1">
        <f>C1504*$E$1867/E1504</f>
        <v>30.348529383429675</v>
      </c>
      <c r="J1504" s="26">
        <f t="shared" si="116"/>
        <v>556914.32509826985</v>
      </c>
      <c r="K1504" s="1">
        <f>D1504*$E$1867/E1504</f>
        <v>73.266946114322423</v>
      </c>
      <c r="L1504" s="26">
        <f t="shared" si="114"/>
        <v>29297.237742972331</v>
      </c>
      <c r="M1504" s="10">
        <f t="shared" si="112"/>
        <v>25.629930395216117</v>
      </c>
      <c r="N1504" s="4">
        <f t="shared" si="113"/>
        <v>29.360970049382299</v>
      </c>
      <c r="O1504" s="36">
        <f>1/M1504-(G1504/100-(((E1504/E1384)^(1/10))-1))</f>
        <v>1.2808924489647405E-2</v>
      </c>
      <c r="P1504" s="48">
        <v>4.96</v>
      </c>
      <c r="R1504" s="30"/>
      <c r="S1504" s="30"/>
    </row>
    <row r="1505" spans="1:19" ht="13" x14ac:dyDescent="0.3">
      <c r="A1505" s="52" t="s">
        <v>1521</v>
      </c>
      <c r="B1505" s="6">
        <v>647.16999999999996</v>
      </c>
      <c r="C1505" s="1">
        <v>14.156700000000001</v>
      </c>
      <c r="D1505" s="6">
        <v>34.33</v>
      </c>
      <c r="E1505" s="6">
        <v>156.30000000000001</v>
      </c>
      <c r="F1505" s="1">
        <f t="shared" si="115"/>
        <v>1996.2916666665528</v>
      </c>
      <c r="G1505" s="17">
        <v>6.51</v>
      </c>
      <c r="H1505" s="1">
        <f>B1505*$E$1867/E1505</f>
        <v>1387.6072171625078</v>
      </c>
      <c r="I1505" s="1">
        <f>C1505*$E$1867/E1505</f>
        <v>30.353599658829175</v>
      </c>
      <c r="J1505" s="26">
        <f t="shared" si="116"/>
        <v>555873.65217855154</v>
      </c>
      <c r="K1505" s="1">
        <f>D1505*$E$1867/E1505</f>
        <v>73.607484532949456</v>
      </c>
      <c r="L1505" s="26">
        <f t="shared" si="114"/>
        <v>29487.06287264502</v>
      </c>
      <c r="M1505" s="10">
        <f t="shared" si="112"/>
        <v>25.424203848381534</v>
      </c>
      <c r="N1505" s="4">
        <f t="shared" si="113"/>
        <v>29.100029225042793</v>
      </c>
      <c r="O1505" s="36">
        <f>1/M1505-(G1505/100-(((E1505/E1385)^(1/10))-1))</f>
        <v>1.1314165557100103E-2</v>
      </c>
      <c r="P1505" s="48">
        <v>4.95</v>
      </c>
      <c r="R1505" s="30"/>
      <c r="S1505" s="30"/>
    </row>
    <row r="1506" spans="1:19" ht="13" x14ac:dyDescent="0.3">
      <c r="A1506" s="52" t="s">
        <v>1522</v>
      </c>
      <c r="B1506" s="6">
        <v>661.23</v>
      </c>
      <c r="C1506" s="1">
        <v>14.2133</v>
      </c>
      <c r="D1506" s="6">
        <v>34.619999999999997</v>
      </c>
      <c r="E1506" s="6">
        <v>156.6</v>
      </c>
      <c r="F1506" s="1">
        <f t="shared" si="115"/>
        <v>1996.3749999998861</v>
      </c>
      <c r="G1506" s="17">
        <v>6.74</v>
      </c>
      <c r="H1506" s="1">
        <f>B1506*$E$1867/E1506</f>
        <v>1415.0374780172415</v>
      </c>
      <c r="I1506" s="1">
        <f>C1506*$E$1867/E1506</f>
        <v>30.416575452266922</v>
      </c>
      <c r="J1506" s="26">
        <f t="shared" si="116"/>
        <v>567877.58250489424</v>
      </c>
      <c r="K1506" s="1">
        <f>D1506*$E$1867/E1506</f>
        <v>74.087076340996177</v>
      </c>
      <c r="L1506" s="26">
        <f t="shared" si="114"/>
        <v>29732.350175157568</v>
      </c>
      <c r="M1506" s="10">
        <f t="shared" si="112"/>
        <v>25.814043827699034</v>
      </c>
      <c r="N1506" s="4">
        <f t="shared" si="113"/>
        <v>29.519946822343094</v>
      </c>
      <c r="O1506" s="36">
        <f>1/M1506-(G1506/100-(((E1506/E1386)^(1/10))-1))</f>
        <v>8.3329475039432138E-3</v>
      </c>
      <c r="P1506" s="48">
        <v>5.0199999999999996</v>
      </c>
      <c r="R1506" s="30"/>
      <c r="S1506" s="30"/>
    </row>
    <row r="1507" spans="1:19" ht="13" x14ac:dyDescent="0.3">
      <c r="A1507" s="52" t="s">
        <v>1523</v>
      </c>
      <c r="B1507" s="6">
        <v>668.5</v>
      </c>
      <c r="C1507" s="1">
        <v>14.27</v>
      </c>
      <c r="D1507" s="6">
        <v>34.909999999999997</v>
      </c>
      <c r="E1507" s="6">
        <v>156.69999999999999</v>
      </c>
      <c r="F1507" s="1">
        <f t="shared" si="115"/>
        <v>1996.4583333332193</v>
      </c>
      <c r="G1507" s="17">
        <v>6.91</v>
      </c>
      <c r="H1507" s="1">
        <f>B1507*$E$1867/E1507</f>
        <v>1429.6823843331208</v>
      </c>
      <c r="I1507" s="1">
        <f>C1507*$E$1867/E1507</f>
        <v>30.518425765794511</v>
      </c>
      <c r="J1507" s="26">
        <f t="shared" si="116"/>
        <v>574775.4503235569</v>
      </c>
      <c r="K1507" s="1">
        <f>D1507*$E$1867/E1507</f>
        <v>74.660003047223995</v>
      </c>
      <c r="L1507" s="26">
        <f t="shared" si="114"/>
        <v>30015.57362871409</v>
      </c>
      <c r="M1507" s="10">
        <f t="shared" si="112"/>
        <v>25.966673558333852</v>
      </c>
      <c r="N1507" s="4">
        <f t="shared" si="113"/>
        <v>29.668053217608293</v>
      </c>
      <c r="O1507" s="36">
        <f>1/M1507-(G1507/100-(((E1507/E1387)^(1/10))-1))</f>
        <v>5.9017874206194268E-3</v>
      </c>
      <c r="P1507" s="48">
        <v>5.09</v>
      </c>
      <c r="R1507" s="30"/>
      <c r="S1507" s="30"/>
    </row>
    <row r="1508" spans="1:19" ht="13" x14ac:dyDescent="0.3">
      <c r="A1508" s="52" t="s">
        <v>1524</v>
      </c>
      <c r="B1508" s="6">
        <v>644.07000000000005</v>
      </c>
      <c r="C1508" s="1">
        <v>14.4</v>
      </c>
      <c r="D1508" s="6">
        <v>35.273299999999999</v>
      </c>
      <c r="E1508" s="6">
        <v>157</v>
      </c>
      <c r="F1508" s="1">
        <f t="shared" si="115"/>
        <v>1996.5416666665526</v>
      </c>
      <c r="G1508" s="17">
        <v>6.87</v>
      </c>
      <c r="H1508" s="1">
        <f>B1508*$E$1867/E1508</f>
        <v>1374.8033106210191</v>
      </c>
      <c r="I1508" s="1">
        <f>C1508*$E$1867/E1508</f>
        <v>30.737602547770702</v>
      </c>
      <c r="J1508" s="26">
        <f t="shared" si="116"/>
        <v>553742.1940165034</v>
      </c>
      <c r="K1508" s="1">
        <f>D1508*$E$1867/E1508</f>
        <v>75.29282471863057</v>
      </c>
      <c r="L1508" s="26">
        <f t="shared" si="114"/>
        <v>30326.38460447207</v>
      </c>
      <c r="M1508" s="10">
        <f t="shared" si="112"/>
        <v>24.858411332348396</v>
      </c>
      <c r="N1508" s="4">
        <f t="shared" si="113"/>
        <v>28.379278236095722</v>
      </c>
      <c r="O1508" s="36">
        <f>1/M1508-(G1508/100-(((E1508/E1388)^(1/10))-1))</f>
        <v>8.216982433031636E-3</v>
      </c>
      <c r="P1508" s="48">
        <v>5.15</v>
      </c>
      <c r="R1508" s="30"/>
      <c r="S1508" s="30"/>
    </row>
    <row r="1509" spans="1:19" ht="13" x14ac:dyDescent="0.3">
      <c r="A1509" s="52" t="s">
        <v>1525</v>
      </c>
      <c r="B1509" s="6">
        <v>662.68</v>
      </c>
      <c r="C1509" s="1">
        <v>14.53</v>
      </c>
      <c r="D1509" s="6">
        <v>35.636699999999998</v>
      </c>
      <c r="E1509" s="6">
        <v>157.30000000000001</v>
      </c>
      <c r="F1509" s="1">
        <f t="shared" si="115"/>
        <v>1996.6249999998859</v>
      </c>
      <c r="G1509" s="17">
        <v>6.64</v>
      </c>
      <c r="H1509" s="1">
        <f>B1509*$E$1867/E1509</f>
        <v>1411.8296291799106</v>
      </c>
      <c r="I1509" s="1">
        <f>C1509*$E$1867/E1509</f>
        <v>30.955943308963761</v>
      </c>
      <c r="J1509" s="26">
        <f t="shared" si="116"/>
        <v>569694.65963070153</v>
      </c>
      <c r="K1509" s="1">
        <f>D1509*$E$1867/E1509</f>
        <v>75.923445624125861</v>
      </c>
      <c r="L1509" s="26">
        <f t="shared" si="114"/>
        <v>30636.261358214255</v>
      </c>
      <c r="M1509" s="10">
        <f t="shared" si="112"/>
        <v>25.412529121454959</v>
      </c>
      <c r="N1509" s="4">
        <f t="shared" si="113"/>
        <v>28.988000554261866</v>
      </c>
      <c r="O1509" s="36">
        <f>1/M1509-(G1509/100-(((E1509/E1389)^(1/10))-1))</f>
        <v>9.6485459439073634E-3</v>
      </c>
      <c r="P1509" s="48">
        <v>5.05</v>
      </c>
      <c r="R1509" s="30"/>
      <c r="S1509" s="30"/>
    </row>
    <row r="1510" spans="1:19" ht="13" x14ac:dyDescent="0.3">
      <c r="A1510" s="52" t="s">
        <v>1526</v>
      </c>
      <c r="B1510" s="6">
        <v>674.88</v>
      </c>
      <c r="C1510" s="1">
        <v>14.66</v>
      </c>
      <c r="D1510" s="6">
        <v>36</v>
      </c>
      <c r="E1510" s="6">
        <v>157.80000000000001</v>
      </c>
      <c r="F1510" s="1">
        <f t="shared" si="115"/>
        <v>1996.7083333332191</v>
      </c>
      <c r="G1510" s="17">
        <v>6.83</v>
      </c>
      <c r="H1510" s="1">
        <f>B1510*$E$1867/E1510</f>
        <v>1433.2657079847907</v>
      </c>
      <c r="I1510" s="1">
        <f>C1510*$E$1867/E1510</f>
        <v>31.13394274397972</v>
      </c>
      <c r="J1510" s="26">
        <f t="shared" si="116"/>
        <v>579391.36057238874</v>
      </c>
      <c r="K1510" s="1">
        <f>D1510*$E$1867/E1510</f>
        <v>76.454429657794677</v>
      </c>
      <c r="L1510" s="26">
        <f t="shared" si="114"/>
        <v>30906.367029110359</v>
      </c>
      <c r="M1510" s="10">
        <f t="shared" si="112"/>
        <v>25.680115512876771</v>
      </c>
      <c r="N1510" s="4">
        <f t="shared" si="113"/>
        <v>29.268886878274564</v>
      </c>
      <c r="O1510" s="36">
        <f>1/M1510-(G1510/100-(((E1510/E1390)^(1/10))-1))</f>
        <v>7.1960872533973694E-3</v>
      </c>
      <c r="P1510" s="48">
        <v>5.09</v>
      </c>
      <c r="R1510" s="30"/>
      <c r="S1510" s="30"/>
    </row>
    <row r="1511" spans="1:19" ht="13" x14ac:dyDescent="0.3">
      <c r="A1511" s="52" t="s">
        <v>1527</v>
      </c>
      <c r="B1511" s="6">
        <v>701.46</v>
      </c>
      <c r="C1511" s="1">
        <v>14.74</v>
      </c>
      <c r="D1511" s="6">
        <v>36.909999999999997</v>
      </c>
      <c r="E1511" s="6">
        <v>158.30000000000001</v>
      </c>
      <c r="F1511" s="1">
        <f t="shared" si="115"/>
        <v>1996.7916666665524</v>
      </c>
      <c r="G1511" s="17">
        <v>6.53</v>
      </c>
      <c r="H1511" s="1">
        <f>B1511*$E$1867/E1511</f>
        <v>1485.0092095072646</v>
      </c>
      <c r="I1511" s="1">
        <f>C1511*$E$1867/E1511</f>
        <v>31.20496642451042</v>
      </c>
      <c r="J1511" s="26">
        <f t="shared" si="116"/>
        <v>601359.64942623931</v>
      </c>
      <c r="K1511" s="1">
        <f>D1511*$E$1867/E1511</f>
        <v>78.139437634238774</v>
      </c>
      <c r="L1511" s="26">
        <f t="shared" si="114"/>
        <v>31642.837311211602</v>
      </c>
      <c r="M1511" s="10">
        <f t="shared" si="112"/>
        <v>26.48346772089721</v>
      </c>
      <c r="N1511" s="4">
        <f t="shared" si="113"/>
        <v>30.158081995656218</v>
      </c>
      <c r="O1511" s="36">
        <f>1/M1511-(G1511/100-(((E1511/E1391)^(1/10))-1))</f>
        <v>9.2487861991769268E-3</v>
      </c>
      <c r="P1511" s="48">
        <v>4.99</v>
      </c>
      <c r="R1511" s="30"/>
      <c r="S1511" s="30"/>
    </row>
    <row r="1512" spans="1:19" ht="13" x14ac:dyDescent="0.3">
      <c r="A1512" s="52" t="s">
        <v>1528</v>
      </c>
      <c r="B1512" s="6">
        <v>735.67</v>
      </c>
      <c r="C1512" s="1">
        <v>14.82</v>
      </c>
      <c r="D1512" s="6">
        <v>37.82</v>
      </c>
      <c r="E1512" s="6">
        <v>158.6</v>
      </c>
      <c r="F1512" s="1">
        <f t="shared" si="115"/>
        <v>1996.8749999998856</v>
      </c>
      <c r="G1512" s="17">
        <v>6.2</v>
      </c>
      <c r="H1512" s="1">
        <f>B1512*$E$1867/E1512</f>
        <v>1554.4867129098361</v>
      </c>
      <c r="I1512" s="1">
        <f>C1512*$E$1867/E1512</f>
        <v>31.31498237704918</v>
      </c>
      <c r="J1512" s="26">
        <f t="shared" si="116"/>
        <v>630551.56557529967</v>
      </c>
      <c r="K1512" s="1">
        <f>D1512*$E$1867/E1512</f>
        <v>79.914482692307686</v>
      </c>
      <c r="L1512" s="26">
        <f t="shared" si="114"/>
        <v>32415.974839340779</v>
      </c>
      <c r="M1512" s="10">
        <f t="shared" si="112"/>
        <v>27.585612049012806</v>
      </c>
      <c r="N1512" s="4">
        <f t="shared" si="113"/>
        <v>31.383404541507335</v>
      </c>
      <c r="O1512" s="36">
        <f>1/M1512-(G1512/100-(((E1512/E1392)^(1/10))-1))</f>
        <v>1.1142512391144291E-2</v>
      </c>
      <c r="P1512" s="48">
        <v>5.03</v>
      </c>
      <c r="R1512" s="30"/>
      <c r="S1512" s="30"/>
    </row>
    <row r="1513" spans="1:19" ht="13" x14ac:dyDescent="0.3">
      <c r="A1513" s="52" t="s">
        <v>1529</v>
      </c>
      <c r="B1513" s="6">
        <v>743.25</v>
      </c>
      <c r="C1513" s="1">
        <v>14.9</v>
      </c>
      <c r="D1513" s="6">
        <v>38.729999999999997</v>
      </c>
      <c r="E1513" s="6">
        <v>158.6</v>
      </c>
      <c r="F1513" s="1">
        <f t="shared" si="115"/>
        <v>1996.9583333332189</v>
      </c>
      <c r="G1513" s="17">
        <v>6.3</v>
      </c>
      <c r="H1513" s="1">
        <f>B1513*$E$1867/E1513</f>
        <v>1570.503417796343</v>
      </c>
      <c r="I1513" s="1">
        <f>C1513*$E$1867/E1513</f>
        <v>31.484024117276167</v>
      </c>
      <c r="J1513" s="26">
        <f t="shared" si="116"/>
        <v>638112.72170189186</v>
      </c>
      <c r="K1513" s="1">
        <f>D1513*$E$1867/E1513</f>
        <v>81.837332487389659</v>
      </c>
      <c r="L1513" s="26">
        <f t="shared" si="114"/>
        <v>33251.403580913917</v>
      </c>
      <c r="M1513" s="10">
        <f t="shared" si="112"/>
        <v>27.72394616389397</v>
      </c>
      <c r="N1513" s="4">
        <f t="shared" si="113"/>
        <v>31.51068125837185</v>
      </c>
      <c r="O1513" s="36">
        <f>1/M1513-(G1513/100-(((E1513/E1393)^(1/10))-1))</f>
        <v>9.8677573517688619E-3</v>
      </c>
      <c r="P1513" s="48">
        <v>4.91</v>
      </c>
      <c r="R1513" s="30"/>
      <c r="S1513" s="30"/>
    </row>
    <row r="1514" spans="1:19" ht="13" x14ac:dyDescent="0.3">
      <c r="A1514" s="52" t="s">
        <v>1530</v>
      </c>
      <c r="B1514" s="6">
        <v>766.22</v>
      </c>
      <c r="C1514" s="1">
        <v>14.9533</v>
      </c>
      <c r="D1514" s="6">
        <v>39.2333</v>
      </c>
      <c r="E1514" s="6">
        <v>159.1</v>
      </c>
      <c r="F1514" s="1">
        <f t="shared" si="115"/>
        <v>1997.0416666665521</v>
      </c>
      <c r="G1514" s="17">
        <v>6.58</v>
      </c>
      <c r="H1514" s="1">
        <f>B1514*$E$1867/E1514</f>
        <v>1613.951408265242</v>
      </c>
      <c r="I1514" s="1">
        <f>C1514*$E$1867/E1514</f>
        <v>31.497350099465745</v>
      </c>
      <c r="J1514" s="26">
        <f t="shared" si="116"/>
        <v>656832.59209544782</v>
      </c>
      <c r="K1514" s="1">
        <f>D1514*$E$1867/E1514</f>
        <v>82.64028580028284</v>
      </c>
      <c r="L1514" s="26">
        <f t="shared" si="114"/>
        <v>33632.259841113948</v>
      </c>
      <c r="M1514" s="10">
        <f t="shared" si="112"/>
        <v>28.332870129950372</v>
      </c>
      <c r="N1514" s="4">
        <f t="shared" si="113"/>
        <v>32.170588658522369</v>
      </c>
      <c r="O1514" s="36">
        <f>1/M1514-(G1514/100-(((E1514/E1394)^(1/10))-1))</f>
        <v>5.9642245539042668E-3</v>
      </c>
      <c r="P1514" s="48">
        <v>5.03</v>
      </c>
      <c r="R1514" s="30"/>
      <c r="S1514" s="30"/>
    </row>
    <row r="1515" spans="1:19" ht="13" x14ac:dyDescent="0.3">
      <c r="A1515" s="52" t="s">
        <v>1531</v>
      </c>
      <c r="B1515" s="6">
        <v>798.39</v>
      </c>
      <c r="C1515" s="1">
        <v>15.0067</v>
      </c>
      <c r="D1515" s="6">
        <v>39.736699999999999</v>
      </c>
      <c r="E1515" s="6">
        <v>159.6</v>
      </c>
      <c r="F1515" s="1">
        <f t="shared" si="115"/>
        <v>1997.1249999998854</v>
      </c>
      <c r="G1515" s="17">
        <v>6.42</v>
      </c>
      <c r="H1515" s="1">
        <f>B1515*$E$1867/E1515</f>
        <v>1676.4451650845865</v>
      </c>
      <c r="I1515" s="1">
        <f>C1515*$E$1867/E1515</f>
        <v>31.510802563753135</v>
      </c>
      <c r="J1515" s="26">
        <f t="shared" si="116"/>
        <v>683334.45138706057</v>
      </c>
      <c r="K1515" s="1">
        <f>D1515*$E$1867/E1515</f>
        <v>83.438418055607769</v>
      </c>
      <c r="L1515" s="26">
        <f t="shared" si="114"/>
        <v>34010.265777918321</v>
      </c>
      <c r="M1515" s="10">
        <f t="shared" si="112"/>
        <v>29.265634883575956</v>
      </c>
      <c r="N1515" s="4">
        <f t="shared" si="113"/>
        <v>33.194645513975999</v>
      </c>
      <c r="O1515" s="36">
        <f>1/M1515-(G1515/100-(((E1515/E1395)^(1/10))-1))</f>
        <v>6.3923569015587184E-3</v>
      </c>
      <c r="P1515" s="48">
        <v>5.01</v>
      </c>
      <c r="R1515" s="30"/>
      <c r="S1515" s="30"/>
    </row>
    <row r="1516" spans="1:19" ht="13" x14ac:dyDescent="0.3">
      <c r="A1516" s="52" t="s">
        <v>1532</v>
      </c>
      <c r="B1516" s="6">
        <v>792.16</v>
      </c>
      <c r="C1516" s="1">
        <v>15.06</v>
      </c>
      <c r="D1516" s="6">
        <v>40.24</v>
      </c>
      <c r="E1516" s="6">
        <v>160</v>
      </c>
      <c r="F1516" s="1">
        <f t="shared" si="115"/>
        <v>1997.2083333332187</v>
      </c>
      <c r="G1516" s="17">
        <v>6.69</v>
      </c>
      <c r="H1516" s="1">
        <f>B1516*$E$1867/E1516</f>
        <v>1659.2051127499999</v>
      </c>
      <c r="I1516" s="1">
        <f>C1516*$E$1867/E1516</f>
        <v>31.543664156250003</v>
      </c>
      <c r="J1516" s="26">
        <f t="shared" si="116"/>
        <v>677378.70494106459</v>
      </c>
      <c r="K1516" s="1">
        <f>D1516*$E$1867/E1516</f>
        <v>84.284000375000005</v>
      </c>
      <c r="L1516" s="26">
        <f t="shared" si="114"/>
        <v>34409.36059234049</v>
      </c>
      <c r="M1516" s="10">
        <f t="shared" si="112"/>
        <v>28.802458591871659</v>
      </c>
      <c r="N1516" s="4">
        <f t="shared" si="113"/>
        <v>32.635485590380632</v>
      </c>
      <c r="O1516" s="36">
        <f>1/M1516-(G1516/100-(((E1516/E1396)^(1/10))-1))</f>
        <v>4.0379858495368931E-3</v>
      </c>
      <c r="P1516" s="48">
        <v>5.14</v>
      </c>
      <c r="R1516" s="30"/>
      <c r="S1516" s="30"/>
    </row>
    <row r="1517" spans="1:19" ht="13" x14ac:dyDescent="0.3">
      <c r="A1517" s="52" t="s">
        <v>1533</v>
      </c>
      <c r="B1517" s="6">
        <v>763.93</v>
      </c>
      <c r="C1517" s="1">
        <v>15.093299999999999</v>
      </c>
      <c r="D1517" s="6">
        <v>40.343299999999999</v>
      </c>
      <c r="E1517" s="6">
        <v>160.19999999999999</v>
      </c>
      <c r="F1517" s="1">
        <f t="shared" si="115"/>
        <v>1997.2916666665519</v>
      </c>
      <c r="G1517" s="17">
        <v>6.89</v>
      </c>
      <c r="H1517" s="1">
        <f>B1517*$E$1867/E1517</f>
        <v>1598.0788528870162</v>
      </c>
      <c r="I1517" s="1">
        <f>C1517*$E$1867/E1517</f>
        <v>31.57394466807116</v>
      </c>
      <c r="J1517" s="26">
        <f t="shared" si="116"/>
        <v>653497.79154847935</v>
      </c>
      <c r="K1517" s="1">
        <f>D1517*$E$1867/E1517</f>
        <v>84.394872024500629</v>
      </c>
      <c r="L1517" s="26">
        <f t="shared" si="114"/>
        <v>34511.352419433417</v>
      </c>
      <c r="M1517" s="10">
        <f t="shared" si="112"/>
        <v>27.585160338136543</v>
      </c>
      <c r="N1517" s="4">
        <f t="shared" si="113"/>
        <v>31.225851487505775</v>
      </c>
      <c r="O1517" s="36">
        <f>1/M1517-(G1517/100-(((E1517/E1397)^(1/10))-1))</f>
        <v>3.1464929094217678E-3</v>
      </c>
      <c r="P1517" s="48">
        <v>5.16</v>
      </c>
      <c r="R1517" s="30"/>
      <c r="S1517" s="30"/>
    </row>
    <row r="1518" spans="1:19" ht="13" x14ac:dyDescent="0.3">
      <c r="A1518" s="52" t="s">
        <v>1534</v>
      </c>
      <c r="B1518" s="6">
        <v>833.09</v>
      </c>
      <c r="C1518" s="1">
        <v>15.1267</v>
      </c>
      <c r="D1518" s="6">
        <v>40.4467</v>
      </c>
      <c r="E1518" s="6">
        <v>160.1</v>
      </c>
      <c r="F1518" s="1">
        <f t="shared" si="115"/>
        <v>1997.3749999998852</v>
      </c>
      <c r="G1518" s="17">
        <v>6.71</v>
      </c>
      <c r="H1518" s="1">
        <f>B1518*$E$1867/E1518</f>
        <v>1743.8444379918803</v>
      </c>
      <c r="I1518" s="1">
        <f>C1518*$E$1867/E1518</f>
        <v>31.663579757495313</v>
      </c>
      <c r="J1518" s="26">
        <f t="shared" si="116"/>
        <v>714184.30130878801</v>
      </c>
      <c r="K1518" s="1">
        <f>D1518*$E$1867/E1518</f>
        <v>84.664025291536547</v>
      </c>
      <c r="L1518" s="26">
        <f t="shared" si="114"/>
        <v>34673.802566044666</v>
      </c>
      <c r="M1518" s="10">
        <f t="shared" si="112"/>
        <v>29.928362224688783</v>
      </c>
      <c r="N1518" s="4">
        <f t="shared" si="113"/>
        <v>33.842453512139848</v>
      </c>
      <c r="O1518" s="36">
        <f>1/M1518-(G1518/100-(((E1518/E1398)^(1/10))-1))</f>
        <v>1.6766740896874202E-3</v>
      </c>
      <c r="P1518" s="48">
        <v>5.05</v>
      </c>
      <c r="R1518" s="30"/>
      <c r="S1518" s="30"/>
    </row>
    <row r="1519" spans="1:19" ht="13" x14ac:dyDescent="0.3">
      <c r="A1519" s="52" t="s">
        <v>1535</v>
      </c>
      <c r="B1519" s="6">
        <v>876.29</v>
      </c>
      <c r="C1519" s="1">
        <v>15.16</v>
      </c>
      <c r="D1519" s="6">
        <v>40.549999999999997</v>
      </c>
      <c r="E1519" s="6">
        <v>160.30000000000001</v>
      </c>
      <c r="F1519" s="1">
        <f t="shared" si="115"/>
        <v>1997.4583333332184</v>
      </c>
      <c r="G1519" s="17">
        <v>6.49</v>
      </c>
      <c r="H1519" s="1">
        <f>B1519*$E$1867/E1519</f>
        <v>1831.9831897847782</v>
      </c>
      <c r="I1519" s="1">
        <f>C1519*$E$1867/E1519</f>
        <v>31.693691765439794</v>
      </c>
      <c r="J1519" s="26">
        <f t="shared" si="116"/>
        <v>751362.83219189907</v>
      </c>
      <c r="K1519" s="1">
        <f>D1519*$E$1867/E1519</f>
        <v>84.774353633811586</v>
      </c>
      <c r="L1519" s="26">
        <f t="shared" si="114"/>
        <v>34769.040894431644</v>
      </c>
      <c r="M1519" s="10">
        <f t="shared" si="112"/>
        <v>31.256560616381265</v>
      </c>
      <c r="N1519" s="4">
        <f t="shared" si="113"/>
        <v>35.305910855546138</v>
      </c>
      <c r="O1519" s="36">
        <f>1/M1519-(G1519/100-(((E1519/E1399)^(1/10))-1))</f>
        <v>2.2205915643268848E-3</v>
      </c>
      <c r="P1519" s="48">
        <v>4.93</v>
      </c>
      <c r="R1519" s="30"/>
      <c r="S1519" s="30"/>
    </row>
    <row r="1520" spans="1:19" ht="13" x14ac:dyDescent="0.3">
      <c r="A1520" s="52" t="s">
        <v>1536</v>
      </c>
      <c r="B1520" s="6">
        <v>925.29</v>
      </c>
      <c r="C1520" s="1">
        <v>15.216699999999999</v>
      </c>
      <c r="D1520" s="6">
        <v>40.58</v>
      </c>
      <c r="E1520" s="6">
        <v>160.5</v>
      </c>
      <c r="F1520" s="1">
        <f t="shared" si="115"/>
        <v>1997.5416666665517</v>
      </c>
      <c r="G1520" s="17">
        <v>6.22</v>
      </c>
      <c r="H1520" s="1">
        <f>B1520*$E$1867/E1520</f>
        <v>1932.0127263084112</v>
      </c>
      <c r="I1520" s="1">
        <f>C1520*$E$1867/E1520</f>
        <v>31.772588110124612</v>
      </c>
      <c r="J1520" s="26">
        <f t="shared" si="116"/>
        <v>793474.50190833572</v>
      </c>
      <c r="K1520" s="1">
        <f>D1520*$E$1867/E1520</f>
        <v>84.731356043613701</v>
      </c>
      <c r="L1520" s="26">
        <f t="shared" si="114"/>
        <v>34799.030884847198</v>
      </c>
      <c r="M1520" s="10">
        <f t="shared" si="112"/>
        <v>32.766637689669935</v>
      </c>
      <c r="N1520" s="4">
        <f t="shared" si="113"/>
        <v>36.970389812777448</v>
      </c>
      <c r="O1520" s="36">
        <f>1/M1520-(G1520/100-(((E1520/E1400)^(1/10))-1))</f>
        <v>3.3019924737657282E-3</v>
      </c>
      <c r="P1520" s="48">
        <v>5.05</v>
      </c>
      <c r="R1520" s="30"/>
      <c r="S1520" s="30"/>
    </row>
    <row r="1521" spans="1:19" ht="13" x14ac:dyDescent="0.3">
      <c r="A1521" s="52" t="s">
        <v>1537</v>
      </c>
      <c r="B1521" s="6">
        <v>927.24</v>
      </c>
      <c r="C1521" s="1">
        <v>15.273300000000001</v>
      </c>
      <c r="D1521" s="6">
        <v>40.61</v>
      </c>
      <c r="E1521" s="6">
        <v>160.80000000000001</v>
      </c>
      <c r="F1521" s="1">
        <f t="shared" si="115"/>
        <v>1997.6249999998849</v>
      </c>
      <c r="G1521" s="17">
        <v>6.3</v>
      </c>
      <c r="H1521" s="1">
        <f>B1521*$E$1867/E1521</f>
        <v>1932.4722438432836</v>
      </c>
      <c r="I1521" s="1">
        <f>C1521*$E$1867/E1521</f>
        <v>31.831271646921643</v>
      </c>
      <c r="J1521" s="26">
        <f t="shared" si="116"/>
        <v>794752.6459985571</v>
      </c>
      <c r="K1521" s="1">
        <f>D1521*$E$1867/E1521</f>
        <v>84.635798523009939</v>
      </c>
      <c r="L1521" s="26">
        <f t="shared" si="114"/>
        <v>34807.498548381649</v>
      </c>
      <c r="M1521" s="10">
        <f t="shared" si="112"/>
        <v>32.586283486713171</v>
      </c>
      <c r="N1521" s="4">
        <f t="shared" si="113"/>
        <v>36.726043656284517</v>
      </c>
      <c r="O1521" s="36">
        <f>1/M1521-(G1521/100-(((E1521/E1401)^(1/10))-1))</f>
        <v>2.3199860163869816E-3</v>
      </c>
      <c r="P1521" s="48">
        <v>5.14</v>
      </c>
      <c r="R1521" s="30"/>
      <c r="S1521" s="30"/>
    </row>
    <row r="1522" spans="1:19" ht="13" x14ac:dyDescent="0.3">
      <c r="A1522" s="52" t="s">
        <v>1538</v>
      </c>
      <c r="B1522" s="6">
        <v>937.02</v>
      </c>
      <c r="C1522" s="1">
        <v>15.33</v>
      </c>
      <c r="D1522" s="6">
        <v>40.64</v>
      </c>
      <c r="E1522" s="6">
        <v>161.19999999999999</v>
      </c>
      <c r="F1522" s="1">
        <f t="shared" si="115"/>
        <v>1997.7083333332182</v>
      </c>
      <c r="G1522" s="17">
        <v>6.21</v>
      </c>
      <c r="H1522" s="1">
        <f>B1522*$E$1867/E1522</f>
        <v>1948.0090679590571</v>
      </c>
      <c r="I1522" s="1">
        <f>C1522*$E$1867/E1522</f>
        <v>31.870161802109184</v>
      </c>
      <c r="J1522" s="26">
        <f t="shared" si="116"/>
        <v>802234.60254801961</v>
      </c>
      <c r="K1522" s="1">
        <f>D1522*$E$1867/E1522</f>
        <v>84.488152357320104</v>
      </c>
      <c r="L1522" s="26">
        <f t="shared" si="114"/>
        <v>34794.149802086955</v>
      </c>
      <c r="M1522" s="10">
        <f t="shared" si="112"/>
        <v>32.666581341708621</v>
      </c>
      <c r="N1522" s="4">
        <f t="shared" si="113"/>
        <v>36.775406598013163</v>
      </c>
      <c r="O1522" s="36">
        <f>1/M1522-(G1522/100-(((E1522/E1402)^(1/10))-1))</f>
        <v>2.8604217209560329E-3</v>
      </c>
      <c r="P1522" s="48">
        <v>4.95</v>
      </c>
      <c r="R1522" s="30"/>
      <c r="S1522" s="30"/>
    </row>
    <row r="1523" spans="1:19" ht="13" x14ac:dyDescent="0.3">
      <c r="A1523" s="52" t="s">
        <v>1539</v>
      </c>
      <c r="B1523" s="6">
        <v>951.16</v>
      </c>
      <c r="C1523" s="1">
        <v>15.386699999999999</v>
      </c>
      <c r="D1523" s="6">
        <v>40.333300000000001</v>
      </c>
      <c r="E1523" s="6">
        <v>161.6</v>
      </c>
      <c r="F1523" s="1">
        <f t="shared" si="115"/>
        <v>1997.7916666665515</v>
      </c>
      <c r="G1523" s="17">
        <v>6.03</v>
      </c>
      <c r="H1523" s="1">
        <f>B1523*$E$1867/E1523</f>
        <v>1972.5107227103961</v>
      </c>
      <c r="I1523" s="1">
        <f>C1523*$E$1867/E1523</f>
        <v>31.908859431775987</v>
      </c>
      <c r="J1523" s="26">
        <f t="shared" si="116"/>
        <v>813420.00968152215</v>
      </c>
      <c r="K1523" s="1">
        <f>D1523*$E$1867/E1523</f>
        <v>83.64299038258045</v>
      </c>
      <c r="L1523" s="26">
        <f t="shared" si="114"/>
        <v>34492.528361671786</v>
      </c>
      <c r="M1523" s="10">
        <f t="shared" si="112"/>
        <v>32.901498179798111</v>
      </c>
      <c r="N1523" s="4">
        <f t="shared" si="113"/>
        <v>36.998076390873592</v>
      </c>
      <c r="O1523" s="36">
        <f>1/M1523-(G1523/100-(((E1523/E1403)^(1/10))-1))</f>
        <v>4.4287152217844898E-3</v>
      </c>
      <c r="P1523" s="48">
        <v>4.97</v>
      </c>
      <c r="R1523" s="30"/>
      <c r="S1523" s="30"/>
    </row>
    <row r="1524" spans="1:19" ht="13" x14ac:dyDescent="0.3">
      <c r="A1524" s="52" t="s">
        <v>1540</v>
      </c>
      <c r="B1524" s="6">
        <v>938.92</v>
      </c>
      <c r="C1524" s="1">
        <v>15.443300000000001</v>
      </c>
      <c r="D1524" s="6">
        <v>40.026699999999998</v>
      </c>
      <c r="E1524" s="6">
        <v>161.5</v>
      </c>
      <c r="F1524" s="1">
        <f t="shared" si="115"/>
        <v>1997.8749999998847</v>
      </c>
      <c r="G1524" s="17">
        <v>5.88</v>
      </c>
      <c r="H1524" s="1">
        <f>B1524*$E$1867/E1524</f>
        <v>1948.3331252631576</v>
      </c>
      <c r="I1524" s="1">
        <f>C1524*$E$1867/E1524</f>
        <v>32.046066707894738</v>
      </c>
      <c r="J1524" s="26">
        <f t="shared" si="116"/>
        <v>804550.95832958783</v>
      </c>
      <c r="K1524" s="1">
        <f>D1524*$E$1867/E1524</f>
        <v>83.058562502631574</v>
      </c>
      <c r="L1524" s="26">
        <f t="shared" si="114"/>
        <v>34298.470416830947</v>
      </c>
      <c r="M1524" s="10">
        <f t="shared" si="112"/>
        <v>32.336600532812668</v>
      </c>
      <c r="N1524" s="4">
        <f t="shared" si="113"/>
        <v>36.323017872735988</v>
      </c>
      <c r="O1524" s="36">
        <f>1/M1524-(G1524/100-(((E1524/E1404)^(1/10))-1))</f>
        <v>6.3059891455734887E-3</v>
      </c>
      <c r="P1524" s="48">
        <v>5.14</v>
      </c>
      <c r="R1524" s="30"/>
      <c r="S1524" s="30"/>
    </row>
    <row r="1525" spans="1:19" ht="13" x14ac:dyDescent="0.3">
      <c r="A1525" s="52" t="s">
        <v>1541</v>
      </c>
      <c r="B1525" s="6">
        <v>962.37</v>
      </c>
      <c r="C1525" s="1">
        <v>15.5</v>
      </c>
      <c r="D1525" s="6">
        <v>39.72</v>
      </c>
      <c r="E1525" s="6">
        <v>161.30000000000001</v>
      </c>
      <c r="F1525" s="1">
        <f t="shared" si="115"/>
        <v>1997.958333333218</v>
      </c>
      <c r="G1525" s="17">
        <v>5.81</v>
      </c>
      <c r="H1525" s="1">
        <f>B1525*$E$1867/E1525</f>
        <v>1999.4698502324859</v>
      </c>
      <c r="I1525" s="1">
        <f>C1525*$E$1867/E1525</f>
        <v>32.203604308741475</v>
      </c>
      <c r="J1525" s="26">
        <f t="shared" si="116"/>
        <v>826775.7106460497</v>
      </c>
      <c r="K1525" s="1">
        <f>D1525*$E$1867/E1525</f>
        <v>82.524333106013628</v>
      </c>
      <c r="L1525" s="26">
        <f t="shared" si="114"/>
        <v>34123.602384593338</v>
      </c>
      <c r="M1525" s="10">
        <f t="shared" si="112"/>
        <v>33.030789042905425</v>
      </c>
      <c r="N1525" s="4">
        <f t="shared" si="113"/>
        <v>37.061292194911459</v>
      </c>
      <c r="O1525" s="36">
        <f>1/M1525-(G1525/100-(((E1525/E1405)^(1/10))-1))</f>
        <v>6.2279194336666566E-3</v>
      </c>
      <c r="P1525" s="48">
        <v>5.16</v>
      </c>
      <c r="R1525" s="30"/>
      <c r="S1525" s="30"/>
    </row>
    <row r="1526" spans="1:19" ht="13" x14ac:dyDescent="0.3">
      <c r="A1526" s="52" t="s">
        <v>1542</v>
      </c>
      <c r="B1526" s="6">
        <v>963.36</v>
      </c>
      <c r="C1526" s="1">
        <v>15.55</v>
      </c>
      <c r="D1526" s="6">
        <v>39.659999999999997</v>
      </c>
      <c r="E1526" s="6">
        <v>161.6</v>
      </c>
      <c r="F1526" s="1">
        <f t="shared" si="115"/>
        <v>1998.0416666665512</v>
      </c>
      <c r="G1526" s="17">
        <v>5.54</v>
      </c>
      <c r="H1526" s="1">
        <f>B1526*$E$1867/E1526</f>
        <v>1997.811020049505</v>
      </c>
      <c r="I1526" s="1">
        <f>C1526*$E$1867/E1526</f>
        <v>32.247510133044557</v>
      </c>
      <c r="J1526" s="26">
        <f t="shared" si="116"/>
        <v>827200.977209631</v>
      </c>
      <c r="K1526" s="1">
        <f>D1526*$E$1867/E1526</f>
        <v>82.246704300742579</v>
      </c>
      <c r="L1526" s="26">
        <f t="shared" si="114"/>
        <v>34054.549447905214</v>
      </c>
      <c r="M1526" s="10">
        <f t="shared" si="112"/>
        <v>32.859968415052229</v>
      </c>
      <c r="N1526" s="4">
        <f t="shared" si="113"/>
        <v>36.828633533555873</v>
      </c>
      <c r="O1526" s="36">
        <f>1/M1526-(G1526/100-(((E1526/E1406)^(1/10))-1))</f>
        <v>9.0089785032593343E-3</v>
      </c>
      <c r="P1526" s="48">
        <v>5.04</v>
      </c>
      <c r="R1526" s="30"/>
      <c r="S1526" s="30"/>
    </row>
    <row r="1527" spans="1:19" ht="13" x14ac:dyDescent="0.3">
      <c r="A1527" s="52" t="s">
        <v>1543</v>
      </c>
      <c r="B1527" s="6">
        <v>1023.74</v>
      </c>
      <c r="C1527" s="1">
        <v>15.6</v>
      </c>
      <c r="D1527" s="6">
        <v>39.6</v>
      </c>
      <c r="E1527" s="6">
        <v>161.9</v>
      </c>
      <c r="F1527" s="1">
        <f t="shared" si="115"/>
        <v>1998.1249999998845</v>
      </c>
      <c r="G1527" s="17">
        <v>5.57</v>
      </c>
      <c r="H1527" s="1">
        <f>B1527*$E$1867/E1527</f>
        <v>2119.092794533663</v>
      </c>
      <c r="I1527" s="1">
        <f>C1527*$E$1867/E1527</f>
        <v>32.291253242742428</v>
      </c>
      <c r="J1527" s="26">
        <f t="shared" si="116"/>
        <v>878532.33322628564</v>
      </c>
      <c r="K1527" s="1">
        <f>D1527*$E$1867/E1527</f>
        <v>81.970104385423099</v>
      </c>
      <c r="L1527" s="26">
        <f t="shared" si="114"/>
        <v>33983.121100827266</v>
      </c>
      <c r="M1527" s="10">
        <f t="shared" si="112"/>
        <v>34.709677782269978</v>
      </c>
      <c r="N1527" s="4">
        <f t="shared" si="113"/>
        <v>38.856044080604242</v>
      </c>
      <c r="O1527" s="36">
        <f>1/M1527-(G1527/100-(((E1527/E1407)^(1/10))-1))</f>
        <v>7.0112433373187739E-3</v>
      </c>
      <c r="P1527" s="48">
        <v>5.09</v>
      </c>
      <c r="R1527" s="30"/>
      <c r="S1527" s="30"/>
    </row>
    <row r="1528" spans="1:19" ht="13" x14ac:dyDescent="0.3">
      <c r="A1528" s="52" t="s">
        <v>1544</v>
      </c>
      <c r="B1528" s="6">
        <v>1076.83</v>
      </c>
      <c r="C1528" s="1">
        <v>15.64</v>
      </c>
      <c r="D1528" s="6">
        <v>39.54</v>
      </c>
      <c r="E1528" s="6">
        <v>162.19999999999999</v>
      </c>
      <c r="F1528" s="1">
        <f t="shared" si="115"/>
        <v>1998.2083333332178</v>
      </c>
      <c r="G1528" s="17">
        <v>5.65</v>
      </c>
      <c r="H1528" s="1">
        <f>B1528*$E$1867/E1528</f>
        <v>2224.8638899969174</v>
      </c>
      <c r="I1528" s="1">
        <f>C1528*$E$1867/E1528</f>
        <v>32.314173304562267</v>
      </c>
      <c r="J1528" s="26">
        <f t="shared" si="116"/>
        <v>923499.25556690502</v>
      </c>
      <c r="K1528" s="1">
        <f>D1528*$E$1867/E1528</f>
        <v>81.694527651048091</v>
      </c>
      <c r="L1528" s="26">
        <f t="shared" si="114"/>
        <v>33909.865591704751</v>
      </c>
      <c r="M1528" s="10">
        <f t="shared" si="112"/>
        <v>36.29692773642509</v>
      </c>
      <c r="N1528" s="4">
        <f t="shared" si="113"/>
        <v>40.583259011780505</v>
      </c>
      <c r="O1528" s="36">
        <f>1/M1528-(G1528/100-(((E1528/E1408)^(1/10))-1))</f>
        <v>4.6981217356415333E-3</v>
      </c>
      <c r="P1528" s="48">
        <v>5.03</v>
      </c>
      <c r="R1528" s="30"/>
      <c r="S1528" s="30"/>
    </row>
    <row r="1529" spans="1:19" ht="13" x14ac:dyDescent="0.3">
      <c r="A1529" s="52" t="s">
        <v>1545</v>
      </c>
      <c r="B1529" s="6">
        <v>1112.2</v>
      </c>
      <c r="C1529" s="1">
        <v>15.75</v>
      </c>
      <c r="D1529" s="6">
        <v>39.35</v>
      </c>
      <c r="E1529" s="6">
        <v>162.5</v>
      </c>
      <c r="F1529" s="1">
        <f>F1528+1/12</f>
        <v>1998.291666666551</v>
      </c>
      <c r="G1529" s="17">
        <v>5.64</v>
      </c>
      <c r="H1529" s="1">
        <f>B1529*$E$1867/E1529</f>
        <v>2293.7003264615382</v>
      </c>
      <c r="I1529" s="1">
        <f>C1529*$E$1867/E1529</f>
        <v>32.481370384615381</v>
      </c>
      <c r="J1529" s="26">
        <f t="shared" si="116"/>
        <v>953195.50271360716</v>
      </c>
      <c r="K1529" s="1">
        <f>D1529*$E$1867/E1529</f>
        <v>81.151868230769239</v>
      </c>
      <c r="L1529" s="26">
        <f t="shared" si="114"/>
        <v>33724.368847132217</v>
      </c>
      <c r="M1529" s="10">
        <f t="shared" si="112"/>
        <v>37.276934043028753</v>
      </c>
      <c r="N1529" s="4">
        <f t="shared" si="113"/>
        <v>41.62739772814114</v>
      </c>
      <c r="O1529" s="36">
        <f>1/M1529-(G1529/100-(((E1529/E1409)^(1/10))-1))</f>
        <v>3.7338961830540827E-3</v>
      </c>
      <c r="P1529" s="48">
        <v>4.95</v>
      </c>
      <c r="R1529" s="30"/>
      <c r="S1529" s="30"/>
    </row>
    <row r="1530" spans="1:19" ht="13" x14ac:dyDescent="0.3">
      <c r="A1530" s="52" t="s">
        <v>1546</v>
      </c>
      <c r="B1530" s="6">
        <v>1108.42</v>
      </c>
      <c r="C1530" s="1">
        <v>15.85</v>
      </c>
      <c r="D1530" s="6">
        <v>39.159999999999997</v>
      </c>
      <c r="E1530" s="6">
        <v>162.80000000000001</v>
      </c>
      <c r="F1530" s="1">
        <f t="shared" si="115"/>
        <v>1998.3749999998843</v>
      </c>
      <c r="G1530" s="17">
        <v>5.65</v>
      </c>
      <c r="H1530" s="1">
        <f>B1530*$E$1867/E1530</f>
        <v>2281.6924422911547</v>
      </c>
      <c r="I1530" s="1">
        <f>C1530*$E$1867/E1530</f>
        <v>32.627366170147418</v>
      </c>
      <c r="J1530" s="26">
        <f t="shared" si="116"/>
        <v>949335.28921436728</v>
      </c>
      <c r="K1530" s="1">
        <f>D1530*$E$1867/E1530</f>
        <v>80.611208783783766</v>
      </c>
      <c r="L1530" s="26">
        <f t="shared" si="114"/>
        <v>33539.605858460345</v>
      </c>
      <c r="M1530" s="10">
        <f t="shared" ref="M1530:M1593" si="117">H1530/AVERAGE(K1410:K1529)</f>
        <v>36.956598518968995</v>
      </c>
      <c r="N1530" s="4">
        <f t="shared" ref="N1530:N1593" si="118">J1530/AVERAGE(L1410:L1529)</f>
        <v>41.218219323965236</v>
      </c>
      <c r="O1530" s="36">
        <f>1/M1530-(G1530/100-(((E1530/E1410)^(1/10))-1))</f>
        <v>3.7046597965648236E-3</v>
      </c>
      <c r="P1530" s="48">
        <v>5</v>
      </c>
      <c r="R1530" s="30"/>
      <c r="S1530" s="30"/>
    </row>
    <row r="1531" spans="1:19" ht="13" x14ac:dyDescent="0.3">
      <c r="A1531" s="52" t="s">
        <v>1547</v>
      </c>
      <c r="B1531" s="6">
        <v>1108.3900000000001</v>
      </c>
      <c r="C1531" s="1">
        <v>15.95</v>
      </c>
      <c r="D1531" s="6">
        <v>38.97</v>
      </c>
      <c r="E1531" s="6">
        <v>163</v>
      </c>
      <c r="F1531" s="1">
        <f t="shared" si="115"/>
        <v>1998.4583333332175</v>
      </c>
      <c r="G1531" s="17">
        <v>5.5</v>
      </c>
      <c r="H1531" s="1">
        <f>B1531*$E$1867/E1531</f>
        <v>2278.831140168712</v>
      </c>
      <c r="I1531" s="1">
        <f>C1531*$E$1867/E1531</f>
        <v>32.792930904907976</v>
      </c>
      <c r="J1531" s="26">
        <f t="shared" si="116"/>
        <v>949281.80061516911</v>
      </c>
      <c r="K1531" s="1">
        <f>D1531*$E$1867/E1531</f>
        <v>80.12166253067484</v>
      </c>
      <c r="L1531" s="26">
        <f t="shared" si="114"/>
        <v>33375.898167588246</v>
      </c>
      <c r="M1531" s="10">
        <f t="shared" si="117"/>
        <v>36.802293460092024</v>
      </c>
      <c r="N1531" s="4">
        <f t="shared" si="118"/>
        <v>40.994341261980487</v>
      </c>
      <c r="O1531" s="36">
        <f>1/M1531-(G1531/100-(((E1531/E1411)^(1/10))-1))</f>
        <v>5.0062995590903943E-3</v>
      </c>
      <c r="P1531" s="48">
        <v>4.9800000000000004</v>
      </c>
      <c r="R1531" s="30"/>
      <c r="S1531" s="30"/>
    </row>
    <row r="1532" spans="1:19" ht="13" x14ac:dyDescent="0.3">
      <c r="A1532" s="52" t="s">
        <v>1548</v>
      </c>
      <c r="B1532" s="6">
        <v>1156.58</v>
      </c>
      <c r="C1532" s="1">
        <v>16.0167</v>
      </c>
      <c r="D1532" s="6">
        <v>38.676699999999997</v>
      </c>
      <c r="E1532" s="6">
        <v>163.19999999999999</v>
      </c>
      <c r="F1532" s="1">
        <f t="shared" si="115"/>
        <v>1998.5416666665508</v>
      </c>
      <c r="G1532" s="17">
        <v>5.46</v>
      </c>
      <c r="H1532" s="1">
        <f>B1532*$E$1867/E1532</f>
        <v>2374.9948630208332</v>
      </c>
      <c r="I1532" s="1">
        <f>C1532*$E$1867/E1532</f>
        <v>32.889709507812505</v>
      </c>
      <c r="J1532" s="26">
        <f t="shared" si="116"/>
        <v>990481.98897046316</v>
      </c>
      <c r="K1532" s="1">
        <f>D1532*$E$1867/E1532</f>
        <v>79.421193361979164</v>
      </c>
      <c r="L1532" s="26">
        <f t="shared" si="114"/>
        <v>33122.287038349197</v>
      </c>
      <c r="M1532" s="10">
        <f t="shared" si="117"/>
        <v>38.25964508524855</v>
      </c>
      <c r="N1532" s="4">
        <f t="shared" si="118"/>
        <v>42.56102495570422</v>
      </c>
      <c r="O1532" s="36">
        <f>1/M1532-(G1532/100-(((E1532/E1412)^(1/10))-1))</f>
        <v>4.0612600659240931E-3</v>
      </c>
      <c r="P1532" s="48">
        <v>4.96</v>
      </c>
      <c r="R1532" s="30"/>
      <c r="S1532" s="30"/>
    </row>
    <row r="1533" spans="1:19" ht="13" x14ac:dyDescent="0.3">
      <c r="A1533" s="52" t="s">
        <v>1549</v>
      </c>
      <c r="B1533" s="6">
        <v>1074.6199999999999</v>
      </c>
      <c r="C1533" s="1">
        <v>16.083300000000001</v>
      </c>
      <c r="D1533" s="6">
        <v>38.383299999999998</v>
      </c>
      <c r="E1533" s="6">
        <v>163.4</v>
      </c>
      <c r="F1533" s="1">
        <f t="shared" si="115"/>
        <v>1998.624999999884</v>
      </c>
      <c r="G1533" s="17">
        <v>5.34</v>
      </c>
      <c r="H1533" s="1">
        <f>B1533*$E$1867/E1533</f>
        <v>2203.9920205324352</v>
      </c>
      <c r="I1533" s="1">
        <f>C1533*$E$1867/E1533</f>
        <v>32.986046103580172</v>
      </c>
      <c r="J1533" s="26">
        <f t="shared" si="116"/>
        <v>920312.33747791429</v>
      </c>
      <c r="K1533" s="1">
        <f>D1533*$E$1867/E1533</f>
        <v>78.722233833078334</v>
      </c>
      <c r="L1533" s="26">
        <f t="shared" si="114"/>
        <v>32871.735630377283</v>
      </c>
      <c r="M1533" s="10">
        <f t="shared" si="117"/>
        <v>35.423401024878316</v>
      </c>
      <c r="N1533" s="4">
        <f t="shared" si="118"/>
        <v>39.357953737660544</v>
      </c>
      <c r="O1533" s="36">
        <f>1/M1533-(G1533/100-(((E1533/E1413)^(1/10))-1))</f>
        <v>7.0457419884922441E-3</v>
      </c>
      <c r="P1533" s="48">
        <v>4.9000000000000004</v>
      </c>
      <c r="R1533" s="30"/>
      <c r="S1533" s="30"/>
    </row>
    <row r="1534" spans="1:19" ht="13" x14ac:dyDescent="0.3">
      <c r="A1534" s="52" t="s">
        <v>1550</v>
      </c>
      <c r="B1534" s="6">
        <v>1020.64</v>
      </c>
      <c r="C1534" s="1">
        <v>16.14</v>
      </c>
      <c r="D1534" s="6">
        <v>38.090000000000003</v>
      </c>
      <c r="E1534" s="6">
        <v>163.6</v>
      </c>
      <c r="F1534" s="1">
        <f t="shared" si="115"/>
        <v>1998.7083333332173</v>
      </c>
      <c r="G1534" s="17">
        <v>4.8099999999999996</v>
      </c>
      <c r="H1534" s="1">
        <f>B1534*$E$1867/E1534</f>
        <v>2090.7227088019558</v>
      </c>
      <c r="I1534" s="1">
        <f>C1534*$E$1867/E1534</f>
        <v>33.061867573349637</v>
      </c>
      <c r="J1534" s="26">
        <f t="shared" si="116"/>
        <v>874165.37307119323</v>
      </c>
      <c r="K1534" s="1">
        <f>D1534*$E$1867/E1534</f>
        <v>78.025188095965788</v>
      </c>
      <c r="L1534" s="26">
        <f t="shared" si="114"/>
        <v>32623.607795385011</v>
      </c>
      <c r="M1534" s="10">
        <f t="shared" si="117"/>
        <v>33.532356980834898</v>
      </c>
      <c r="N1534" s="4">
        <f t="shared" si="118"/>
        <v>37.214834941350446</v>
      </c>
      <c r="O1534" s="36">
        <f>1/M1534-(G1534/100-(((E1534/E1414)^(1/10))-1))</f>
        <v>1.3372572807667803E-2</v>
      </c>
      <c r="P1534" s="48">
        <v>4.6100000000000003</v>
      </c>
      <c r="R1534" s="30"/>
      <c r="S1534" s="30"/>
    </row>
    <row r="1535" spans="1:19" ht="13" x14ac:dyDescent="0.3">
      <c r="A1535" s="52" t="s">
        <v>1551</v>
      </c>
      <c r="B1535" s="6">
        <v>1032.47</v>
      </c>
      <c r="C1535" s="1">
        <v>16.166699999999999</v>
      </c>
      <c r="D1535" s="6">
        <v>37.963299999999997</v>
      </c>
      <c r="E1535" s="6">
        <v>164</v>
      </c>
      <c r="F1535" s="1">
        <f t="shared" si="115"/>
        <v>1998.7916666665506</v>
      </c>
      <c r="G1535" s="17">
        <v>4.53</v>
      </c>
      <c r="H1535" s="1">
        <f>B1535*$E$1867/E1535</f>
        <v>2109.7973589481708</v>
      </c>
      <c r="I1535" s="1">
        <f>C1535*$E$1867/E1535</f>
        <v>33.03578889740853</v>
      </c>
      <c r="J1535" s="26">
        <f t="shared" si="116"/>
        <v>883291.86338709597</v>
      </c>
      <c r="K1535" s="1">
        <f>D1535*$E$1867/E1535</f>
        <v>77.575978069054869</v>
      </c>
      <c r="L1535" s="26">
        <f t="shared" si="114"/>
        <v>32478.109772994212</v>
      </c>
      <c r="M1535" s="10">
        <f t="shared" si="117"/>
        <v>33.773102879048146</v>
      </c>
      <c r="N1535" s="4">
        <f t="shared" si="118"/>
        <v>37.440000309890841</v>
      </c>
      <c r="O1535" s="36">
        <f>1/M1535-(G1535/100-(((E1535/E1415)^(1/10))-1))</f>
        <v>1.5868041795129757E-2</v>
      </c>
      <c r="P1535" s="48">
        <v>3.96</v>
      </c>
      <c r="R1535" s="30"/>
      <c r="S1535" s="30"/>
    </row>
    <row r="1536" spans="1:19" ht="13" x14ac:dyDescent="0.3">
      <c r="A1536" s="52" t="s">
        <v>1552</v>
      </c>
      <c r="B1536" s="6">
        <v>1144.43</v>
      </c>
      <c r="C1536" s="1">
        <v>16.183299999999999</v>
      </c>
      <c r="D1536" s="6">
        <v>37.8367</v>
      </c>
      <c r="E1536" s="6">
        <v>164</v>
      </c>
      <c r="F1536" s="1">
        <f t="shared" si="115"/>
        <v>1998.8749999998838</v>
      </c>
      <c r="G1536" s="17">
        <v>4.83</v>
      </c>
      <c r="H1536" s="1">
        <f>B1536*$E$1867/E1536</f>
        <v>2338.5816454725614</v>
      </c>
      <c r="I1536" s="1">
        <f>C1536*$E$1867/E1536</f>
        <v>33.069710111737805</v>
      </c>
      <c r="J1536" s="26">
        <f t="shared" si="116"/>
        <v>980228.88992786605</v>
      </c>
      <c r="K1536" s="1">
        <f>D1536*$E$1867/E1536</f>
        <v>77.317277723628052</v>
      </c>
      <c r="L1536" s="26">
        <f t="shared" si="114"/>
        <v>32407.946697948919</v>
      </c>
      <c r="M1536" s="10">
        <f t="shared" si="117"/>
        <v>37.369391883920954</v>
      </c>
      <c r="N1536" s="4">
        <f t="shared" si="118"/>
        <v>41.375577000544361</v>
      </c>
      <c r="O1536" s="36">
        <f>1/M1536-(G1536/100-(((E1536/E1416)^(1/10))-1))</f>
        <v>9.9327678693949435E-3</v>
      </c>
      <c r="P1536" s="48">
        <v>4.41</v>
      </c>
      <c r="R1536" s="30"/>
      <c r="S1536" s="30"/>
    </row>
    <row r="1537" spans="1:19" ht="13" x14ac:dyDescent="0.3">
      <c r="A1537" s="52" t="s">
        <v>1553</v>
      </c>
      <c r="B1537" s="6">
        <v>1190.05</v>
      </c>
      <c r="C1537" s="1">
        <v>16.2</v>
      </c>
      <c r="D1537" s="6">
        <v>37.71</v>
      </c>
      <c r="E1537" s="6">
        <v>163.9</v>
      </c>
      <c r="F1537" s="1">
        <f t="shared" si="115"/>
        <v>1998.9583333332171</v>
      </c>
      <c r="G1537" s="17">
        <v>4.6500000000000004</v>
      </c>
      <c r="H1537" s="1">
        <f>B1537*$E$1867/E1537</f>
        <v>2433.2873933038436</v>
      </c>
      <c r="I1537" s="1">
        <f>C1537*$E$1867/E1537</f>
        <v>33.124033251982915</v>
      </c>
      <c r="J1537" s="26">
        <f t="shared" si="116"/>
        <v>1021082.3155274319</v>
      </c>
      <c r="K1537" s="1">
        <f>D1537*$E$1867/E1537</f>
        <v>77.105388514338017</v>
      </c>
      <c r="L1537" s="26">
        <f t="shared" si="114"/>
        <v>32355.795234267018</v>
      </c>
      <c r="M1537" s="10">
        <f t="shared" si="117"/>
        <v>38.82027478009816</v>
      </c>
      <c r="N1537" s="4">
        <f t="shared" si="118"/>
        <v>42.927339874933118</v>
      </c>
      <c r="O1537" s="36">
        <f>1/M1537-(G1537/100-(((E1537/E1417)^(1/10))-1))</f>
        <v>1.0498406616905261E-2</v>
      </c>
      <c r="P1537" s="48">
        <v>4.3899999999999997</v>
      </c>
      <c r="R1537" s="30"/>
      <c r="S1537" s="30"/>
    </row>
    <row r="1538" spans="1:19" ht="13" x14ac:dyDescent="0.3">
      <c r="A1538" s="52" t="s">
        <v>1554</v>
      </c>
      <c r="B1538" s="6">
        <v>1248.77</v>
      </c>
      <c r="C1538" s="1">
        <v>16.283333330000001</v>
      </c>
      <c r="D1538" s="6">
        <v>37.933333330000004</v>
      </c>
      <c r="E1538" s="6">
        <v>164.3</v>
      </c>
      <c r="F1538" s="1">
        <f t="shared" si="115"/>
        <v>1999.0416666665503</v>
      </c>
      <c r="G1538" s="17">
        <v>4.72</v>
      </c>
      <c r="H1538" s="1">
        <f>B1538*$E$1867/E1538</f>
        <v>2547.1354743913571</v>
      </c>
      <c r="I1538" s="1">
        <f>C1538*$E$1867/E1538</f>
        <v>33.213366725803908</v>
      </c>
      <c r="J1538" s="26">
        <f t="shared" si="116"/>
        <v>1070017.9218871426</v>
      </c>
      <c r="K1538" s="1">
        <f>D1538*$E$1867/E1538</f>
        <v>77.373206424525762</v>
      </c>
      <c r="L1538" s="26">
        <f t="shared" si="114"/>
        <v>32503.460605250675</v>
      </c>
      <c r="M1538" s="10">
        <f t="shared" si="117"/>
        <v>40.576957677208128</v>
      </c>
      <c r="N1538" s="4">
        <f t="shared" si="118"/>
        <v>44.811053449635246</v>
      </c>
      <c r="O1538" s="36">
        <f>1/M1538-(G1538/100-(((E1538/E1418)^(1/10))-1))</f>
        <v>8.4223959044217277E-3</v>
      </c>
      <c r="P1538" s="48">
        <v>4.34</v>
      </c>
      <c r="R1538" s="30"/>
      <c r="S1538" s="30"/>
    </row>
    <row r="1539" spans="1:19" ht="13" x14ac:dyDescent="0.3">
      <c r="A1539" s="52" t="s">
        <v>1555</v>
      </c>
      <c r="B1539" s="6">
        <v>1246.58</v>
      </c>
      <c r="C1539" s="1">
        <v>16.366666670000001</v>
      </c>
      <c r="D1539" s="6">
        <v>38.15666667</v>
      </c>
      <c r="E1539" s="6">
        <v>164.5</v>
      </c>
      <c r="F1539" s="1">
        <f t="shared" si="115"/>
        <v>1999.1249999998836</v>
      </c>
      <c r="G1539" s="17">
        <v>5</v>
      </c>
      <c r="H1539" s="1">
        <f>B1539*$E$1867/E1539</f>
        <v>2539.5771072644375</v>
      </c>
      <c r="I1539" s="1">
        <f>C1539*$E$1867/E1539</f>
        <v>33.342755376598284</v>
      </c>
      <c r="J1539" s="26">
        <f t="shared" si="116"/>
        <v>1068009.9893739638</v>
      </c>
      <c r="K1539" s="1">
        <f>D1539*$E$1867/E1539</f>
        <v>77.734118279333842</v>
      </c>
      <c r="L1539" s="26">
        <f t="shared" ref="L1539:L1602" si="119">K1539*(J1539/H1539)</f>
        <v>32690.80296874054</v>
      </c>
      <c r="M1539" s="10">
        <f t="shared" si="117"/>
        <v>40.400159229259955</v>
      </c>
      <c r="N1539" s="4">
        <f t="shared" si="118"/>
        <v>44.55773453537833</v>
      </c>
      <c r="O1539" s="36">
        <f>1/M1539-(G1539/100-(((E1539/E1419)^(1/10))-1))</f>
        <v>5.4309156548103012E-3</v>
      </c>
      <c r="P1539" s="48">
        <v>4.4400000000000004</v>
      </c>
      <c r="R1539" s="30"/>
      <c r="S1539" s="30"/>
    </row>
    <row r="1540" spans="1:19" ht="13" x14ac:dyDescent="0.3">
      <c r="A1540" s="52" t="s">
        <v>1556</v>
      </c>
      <c r="B1540" s="6">
        <v>1281.6600000000001</v>
      </c>
      <c r="C1540" s="1">
        <v>16.45</v>
      </c>
      <c r="D1540" s="6">
        <v>38.380000000000003</v>
      </c>
      <c r="E1540" s="6">
        <v>165</v>
      </c>
      <c r="F1540" s="1">
        <f t="shared" ref="F1540:F1603" si="120">F1539+1/12</f>
        <v>1999.2083333332168</v>
      </c>
      <c r="G1540" s="17">
        <v>5.23</v>
      </c>
      <c r="H1540" s="1">
        <f>B1540*$E$1867/E1540</f>
        <v>2603.1310782727273</v>
      </c>
      <c r="I1540" s="1">
        <f>C1540*$E$1867/E1540</f>
        <v>33.41097189393939</v>
      </c>
      <c r="J1540" s="26">
        <f t="shared" ref="J1540:J1603" si="121">J1539*((H1540+(I1540/12))/H1539)</f>
        <v>1095908.2878780821</v>
      </c>
      <c r="K1540" s="1">
        <f>D1540*$E$1867/E1540</f>
        <v>77.952164212121218</v>
      </c>
      <c r="L1540" s="26">
        <f t="shared" si="119"/>
        <v>32817.564790007331</v>
      </c>
      <c r="M1540" s="10">
        <f t="shared" si="117"/>
        <v>41.356103632713008</v>
      </c>
      <c r="N1540" s="4">
        <f t="shared" si="118"/>
        <v>45.551555032015003</v>
      </c>
      <c r="O1540" s="36">
        <f>1/M1540-(G1540/100-(((E1540/E1420)^(1/10))-1))</f>
        <v>2.2799872986621408E-3</v>
      </c>
      <c r="P1540" s="48">
        <v>4.4400000000000004</v>
      </c>
      <c r="R1540" s="30"/>
      <c r="S1540" s="30"/>
    </row>
    <row r="1541" spans="1:19" ht="13" x14ac:dyDescent="0.3">
      <c r="A1541" s="52" t="s">
        <v>1557</v>
      </c>
      <c r="B1541" s="6">
        <v>1334.76</v>
      </c>
      <c r="C1541" s="1">
        <f>C1540*2/3+C1543/3</f>
        <v>16.45</v>
      </c>
      <c r="D1541" s="6">
        <v>39.26</v>
      </c>
      <c r="E1541" s="6">
        <v>166.2</v>
      </c>
      <c r="F1541" s="1">
        <f t="shared" si="120"/>
        <v>1999.2916666665501</v>
      </c>
      <c r="G1541" s="17">
        <v>5.18</v>
      </c>
      <c r="H1541" s="1">
        <f>B1541*$E$1867/E1541</f>
        <v>2691.4066106498199</v>
      </c>
      <c r="I1541" s="1">
        <f>C1541*$E$1867/E1541</f>
        <v>33.169737439831529</v>
      </c>
      <c r="J1541" s="26">
        <f t="shared" si="121"/>
        <v>1134235.6458671754</v>
      </c>
      <c r="K1541" s="1">
        <f>D1541*$E$1867/E1541</f>
        <v>79.163762424789411</v>
      </c>
      <c r="L1541" s="26">
        <f t="shared" si="119"/>
        <v>33361.871390171495</v>
      </c>
      <c r="M1541" s="10">
        <f t="shared" si="117"/>
        <v>42.704509516892166</v>
      </c>
      <c r="N1541" s="4">
        <f t="shared" si="118"/>
        <v>46.972581259880648</v>
      </c>
      <c r="O1541" s="36">
        <f>1/M1541-(G1541/100-(((E1541/E1421)^(1/10))-1))</f>
        <v>2.0913431991284696E-3</v>
      </c>
      <c r="P1541" s="48">
        <v>4.29</v>
      </c>
      <c r="R1541" s="30"/>
      <c r="S1541" s="30"/>
    </row>
    <row r="1542" spans="1:19" ht="13" x14ac:dyDescent="0.3">
      <c r="A1542" s="52" t="s">
        <v>1558</v>
      </c>
      <c r="B1542" s="6">
        <v>1332.07</v>
      </c>
      <c r="C1542" s="1">
        <f>C1540/3+C1543*2/3</f>
        <v>16.45</v>
      </c>
      <c r="D1542" s="6">
        <v>40.14</v>
      </c>
      <c r="E1542" s="6">
        <v>166.2</v>
      </c>
      <c r="F1542" s="1">
        <f t="shared" si="120"/>
        <v>1999.3749999998834</v>
      </c>
      <c r="G1542" s="17">
        <v>5.54</v>
      </c>
      <c r="H1542" s="1">
        <f>B1542*$E$1867/E1542</f>
        <v>2685.9825016095069</v>
      </c>
      <c r="I1542" s="1">
        <f>C1542*$E$1867/E1542</f>
        <v>33.169737439831529</v>
      </c>
      <c r="J1542" s="26">
        <f t="shared" si="121"/>
        <v>1133114.6609289295</v>
      </c>
      <c r="K1542" s="1">
        <f>D1542*$E$1867/E1542</f>
        <v>80.938192148014451</v>
      </c>
      <c r="L1542" s="26">
        <f t="shared" si="119"/>
        <v>34144.769035926962</v>
      </c>
      <c r="M1542" s="10">
        <f t="shared" si="117"/>
        <v>42.556676709518058</v>
      </c>
      <c r="N1542" s="4">
        <f t="shared" si="118"/>
        <v>46.746674800852084</v>
      </c>
      <c r="O1542" s="36">
        <f>1/M1542-(G1542/100-(((E1542/E1422)^(1/10))-1))</f>
        <v>-2.0114592557857192E-3</v>
      </c>
      <c r="P1542" s="48">
        <v>4.5</v>
      </c>
      <c r="R1542" s="30"/>
      <c r="S1542" s="30"/>
    </row>
    <row r="1543" spans="1:19" ht="13" x14ac:dyDescent="0.3">
      <c r="A1543" s="52" t="s">
        <v>1559</v>
      </c>
      <c r="B1543" s="6">
        <v>1322.55</v>
      </c>
      <c r="C1543" s="1">
        <v>16.45</v>
      </c>
      <c r="D1543" s="6">
        <v>41.02</v>
      </c>
      <c r="E1543" s="6">
        <v>166.2</v>
      </c>
      <c r="F1543" s="1">
        <f t="shared" si="120"/>
        <v>1999.4583333332166</v>
      </c>
      <c r="G1543" s="17">
        <v>5.9</v>
      </c>
      <c r="H1543" s="1">
        <f>B1543*$E$1867/E1543</f>
        <v>2666.7863982400722</v>
      </c>
      <c r="I1543" s="1">
        <f>C1543*$E$1867/E1543</f>
        <v>33.169737439831529</v>
      </c>
      <c r="J1543" s="26">
        <f t="shared" si="121"/>
        <v>1126182.6376686252</v>
      </c>
      <c r="K1543" s="1">
        <f>D1543*$E$1867/E1543</f>
        <v>82.712621871239477</v>
      </c>
      <c r="L1543" s="26">
        <f t="shared" si="119"/>
        <v>34929.501188739188</v>
      </c>
      <c r="M1543" s="10">
        <f t="shared" si="117"/>
        <v>42.180675911746938</v>
      </c>
      <c r="N1543" s="4">
        <f t="shared" si="118"/>
        <v>46.271432553211689</v>
      </c>
      <c r="O1543" s="36">
        <f>1/M1543-(G1543/100-(((E1543/E1423)^(1/10))-1))</f>
        <v>-5.6512336740967804E-3</v>
      </c>
      <c r="P1543" s="48">
        <v>4.57</v>
      </c>
      <c r="R1543" s="30"/>
      <c r="S1543" s="30"/>
    </row>
    <row r="1544" spans="1:19" ht="13" x14ac:dyDescent="0.3">
      <c r="A1544" s="52" t="s">
        <v>1560</v>
      </c>
      <c r="B1544" s="6">
        <v>1380.99</v>
      </c>
      <c r="C1544" s="1">
        <f>C1543*2/3+C1546/3</f>
        <v>16.513333333333335</v>
      </c>
      <c r="D1544" s="6">
        <v>42</v>
      </c>
      <c r="E1544" s="6">
        <v>166.7</v>
      </c>
      <c r="F1544" s="1">
        <f t="shared" si="120"/>
        <v>1999.5416666665499</v>
      </c>
      <c r="G1544" s="17">
        <v>5.79</v>
      </c>
      <c r="H1544" s="1">
        <f>B1544*$E$1867/E1544</f>
        <v>2776.2724594931015</v>
      </c>
      <c r="I1544" s="1">
        <f>C1544*$E$1867/E1544</f>
        <v>33.197570255948818</v>
      </c>
      <c r="J1544" s="26">
        <f t="shared" si="121"/>
        <v>1173586.8261966475</v>
      </c>
      <c r="K1544" s="1">
        <f>D1544*$E$1867/E1544</f>
        <v>84.434676064787055</v>
      </c>
      <c r="L1544" s="26">
        <f t="shared" si="119"/>
        <v>35692.254614630954</v>
      </c>
      <c r="M1544" s="10">
        <f t="shared" si="117"/>
        <v>43.828035992805418</v>
      </c>
      <c r="N1544" s="4">
        <f t="shared" si="118"/>
        <v>48.011997893801656</v>
      </c>
      <c r="O1544" s="36">
        <f>1/M1544-(G1544/100-(((E1544/E1424)^(1/10))-1))</f>
        <v>-5.3816357714892814E-3</v>
      </c>
      <c r="P1544" s="48">
        <v>4.55</v>
      </c>
      <c r="R1544" s="30"/>
      <c r="S1544" s="30"/>
    </row>
    <row r="1545" spans="1:19" ht="13" x14ac:dyDescent="0.3">
      <c r="A1545" s="52" t="s">
        <v>1561</v>
      </c>
      <c r="B1545" s="6">
        <v>1327.49</v>
      </c>
      <c r="C1545" s="1">
        <f>C1543/3+C1546*2/3</f>
        <v>16.576666666666668</v>
      </c>
      <c r="D1545" s="6">
        <v>42.98</v>
      </c>
      <c r="E1545" s="6">
        <v>167.1</v>
      </c>
      <c r="F1545" s="1">
        <f t="shared" si="120"/>
        <v>1999.6249999998831</v>
      </c>
      <c r="G1545" s="17">
        <v>5.94</v>
      </c>
      <c r="H1545" s="1">
        <f>B1545*$E$1867/E1545</f>
        <v>2662.3304495661282</v>
      </c>
      <c r="I1545" s="1">
        <f>C1545*$E$1867/E1545</f>
        <v>33.245120052862561</v>
      </c>
      <c r="J1545" s="26">
        <f t="shared" si="121"/>
        <v>1126592.3371974046</v>
      </c>
      <c r="K1545" s="1">
        <f>D1545*$E$1867/E1545</f>
        <v>86.197984709754635</v>
      </c>
      <c r="L1545" s="26">
        <f t="shared" si="119"/>
        <v>36475.558123032526</v>
      </c>
      <c r="M1545" s="10">
        <f t="shared" si="117"/>
        <v>41.930712159940462</v>
      </c>
      <c r="N1545" s="4">
        <f t="shared" si="118"/>
        <v>45.873455189594409</v>
      </c>
      <c r="O1545" s="36">
        <f>1/M1545-(G1545/100-(((E1545/E1425)^(1/10))-1))</f>
        <v>-5.7678415593804683E-3</v>
      </c>
      <c r="P1545" s="48">
        <v>4.72</v>
      </c>
      <c r="R1545" s="30"/>
      <c r="S1545" s="30"/>
    </row>
    <row r="1546" spans="1:19" ht="13" x14ac:dyDescent="0.3">
      <c r="A1546" s="52" t="s">
        <v>1562</v>
      </c>
      <c r="B1546" s="6">
        <v>1318.17</v>
      </c>
      <c r="C1546" s="1">
        <v>16.64</v>
      </c>
      <c r="D1546" s="6">
        <v>43.96</v>
      </c>
      <c r="E1546" s="6">
        <v>167.9</v>
      </c>
      <c r="F1546" s="1">
        <f t="shared" si="120"/>
        <v>1999.7083333332164</v>
      </c>
      <c r="G1546" s="17">
        <v>5.92</v>
      </c>
      <c r="H1546" s="1">
        <f>B1546*$E$1867/E1546</f>
        <v>2631.0425895920193</v>
      </c>
      <c r="I1546" s="1">
        <f>C1546*$E$1867/E1546</f>
        <v>33.213127814175103</v>
      </c>
      <c r="J1546" s="26">
        <f t="shared" si="121"/>
        <v>1114523.7657101366</v>
      </c>
      <c r="K1546" s="1">
        <f>D1546*$E$1867/E1546</f>
        <v>87.743335259082784</v>
      </c>
      <c r="L1546" s="26">
        <f t="shared" si="119"/>
        <v>37168.547866070083</v>
      </c>
      <c r="M1546" s="10">
        <f t="shared" si="117"/>
        <v>41.323451334715031</v>
      </c>
      <c r="N1546" s="4">
        <f t="shared" si="118"/>
        <v>45.151839247065304</v>
      </c>
      <c r="O1546" s="36">
        <f>1/M1546-(G1546/100-(((E1546/E1426)^(1/10))-1))</f>
        <v>-5.0555837075532822E-3</v>
      </c>
      <c r="P1546" s="48">
        <v>4.68</v>
      </c>
      <c r="R1546" s="30"/>
      <c r="S1546" s="30"/>
    </row>
    <row r="1547" spans="1:19" ht="13" x14ac:dyDescent="0.3">
      <c r="A1547" s="52" t="s">
        <v>1563</v>
      </c>
      <c r="B1547" s="6">
        <v>1300.01</v>
      </c>
      <c r="C1547" s="1">
        <f>C1546*2/3+C1549/3</f>
        <v>16.656666666666666</v>
      </c>
      <c r="D1547" s="6">
        <f>(2*D1546+D1549)/3</f>
        <v>45.363333333333337</v>
      </c>
      <c r="E1547" s="6">
        <v>168.2</v>
      </c>
      <c r="F1547" s="1">
        <f t="shared" si="120"/>
        <v>1999.7916666665496</v>
      </c>
      <c r="G1547" s="17">
        <v>6.11</v>
      </c>
      <c r="H1547" s="1">
        <f>B1547*$E$1867/E1547</f>
        <v>2590.1675163644472</v>
      </c>
      <c r="I1547" s="1">
        <f>C1547*$E$1867/E1547</f>
        <v>33.187096199960365</v>
      </c>
      <c r="J1547" s="26">
        <f t="shared" si="121"/>
        <v>1098380.3845959434</v>
      </c>
      <c r="K1547" s="1">
        <f>D1547*$E$1867/E1547</f>
        <v>90.382868157946902</v>
      </c>
      <c r="L1547" s="26">
        <f t="shared" si="119"/>
        <v>38327.547875186079</v>
      </c>
      <c r="M1547" s="10">
        <f t="shared" si="117"/>
        <v>40.552854399539875</v>
      </c>
      <c r="N1547" s="4">
        <f t="shared" si="118"/>
        <v>44.256041105624874</v>
      </c>
      <c r="O1547" s="36">
        <f>1/M1547-(G1547/100-(((E1547/E1427)^(1/10))-1))</f>
        <v>-6.8050214315522051E-3</v>
      </c>
      <c r="P1547" s="48">
        <v>4.8600000000000003</v>
      </c>
      <c r="R1547" s="30"/>
      <c r="S1547" s="30"/>
    </row>
    <row r="1548" spans="1:19" ht="13" x14ac:dyDescent="0.3">
      <c r="A1548" s="52" t="s">
        <v>1564</v>
      </c>
      <c r="B1548" s="6">
        <v>1391</v>
      </c>
      <c r="C1548" s="1">
        <f>C1546/3+C1549*2/3</f>
        <v>16.673333333333332</v>
      </c>
      <c r="D1548" s="6">
        <f>(D1546+2*D1549)/3</f>
        <v>46.766666666666673</v>
      </c>
      <c r="E1548" s="6">
        <v>168.3</v>
      </c>
      <c r="F1548" s="1">
        <f t="shared" si="120"/>
        <v>1999.8749999998829</v>
      </c>
      <c r="G1548" s="17">
        <v>6.03</v>
      </c>
      <c r="H1548" s="1">
        <f>B1548*$E$1867/E1548</f>
        <v>2769.8111868686869</v>
      </c>
      <c r="I1548" s="1">
        <f>C1548*$E$1867/E1548</f>
        <v>33.200564478114472</v>
      </c>
      <c r="J1548" s="26">
        <f t="shared" si="121"/>
        <v>1175732.9058895917</v>
      </c>
      <c r="K1548" s="1">
        <f>D1548*$E$1867/E1548</f>
        <v>93.123534511784513</v>
      </c>
      <c r="L1548" s="26">
        <f t="shared" si="119"/>
        <v>39529.194032185405</v>
      </c>
      <c r="M1548" s="10">
        <f t="shared" si="117"/>
        <v>43.208290714613931</v>
      </c>
      <c r="N1548" s="4">
        <f t="shared" si="118"/>
        <v>47.094097588396927</v>
      </c>
      <c r="O1548" s="36">
        <f>1/M1548-(G1548/100-(((E1548/E1428)^(1/10))-1))</f>
        <v>-7.7049171202844755E-3</v>
      </c>
      <c r="P1548" s="48">
        <v>5.07</v>
      </c>
      <c r="R1548" s="30"/>
      <c r="S1548" s="30"/>
    </row>
    <row r="1549" spans="1:19" ht="13" x14ac:dyDescent="0.3">
      <c r="A1549" s="52" t="s">
        <v>1565</v>
      </c>
      <c r="B1549" s="6">
        <v>1428.68</v>
      </c>
      <c r="C1549" s="1">
        <v>16.690000000000001</v>
      </c>
      <c r="D1549" s="6">
        <v>48.17</v>
      </c>
      <c r="E1549" s="6">
        <v>168.3</v>
      </c>
      <c r="F1549" s="1">
        <f t="shared" si="120"/>
        <v>1999.9583333332162</v>
      </c>
      <c r="G1549" s="17">
        <v>6.28</v>
      </c>
      <c r="H1549" s="1">
        <f>B1549*$E$1867/E1549</f>
        <v>2844.8410111111111</v>
      </c>
      <c r="I1549" s="1">
        <f>C1549*$E$1867/E1549</f>
        <v>33.233751767676765</v>
      </c>
      <c r="J1549" s="26">
        <f t="shared" si="121"/>
        <v>1208757.2512602084</v>
      </c>
      <c r="K1549" s="1">
        <f>D1549*$E$1867/E1549</f>
        <v>95.917904292929293</v>
      </c>
      <c r="L1549" s="26">
        <f t="shared" si="119"/>
        <v>40754.988376126377</v>
      </c>
      <c r="M1549" s="10">
        <f t="shared" si="117"/>
        <v>44.197939761040566</v>
      </c>
      <c r="N1549" s="4">
        <f t="shared" si="118"/>
        <v>48.110968682995178</v>
      </c>
      <c r="O1549" s="36">
        <f>1/M1549-(G1549/100-(((E1549/E1429)^(1/10))-1))</f>
        <v>-1.0886526695300776E-2</v>
      </c>
      <c r="P1549" s="48">
        <v>5.2</v>
      </c>
      <c r="R1549" s="30"/>
      <c r="S1549" s="30"/>
    </row>
    <row r="1550" spans="1:19" ht="13" x14ac:dyDescent="0.3">
      <c r="A1550" s="52" t="s">
        <v>1566</v>
      </c>
      <c r="B1550" s="6">
        <v>1425.59</v>
      </c>
      <c r="C1550" s="1">
        <f>C1549*2/3+C1552/3</f>
        <v>16.713333333333335</v>
      </c>
      <c r="D1550" s="6">
        <f>(2*D1549+D1552)/3</f>
        <v>49.096666666666671</v>
      </c>
      <c r="E1550" s="6">
        <v>168.8</v>
      </c>
      <c r="F1550" s="1">
        <f t="shared" si="120"/>
        <v>2000.0416666665494</v>
      </c>
      <c r="G1550" s="17">
        <v>6.66</v>
      </c>
      <c r="H1550" s="1">
        <f>B1550*$E$1867/E1550</f>
        <v>2830.2796513477483</v>
      </c>
      <c r="I1550" s="1">
        <f>C1550*$E$1867/E1550</f>
        <v>33.181635140205373</v>
      </c>
      <c r="J1550" s="26">
        <f t="shared" si="121"/>
        <v>1203745.1009715104</v>
      </c>
      <c r="K1550" s="1">
        <f>D1550*$E$1867/E1550</f>
        <v>97.473534898301736</v>
      </c>
      <c r="L1550" s="26">
        <f t="shared" si="119"/>
        <v>41456.429951129896</v>
      </c>
      <c r="M1550" s="10">
        <f t="shared" si="117"/>
        <v>43.772578146938017</v>
      </c>
      <c r="N1550" s="4">
        <f t="shared" si="118"/>
        <v>47.587687272921542</v>
      </c>
      <c r="O1550" s="36">
        <f>1/M1550-(G1550/100-(((E1550/E1430)^(1/10))-1))</f>
        <v>-1.5216742165251394E-2</v>
      </c>
      <c r="P1550" s="48">
        <v>5.32</v>
      </c>
      <c r="R1550" s="30"/>
      <c r="S1550" s="30"/>
    </row>
    <row r="1551" spans="1:19" ht="13" x14ac:dyDescent="0.3">
      <c r="A1551" s="52" t="s">
        <v>1567</v>
      </c>
      <c r="B1551" s="6">
        <v>1388.87</v>
      </c>
      <c r="C1551" s="1">
        <f>C1549/3+C1552*2/3</f>
        <v>16.736666666666668</v>
      </c>
      <c r="D1551" s="6">
        <f>(D1549+2*D1552)/3</f>
        <v>50.023333333333333</v>
      </c>
      <c r="E1551" s="6">
        <v>169.8</v>
      </c>
      <c r="F1551" s="1">
        <f t="shared" si="120"/>
        <v>2000.1249999998827</v>
      </c>
      <c r="G1551" s="17">
        <v>6.52</v>
      </c>
      <c r="H1551" s="1">
        <f>B1551*$E$1867/E1551</f>
        <v>2741.1390221878678</v>
      </c>
      <c r="I1551" s="1">
        <f>C1551*$E$1867/E1551</f>
        <v>33.03227091185709</v>
      </c>
      <c r="J1551" s="26">
        <f t="shared" si="121"/>
        <v>1167003.4809662707</v>
      </c>
      <c r="K1551" s="1">
        <f>D1551*$E$1867/E1551</f>
        <v>98.728398640557515</v>
      </c>
      <c r="L1551" s="26">
        <f t="shared" si="119"/>
        <v>42032.302612581509</v>
      </c>
      <c r="M1551" s="10">
        <f t="shared" si="117"/>
        <v>42.185635887917329</v>
      </c>
      <c r="N1551" s="4">
        <f t="shared" si="118"/>
        <v>45.807695321871769</v>
      </c>
      <c r="O1551" s="36">
        <f>1/M1551-(G1551/100-(((E1551/E1431)^(1/10))-1))</f>
        <v>-1.2833071579527892E-2</v>
      </c>
      <c r="P1551" s="48">
        <v>5.55</v>
      </c>
      <c r="R1551" s="30"/>
      <c r="S1551" s="30"/>
    </row>
    <row r="1552" spans="1:19" ht="13" x14ac:dyDescent="0.3">
      <c r="A1552" s="52" t="s">
        <v>1568</v>
      </c>
      <c r="B1552" s="6">
        <v>1442.21</v>
      </c>
      <c r="C1552" s="11">
        <v>16.760000000000002</v>
      </c>
      <c r="D1552" s="6">
        <v>50.95</v>
      </c>
      <c r="E1552" s="6">
        <v>171.2</v>
      </c>
      <c r="F1552" s="1">
        <f t="shared" si="120"/>
        <v>2000.2083333332159</v>
      </c>
      <c r="G1552" s="17">
        <v>6.26</v>
      </c>
      <c r="H1552" s="1">
        <f>B1552*$E$1867/E1552</f>
        <v>2823.1366051547902</v>
      </c>
      <c r="I1552" s="1">
        <f>C1552*$E$1867/E1552</f>
        <v>32.807822371495334</v>
      </c>
      <c r="J1552" s="26">
        <f t="shared" si="121"/>
        <v>1203076.8191645038</v>
      </c>
      <c r="K1552" s="1">
        <f>D1552*$E$1867/E1552</f>
        <v>99.734997006425232</v>
      </c>
      <c r="L1552" s="26">
        <f t="shared" si="119"/>
        <v>42501.968462589677</v>
      </c>
      <c r="M1552" s="10">
        <f t="shared" si="117"/>
        <v>43.220748439965895</v>
      </c>
      <c r="N1552" s="4">
        <f t="shared" si="118"/>
        <v>46.876009335888156</v>
      </c>
      <c r="O1552" s="36">
        <f>1/M1552-(G1552/100-(((E1552/E1432)^(1/10))-1))</f>
        <v>-1.0517110844577921E-2</v>
      </c>
      <c r="P1552" s="48">
        <v>5.69</v>
      </c>
      <c r="R1552" s="30"/>
      <c r="S1552" s="30"/>
    </row>
    <row r="1553" spans="1:19" ht="13" x14ac:dyDescent="0.3">
      <c r="A1553" s="52" t="s">
        <v>1569</v>
      </c>
      <c r="B1553" s="6">
        <v>1461.36</v>
      </c>
      <c r="C1553" s="1">
        <f>C1552*2/3+C1555/3</f>
        <v>16.740000000000002</v>
      </c>
      <c r="D1553" s="6">
        <f>(2*D1552+D1555)/3</f>
        <v>51.273333333333333</v>
      </c>
      <c r="E1553" s="6">
        <v>171.3</v>
      </c>
      <c r="F1553" s="1">
        <f t="shared" si="120"/>
        <v>2000.2916666665492</v>
      </c>
      <c r="G1553" s="17">
        <v>5.99</v>
      </c>
      <c r="H1553" s="1">
        <f>B1553*$E$1867/E1553</f>
        <v>2858.9529208406302</v>
      </c>
      <c r="I1553" s="1">
        <f>C1553*$E$1867/E1553</f>
        <v>32.749542819614717</v>
      </c>
      <c r="J1553" s="26">
        <f t="shared" si="121"/>
        <v>1219502.9213877833</v>
      </c>
      <c r="K1553" s="1">
        <f>D1553*$E$1867/E1553</f>
        <v>100.30933246740611</v>
      </c>
      <c r="L1553" s="26">
        <f t="shared" si="119"/>
        <v>42787.526543281332</v>
      </c>
      <c r="M1553" s="10">
        <f t="shared" si="117"/>
        <v>43.528574288507748</v>
      </c>
      <c r="N1553" s="4">
        <f t="shared" si="118"/>
        <v>47.155406855244692</v>
      </c>
      <c r="O1553" s="36">
        <f>1/M1553-(G1553/100-(((E1553/E1433)^(1/10))-1))</f>
        <v>-8.0804165599423113E-3</v>
      </c>
      <c r="P1553" s="48">
        <v>5.66</v>
      </c>
      <c r="R1553" s="30"/>
      <c r="S1553" s="30"/>
    </row>
    <row r="1554" spans="1:19" ht="13" x14ac:dyDescent="0.3">
      <c r="A1554" s="52" t="s">
        <v>1570</v>
      </c>
      <c r="B1554" s="6">
        <v>1418.48</v>
      </c>
      <c r="C1554" s="1">
        <f>C1552/3+C1555*2/3</f>
        <v>16.72</v>
      </c>
      <c r="D1554" s="6">
        <f>(D1552+2*D1555)/3</f>
        <v>51.596666666666671</v>
      </c>
      <c r="E1554" s="6">
        <v>171.5</v>
      </c>
      <c r="F1554" s="1">
        <f t="shared" si="120"/>
        <v>2000.3749999998824</v>
      </c>
      <c r="G1554" s="17">
        <v>6.44</v>
      </c>
      <c r="H1554" s="1">
        <f>B1554*$E$1867/E1554</f>
        <v>2771.8277820408161</v>
      </c>
      <c r="I1554" s="1">
        <f>C1554*$E$1867/E1554</f>
        <v>32.672269271137026</v>
      </c>
      <c r="J1554" s="26">
        <f t="shared" si="121"/>
        <v>1183500.5677905388</v>
      </c>
      <c r="K1554" s="1">
        <f>D1554*$E$1867/E1554</f>
        <v>100.82417385325559</v>
      </c>
      <c r="L1554" s="26">
        <f t="shared" si="119"/>
        <v>43049.379826362841</v>
      </c>
      <c r="M1554" s="10">
        <f t="shared" si="117"/>
        <v>41.966050503324318</v>
      </c>
      <c r="N1554" s="4">
        <f t="shared" si="118"/>
        <v>45.413038105009896</v>
      </c>
      <c r="O1554" s="36">
        <f>1/M1554-(G1554/100-(((E1554/E1434)^(1/10))-1))</f>
        <v>-1.1844161384851969E-2</v>
      </c>
      <c r="P1554" s="48">
        <v>5.79</v>
      </c>
      <c r="R1554" s="30"/>
      <c r="S1554" s="30"/>
    </row>
    <row r="1555" spans="1:19" ht="13" x14ac:dyDescent="0.3">
      <c r="A1555" s="52" t="s">
        <v>1571</v>
      </c>
      <c r="B1555" s="6">
        <v>1461.96</v>
      </c>
      <c r="C1555" s="1">
        <v>16.7</v>
      </c>
      <c r="D1555" s="6">
        <v>51.92</v>
      </c>
      <c r="E1555" s="6">
        <v>172.4</v>
      </c>
      <c r="F1555" s="1">
        <f t="shared" si="120"/>
        <v>2000.4583333332157</v>
      </c>
      <c r="G1555" s="17">
        <v>6.1</v>
      </c>
      <c r="H1555" s="1">
        <f>B1555*$E$1867/E1555</f>
        <v>2841.8776710556845</v>
      </c>
      <c r="I1555" s="1">
        <f>C1555*$E$1867/E1555</f>
        <v>32.462828741299298</v>
      </c>
      <c r="J1555" s="26">
        <f t="shared" si="121"/>
        <v>1214565.1714435052</v>
      </c>
      <c r="K1555" s="1">
        <f>D1555*$E$1867/E1555</f>
        <v>100.92635139211137</v>
      </c>
      <c r="L1555" s="26">
        <f t="shared" si="119"/>
        <v>43134.028086504957</v>
      </c>
      <c r="M1555" s="10">
        <f t="shared" si="117"/>
        <v>42.781971567071459</v>
      </c>
      <c r="N1555" s="4">
        <f t="shared" si="118"/>
        <v>46.245587485836126</v>
      </c>
      <c r="O1555" s="36">
        <f>1/M1555-(G1555/100-(((E1555/E1435)^(1/10))-1))</f>
        <v>-8.9160247760851005E-3</v>
      </c>
      <c r="P1555" s="48">
        <v>5.69</v>
      </c>
      <c r="R1555" s="30"/>
      <c r="S1555" s="30"/>
    </row>
    <row r="1556" spans="1:19" ht="13" x14ac:dyDescent="0.3">
      <c r="A1556" s="52" t="s">
        <v>1572</v>
      </c>
      <c r="B1556" s="6">
        <v>1473</v>
      </c>
      <c r="C1556" s="1">
        <f>C1555*2/3+C1558/3</f>
        <v>16.583333333333332</v>
      </c>
      <c r="D1556" s="6">
        <f>(2*D1555+D1558)/3</f>
        <v>52.513333333333343</v>
      </c>
      <c r="E1556" s="6">
        <v>172.8</v>
      </c>
      <c r="F1556" s="1">
        <f t="shared" si="120"/>
        <v>2000.541666666549</v>
      </c>
      <c r="G1556" s="17">
        <v>6.05</v>
      </c>
      <c r="H1556" s="1">
        <f>B1556*$E$1867/E1556</f>
        <v>2856.7100303819443</v>
      </c>
      <c r="I1556" s="1">
        <f>C1556*$E$1867/E1556</f>
        <v>32.161422043788576</v>
      </c>
      <c r="J1556" s="26">
        <f t="shared" si="121"/>
        <v>1222049.6757395617</v>
      </c>
      <c r="K1556" s="1">
        <f>D1556*$E$1867/E1556</f>
        <v>101.84342570408951</v>
      </c>
      <c r="L1556" s="26">
        <f t="shared" si="119"/>
        <v>43566.803782758667</v>
      </c>
      <c r="M1556" s="10">
        <f t="shared" si="117"/>
        <v>42.758093618269591</v>
      </c>
      <c r="N1556" s="4">
        <f t="shared" si="118"/>
        <v>46.170728131840342</v>
      </c>
      <c r="O1556" s="36">
        <f>1/M1556-(G1556/100-(((E1556/E1436)^(1/10))-1))</f>
        <v>-8.5597583707810489E-3</v>
      </c>
      <c r="P1556" s="48">
        <v>5.96</v>
      </c>
      <c r="R1556" s="30"/>
      <c r="S1556" s="30"/>
    </row>
    <row r="1557" spans="1:19" ht="13" x14ac:dyDescent="0.3">
      <c r="A1557" s="52" t="s">
        <v>1573</v>
      </c>
      <c r="B1557" s="6">
        <v>1485.46</v>
      </c>
      <c r="C1557" s="1">
        <f>C1555/3+C1558*2/3</f>
        <v>16.466666666666669</v>
      </c>
      <c r="D1557" s="6">
        <f>(D1555+2*D1558)/3</f>
        <v>53.106666666666662</v>
      </c>
      <c r="E1557" s="6">
        <v>172.8</v>
      </c>
      <c r="F1557" s="1">
        <f t="shared" si="120"/>
        <v>2000.6249999998822</v>
      </c>
      <c r="G1557" s="17">
        <v>5.83</v>
      </c>
      <c r="H1557" s="1">
        <f>B1557*$E$1867/E1557</f>
        <v>2880.8747330150463</v>
      </c>
      <c r="I1557" s="1">
        <f>C1557*$E$1867/E1557</f>
        <v>31.935160783179015</v>
      </c>
      <c r="J1557" s="26">
        <f t="shared" si="121"/>
        <v>1233525.3462632715</v>
      </c>
      <c r="K1557" s="1">
        <f>D1557*$E$1867/E1557</f>
        <v>102.99412582947528</v>
      </c>
      <c r="L1557" s="26">
        <f t="shared" si="119"/>
        <v>44099.753200280131</v>
      </c>
      <c r="M1557" s="10">
        <f t="shared" si="117"/>
        <v>42.869565494419497</v>
      </c>
      <c r="N1557" s="4">
        <f t="shared" si="118"/>
        <v>46.242113523646928</v>
      </c>
      <c r="O1557" s="36">
        <f>1/M1557-(G1557/100-(((E1557/E1437)^(1/10))-1))</f>
        <v>-7.3623325775988568E-3</v>
      </c>
      <c r="P1557" s="48">
        <v>6.09</v>
      </c>
      <c r="R1557" s="30"/>
      <c r="S1557" s="30"/>
    </row>
    <row r="1558" spans="1:19" ht="13" x14ac:dyDescent="0.3">
      <c r="A1558" s="52" t="s">
        <v>1574</v>
      </c>
      <c r="B1558" s="6">
        <v>1468.05</v>
      </c>
      <c r="C1558" s="1">
        <v>16.350000000000001</v>
      </c>
      <c r="D1558" s="6">
        <v>53.7</v>
      </c>
      <c r="E1558" s="6">
        <v>173.7</v>
      </c>
      <c r="F1558" s="1">
        <f t="shared" si="120"/>
        <v>2000.7083333332155</v>
      </c>
      <c r="G1558" s="17">
        <v>5.8</v>
      </c>
      <c r="H1558" s="1">
        <f>B1558*$E$1867/E1558</f>
        <v>2832.3582225820383</v>
      </c>
      <c r="I1558" s="1">
        <f>C1558*$E$1867/E1558</f>
        <v>31.544604706390331</v>
      </c>
      <c r="J1558" s="26">
        <f t="shared" si="121"/>
        <v>1213877.2319032776</v>
      </c>
      <c r="K1558" s="1">
        <f>D1558*$E$1867/E1558</f>
        <v>103.60521545768566</v>
      </c>
      <c r="L1558" s="26">
        <f t="shared" si="119"/>
        <v>44402.579853006369</v>
      </c>
      <c r="M1558" s="10">
        <f t="shared" si="117"/>
        <v>41.898007924884752</v>
      </c>
      <c r="N1558" s="4">
        <f t="shared" si="118"/>
        <v>45.147501501622976</v>
      </c>
      <c r="O1558" s="36">
        <f>1/M1558-(G1558/100-(((E1558/E1438)^(1/10))-1))</f>
        <v>-6.8429212984665831E-3</v>
      </c>
      <c r="P1558" s="48">
        <v>6</v>
      </c>
      <c r="R1558" s="30"/>
      <c r="S1558" s="30"/>
    </row>
    <row r="1559" spans="1:19" ht="13" x14ac:dyDescent="0.3">
      <c r="A1559" s="52" t="s">
        <v>1575</v>
      </c>
      <c r="B1559" s="6">
        <v>1390.14</v>
      </c>
      <c r="C1559" s="1">
        <f>C1558*2/3+C1561/3</f>
        <v>16.323333333333334</v>
      </c>
      <c r="D1559" s="6">
        <f>(2*D1558+D1561)/3</f>
        <v>52.466666666666669</v>
      </c>
      <c r="E1559" s="6">
        <v>174</v>
      </c>
      <c r="F1559" s="1">
        <f t="shared" si="120"/>
        <v>2000.7916666665487</v>
      </c>
      <c r="G1559" s="17">
        <v>5.74</v>
      </c>
      <c r="H1559" s="1">
        <f>B1559*$E$1867/E1559</f>
        <v>2677.4196266379313</v>
      </c>
      <c r="I1559" s="1">
        <f>C1559*$E$1867/E1559</f>
        <v>31.438857265325669</v>
      </c>
      <c r="J1559" s="26">
        <f t="shared" si="121"/>
        <v>1148597.2861207</v>
      </c>
      <c r="K1559" s="1">
        <f>D1559*$E$1867/E1559</f>
        <v>101.05117691570882</v>
      </c>
      <c r="L1559" s="26">
        <f t="shared" si="119"/>
        <v>43350.361075238987</v>
      </c>
      <c r="M1559" s="10">
        <f t="shared" si="117"/>
        <v>39.369699044201383</v>
      </c>
      <c r="N1559" s="4">
        <f t="shared" si="118"/>
        <v>42.382640229890008</v>
      </c>
      <c r="O1559" s="36">
        <f>1/M1559-(G1559/100-(((E1559/E1439)^(1/10))-1))</f>
        <v>-5.1502496321646808E-3</v>
      </c>
      <c r="P1559" s="48">
        <v>6.11</v>
      </c>
      <c r="R1559" s="30"/>
      <c r="S1559" s="30"/>
    </row>
    <row r="1560" spans="1:19" ht="13" x14ac:dyDescent="0.3">
      <c r="A1560" s="52" t="s">
        <v>1576</v>
      </c>
      <c r="B1560" s="6">
        <v>1378.04</v>
      </c>
      <c r="C1560" s="1">
        <f>C1558/3+C1561*2/3</f>
        <v>16.296666666666667</v>
      </c>
      <c r="D1560" s="6">
        <f>(D1558+2*D1561)/3</f>
        <v>51.233333333333327</v>
      </c>
      <c r="E1560" s="6">
        <v>174.1</v>
      </c>
      <c r="F1560" s="1">
        <f t="shared" si="120"/>
        <v>2000.874999999882</v>
      </c>
      <c r="G1560" s="17">
        <v>5.72</v>
      </c>
      <c r="H1560" s="1">
        <f>B1560*$E$1867/E1560</f>
        <v>2652.5904624353821</v>
      </c>
      <c r="I1560" s="1">
        <f>C1560*$E$1867/E1560</f>
        <v>31.369468643499903</v>
      </c>
      <c r="J1560" s="26">
        <f t="shared" si="121"/>
        <v>1139067.1637272644</v>
      </c>
      <c r="K1560" s="1">
        <f>D1560*$E$1867/E1560</f>
        <v>98.619090417384641</v>
      </c>
      <c r="L1560" s="26">
        <f t="shared" si="119"/>
        <v>42348.703730148263</v>
      </c>
      <c r="M1560" s="10">
        <f t="shared" si="117"/>
        <v>38.782142456784783</v>
      </c>
      <c r="N1560" s="4">
        <f t="shared" si="118"/>
        <v>41.713360280388031</v>
      </c>
      <c r="O1560" s="36">
        <f>1/M1560-(G1560/100-(((E1560/E1440)^(1/10))-1))</f>
        <v>-4.7369133566432069E-3</v>
      </c>
      <c r="P1560" s="48">
        <v>6.17</v>
      </c>
      <c r="R1560" s="30"/>
      <c r="S1560" s="30"/>
    </row>
    <row r="1561" spans="1:19" ht="13" x14ac:dyDescent="0.3">
      <c r="A1561" s="52" t="s">
        <v>1577</v>
      </c>
      <c r="B1561" s="6">
        <v>1330.93</v>
      </c>
      <c r="C1561" s="11">
        <v>16.27</v>
      </c>
      <c r="D1561" s="6">
        <v>50</v>
      </c>
      <c r="E1561" s="6">
        <v>174</v>
      </c>
      <c r="F1561" s="1">
        <f t="shared" si="120"/>
        <v>2000.9583333332153</v>
      </c>
      <c r="G1561" s="17">
        <v>5.24</v>
      </c>
      <c r="H1561" s="1">
        <f>B1561*$E$1867/E1561</f>
        <v>2563.3807412787355</v>
      </c>
      <c r="I1561" s="1">
        <f>C1561*$E$1867/E1561</f>
        <v>31.336136882183904</v>
      </c>
      <c r="J1561" s="26">
        <f t="shared" si="121"/>
        <v>1101880.3576955772</v>
      </c>
      <c r="K1561" s="1">
        <f>D1561*$E$1867/E1561</f>
        <v>96.300359195402308</v>
      </c>
      <c r="L1561" s="26">
        <f t="shared" si="119"/>
        <v>41395.128132042162</v>
      </c>
      <c r="M1561" s="10">
        <f t="shared" si="117"/>
        <v>37.274238004497207</v>
      </c>
      <c r="N1561" s="4">
        <f t="shared" si="118"/>
        <v>40.059879473596055</v>
      </c>
      <c r="O1561" s="36">
        <f>1/M1561-(G1561/100-(((E1561/E1441)^(1/10))-1))</f>
        <v>1.0472183525711276E-3</v>
      </c>
      <c r="P1561" s="48">
        <v>5.77</v>
      </c>
      <c r="R1561" s="30"/>
      <c r="S1561" s="30"/>
    </row>
    <row r="1562" spans="1:19" ht="13" x14ac:dyDescent="0.3">
      <c r="A1562" s="52" t="s">
        <v>1578</v>
      </c>
      <c r="B1562" s="6">
        <v>1335.63</v>
      </c>
      <c r="C1562" s="1">
        <f>C1561*2/3+C1564/3</f>
        <v>16.169999999999998</v>
      </c>
      <c r="D1562" s="6">
        <f>(2*D1561+D1564)/3</f>
        <v>48.48</v>
      </c>
      <c r="E1562" s="6">
        <v>175.1</v>
      </c>
      <c r="F1562" s="1">
        <f t="shared" si="120"/>
        <v>2001.0416666665485</v>
      </c>
      <c r="G1562" s="17">
        <v>5.16</v>
      </c>
      <c r="H1562" s="1">
        <f>B1562*$E$1867/E1562</f>
        <v>2556.2726308252427</v>
      </c>
      <c r="I1562" s="1">
        <f>C1562*$E$1867/E1562</f>
        <v>30.947888592233006</v>
      </c>
      <c r="J1562" s="26">
        <f t="shared" si="121"/>
        <v>1099933.495882968</v>
      </c>
      <c r="K1562" s="1">
        <f>D1562*$E$1867/E1562</f>
        <v>92.786248543689311</v>
      </c>
      <c r="L1562" s="26">
        <f t="shared" si="119"/>
        <v>39924.811422629231</v>
      </c>
      <c r="M1562" s="10">
        <f t="shared" si="117"/>
        <v>36.978867997029823</v>
      </c>
      <c r="N1562" s="4">
        <f t="shared" si="118"/>
        <v>39.712809789447135</v>
      </c>
      <c r="O1562" s="36">
        <f>1/M1562-(G1562/100-(((E1562/E1442)^(1/10))-1))</f>
        <v>2.0964838742171671E-3</v>
      </c>
      <c r="P1562" s="48">
        <v>5.15</v>
      </c>
      <c r="R1562" s="30"/>
      <c r="S1562" s="30"/>
    </row>
    <row r="1563" spans="1:19" ht="13" x14ac:dyDescent="0.3">
      <c r="A1563" s="52" t="s">
        <v>1579</v>
      </c>
      <c r="B1563" s="6">
        <v>1305.75</v>
      </c>
      <c r="C1563" s="1">
        <f>C1561/3+C1564*2/3</f>
        <v>16.07</v>
      </c>
      <c r="D1563" s="6">
        <f>(D1561+2*D1564)/3</f>
        <v>46.96</v>
      </c>
      <c r="E1563" s="6">
        <v>175.8</v>
      </c>
      <c r="F1563" s="1">
        <f t="shared" si="120"/>
        <v>2001.1249999998818</v>
      </c>
      <c r="G1563" s="17">
        <v>5.0999999999999996</v>
      </c>
      <c r="H1563" s="1">
        <f>B1563*$E$1867/E1563</f>
        <v>2489.1342160836175</v>
      </c>
      <c r="I1563" s="1">
        <f>C1563*$E$1867/E1563</f>
        <v>30.634031669510808</v>
      </c>
      <c r="J1563" s="26">
        <f t="shared" si="121"/>
        <v>1072143.0948973503</v>
      </c>
      <c r="K1563" s="1">
        <f>D1563*$E$1867/E1563</f>
        <v>89.519236291240034</v>
      </c>
      <c r="L1563" s="26">
        <f t="shared" si="119"/>
        <v>38558.560012544185</v>
      </c>
      <c r="M1563" s="10">
        <f t="shared" si="117"/>
        <v>35.834662651431294</v>
      </c>
      <c r="N1563" s="4">
        <f t="shared" si="118"/>
        <v>38.458570743648075</v>
      </c>
      <c r="O1563" s="36">
        <f>1/M1563-(G1563/100-(((E1563/E1443)^(1/10))-1))</f>
        <v>3.817158867903292E-3</v>
      </c>
      <c r="P1563" s="48">
        <v>4.88</v>
      </c>
      <c r="R1563" s="30"/>
      <c r="S1563" s="30"/>
    </row>
    <row r="1564" spans="1:19" ht="13" x14ac:dyDescent="0.3">
      <c r="A1564" s="52" t="s">
        <v>1580</v>
      </c>
      <c r="B1564" s="6">
        <v>1185.8499999999999</v>
      </c>
      <c r="C1564" s="1">
        <v>15.97</v>
      </c>
      <c r="D1564" s="6">
        <v>45.44</v>
      </c>
      <c r="E1564" s="6">
        <v>176.2</v>
      </c>
      <c r="F1564" s="1">
        <f t="shared" si="120"/>
        <v>2001.208333333215</v>
      </c>
      <c r="G1564" s="17">
        <v>4.8899999999999997</v>
      </c>
      <c r="H1564" s="1">
        <f>B1564*$E$1867/E1564</f>
        <v>2255.4385795261064</v>
      </c>
      <c r="I1564" s="1">
        <f>C1564*$E$1867/E1564</f>
        <v>30.374291955164587</v>
      </c>
      <c r="J1564" s="26">
        <f t="shared" si="121"/>
        <v>972573.7898382534</v>
      </c>
      <c r="K1564" s="1">
        <f>D1564*$E$1867/E1564</f>
        <v>86.425036095346201</v>
      </c>
      <c r="L1564" s="26">
        <f t="shared" si="119"/>
        <v>37267.574322427157</v>
      </c>
      <c r="M1564" s="10">
        <f t="shared" si="117"/>
        <v>32.325837236178756</v>
      </c>
      <c r="N1564" s="4">
        <f t="shared" si="118"/>
        <v>34.675224630315938</v>
      </c>
      <c r="O1564" s="36">
        <f>1/M1564-(G1564/100-(((E1564/E1444)^(1/10))-1))</f>
        <v>9.0273687409000401E-3</v>
      </c>
      <c r="P1564" s="48">
        <v>4.42</v>
      </c>
      <c r="R1564" s="30"/>
      <c r="S1564" s="30"/>
    </row>
    <row r="1565" spans="1:19" ht="13" x14ac:dyDescent="0.3">
      <c r="A1565" s="52" t="s">
        <v>1581</v>
      </c>
      <c r="B1565" s="6">
        <v>1189.8399999999999</v>
      </c>
      <c r="C1565" s="1">
        <f>C1564*2/3+C1567/3</f>
        <v>15.876666666666665</v>
      </c>
      <c r="D1565" s="6">
        <f>(2*D1564+D1567)/3</f>
        <v>42.556666666666665</v>
      </c>
      <c r="E1565" s="6">
        <v>176.9</v>
      </c>
      <c r="F1565" s="1">
        <f t="shared" si="120"/>
        <v>2001.2916666665483</v>
      </c>
      <c r="G1565" s="17">
        <v>5.14</v>
      </c>
      <c r="H1565" s="1">
        <f>B1565*$E$1867/E1565</f>
        <v>2254.0725124929336</v>
      </c>
      <c r="I1565" s="1">
        <f>C1565*$E$1867/E1565</f>
        <v>30.077285957226298</v>
      </c>
      <c r="J1565" s="26">
        <f t="shared" si="121"/>
        <v>973065.53337366343</v>
      </c>
      <c r="K1565" s="1">
        <f>D1565*$E$1867/E1565</f>
        <v>80.620766285095144</v>
      </c>
      <c r="L1565" s="26">
        <f t="shared" si="119"/>
        <v>34803.35637447489</v>
      </c>
      <c r="M1565" s="10">
        <f t="shared" si="117"/>
        <v>32.1739011683607</v>
      </c>
      <c r="N1565" s="4">
        <f t="shared" si="118"/>
        <v>34.496099624617536</v>
      </c>
      <c r="O1565" s="36">
        <f>1/M1565-(G1565/100-(((E1565/E1445)^(1/10))-1))</f>
        <v>6.9286425381250225E-3</v>
      </c>
      <c r="P1565" s="48">
        <v>3.87</v>
      </c>
      <c r="R1565" s="30"/>
      <c r="S1565" s="30"/>
    </row>
    <row r="1566" spans="1:19" ht="13" x14ac:dyDescent="0.3">
      <c r="A1566" s="52" t="s">
        <v>1582</v>
      </c>
      <c r="B1566" s="6">
        <v>1270.3699999999999</v>
      </c>
      <c r="C1566" s="1">
        <f>C1564/3+C1567*2/3</f>
        <v>15.783333333333331</v>
      </c>
      <c r="D1566" s="6">
        <f>(D1564+2*D1567)/3</f>
        <v>39.673333333333332</v>
      </c>
      <c r="E1566" s="6">
        <v>177.7</v>
      </c>
      <c r="F1566" s="1">
        <f t="shared" si="120"/>
        <v>2001.3749999998815</v>
      </c>
      <c r="G1566" s="17">
        <v>5.39</v>
      </c>
      <c r="H1566" s="1">
        <f>B1566*$E$1867/E1566</f>
        <v>2395.7966451463139</v>
      </c>
      <c r="I1566" s="1">
        <f>C1566*$E$1867/E1566</f>
        <v>29.765861165822542</v>
      </c>
      <c r="J1566" s="26">
        <f t="shared" si="121"/>
        <v>1035317.544234986</v>
      </c>
      <c r="K1566" s="1">
        <f>D1566*$E$1867/E1566</f>
        <v>74.820122406677925</v>
      </c>
      <c r="L1566" s="26">
        <f t="shared" si="119"/>
        <v>32332.704675238456</v>
      </c>
      <c r="M1566" s="10">
        <f t="shared" si="117"/>
        <v>34.074643217140043</v>
      </c>
      <c r="N1566" s="4">
        <f t="shared" si="118"/>
        <v>36.517428561211986</v>
      </c>
      <c r="O1566" s="36">
        <f>1/M1566-(G1566/100-(((E1566/E1446)^(1/10))-1))</f>
        <v>2.8549355130883317E-3</v>
      </c>
      <c r="P1566" s="48">
        <v>3.62</v>
      </c>
      <c r="R1566" s="30"/>
      <c r="S1566" s="30"/>
    </row>
    <row r="1567" spans="1:19" ht="13" x14ac:dyDescent="0.3">
      <c r="A1567" s="52" t="s">
        <v>1583</v>
      </c>
      <c r="B1567" s="6">
        <v>1238.71</v>
      </c>
      <c r="C1567" s="1">
        <v>15.69</v>
      </c>
      <c r="D1567" s="6">
        <v>36.79</v>
      </c>
      <c r="E1567" s="6">
        <v>178</v>
      </c>
      <c r="F1567" s="1">
        <f t="shared" si="120"/>
        <v>2001.4583333332148</v>
      </c>
      <c r="G1567" s="17">
        <v>5.28</v>
      </c>
      <c r="H1567" s="1">
        <f>B1567*$E$1867/E1567</f>
        <v>2332.151676558989</v>
      </c>
      <c r="I1567" s="1">
        <f>C1567*$E$1867/E1567</f>
        <v>29.539972879213483</v>
      </c>
      <c r="J1567" s="26">
        <f t="shared" si="121"/>
        <v>1008877.8427015109</v>
      </c>
      <c r="K1567" s="1">
        <f>D1567*$E$1867/E1567</f>
        <v>69.26549408707865</v>
      </c>
      <c r="L1567" s="26">
        <f t="shared" si="119"/>
        <v>29963.926853733788</v>
      </c>
      <c r="M1567" s="10">
        <f t="shared" si="117"/>
        <v>33.068534411112779</v>
      </c>
      <c r="N1567" s="4">
        <f t="shared" si="118"/>
        <v>35.42685932267451</v>
      </c>
      <c r="O1567" s="36">
        <f>1/M1567-(G1567/100-(((E1567/E1447)^(1/10))-1))</f>
        <v>4.7185158539475268E-3</v>
      </c>
      <c r="P1567" s="48">
        <v>3.49</v>
      </c>
      <c r="R1567" s="30"/>
      <c r="S1567" s="30"/>
    </row>
    <row r="1568" spans="1:19" ht="13" x14ac:dyDescent="0.3">
      <c r="A1568" s="52" t="s">
        <v>1584</v>
      </c>
      <c r="B1568" s="6">
        <v>1204.45</v>
      </c>
      <c r="C1568" s="1">
        <f>C1567*2/3+C1570/3</f>
        <v>15.706666666666667</v>
      </c>
      <c r="D1568" s="6">
        <f>(2*D1567+D1570)/3</f>
        <v>33.963333333333331</v>
      </c>
      <c r="E1568" s="6">
        <v>177.5</v>
      </c>
      <c r="F1568" s="1">
        <f t="shared" si="120"/>
        <v>2001.5416666665481</v>
      </c>
      <c r="G1568" s="17">
        <v>5.24</v>
      </c>
      <c r="H1568" s="1">
        <f>B1568*$E$1867/E1568</f>
        <v>2274.0372245774647</v>
      </c>
      <c r="I1568" s="1">
        <f>C1568*$E$1867/E1568</f>
        <v>29.654651230046948</v>
      </c>
      <c r="J1568" s="26">
        <f t="shared" si="121"/>
        <v>984806.84274787875</v>
      </c>
      <c r="K1568" s="1">
        <f>D1568*$E$1867/E1568</f>
        <v>64.123777882629099</v>
      </c>
      <c r="L1568" s="26">
        <f t="shared" si="119"/>
        <v>27769.789587939544</v>
      </c>
      <c r="M1568" s="10">
        <f t="shared" si="117"/>
        <v>32.163038687444363</v>
      </c>
      <c r="N1568" s="4">
        <f t="shared" si="118"/>
        <v>34.44859395765036</v>
      </c>
      <c r="O1568" s="36">
        <f>1/M1568-(G1568/100-(((E1568/E1448)^(1/10))-1))</f>
        <v>5.5300455517572102E-3</v>
      </c>
      <c r="P1568" s="48">
        <v>3.51</v>
      </c>
      <c r="R1568" s="30"/>
      <c r="S1568" s="30"/>
    </row>
    <row r="1569" spans="1:19" ht="13" x14ac:dyDescent="0.3">
      <c r="A1569" s="52" t="s">
        <v>1585</v>
      </c>
      <c r="B1569" s="6">
        <v>1178.5</v>
      </c>
      <c r="C1569" s="1">
        <f>C1567/3+C1570*2/3</f>
        <v>15.723333333333333</v>
      </c>
      <c r="D1569" s="6">
        <f>(D1567+2*D1570)/3</f>
        <v>31.136666666666667</v>
      </c>
      <c r="E1569" s="6">
        <v>177.5</v>
      </c>
      <c r="F1569" s="1">
        <f t="shared" si="120"/>
        <v>2001.6249999998813</v>
      </c>
      <c r="G1569" s="17">
        <v>4.97</v>
      </c>
      <c r="H1569" s="1">
        <f>B1569*$E$1867/E1569</f>
        <v>2225.0428570422532</v>
      </c>
      <c r="I1569" s="1">
        <f>C1569*$E$1867/E1569</f>
        <v>29.686118389671357</v>
      </c>
      <c r="J1569" s="26">
        <f t="shared" si="121"/>
        <v>964660.41321751091</v>
      </c>
      <c r="K1569" s="1">
        <f>D1569*$E$1867/E1569</f>
        <v>58.786947610328639</v>
      </c>
      <c r="L1569" s="26">
        <f t="shared" si="119"/>
        <v>25486.898373256317</v>
      </c>
      <c r="M1569" s="10">
        <f t="shared" si="117"/>
        <v>31.40431876078015</v>
      </c>
      <c r="N1569" s="4">
        <f t="shared" si="118"/>
        <v>33.631390163183077</v>
      </c>
      <c r="O1569" s="36">
        <f>1/M1569-(G1569/100-(((E1569/E1449)^(1/10))-1))</f>
        <v>8.6801283126884468E-3</v>
      </c>
      <c r="P1569" s="48">
        <v>3.36</v>
      </c>
      <c r="R1569" s="30"/>
      <c r="S1569" s="30"/>
    </row>
    <row r="1570" spans="1:19" ht="13" x14ac:dyDescent="0.3">
      <c r="A1570" s="52" t="s">
        <v>1586</v>
      </c>
      <c r="B1570" s="6">
        <v>1044.6400000000001</v>
      </c>
      <c r="C1570" s="1">
        <v>15.74</v>
      </c>
      <c r="D1570" s="6">
        <v>28.31</v>
      </c>
      <c r="E1570" s="6">
        <v>178.3</v>
      </c>
      <c r="F1570" s="1">
        <f t="shared" si="120"/>
        <v>2001.7083333332146</v>
      </c>
      <c r="G1570" s="17">
        <v>4.7300000000000004</v>
      </c>
      <c r="H1570" s="1">
        <f>B1570*$E$1867/E1570</f>
        <v>1963.4618124509254</v>
      </c>
      <c r="I1570" s="1">
        <f>C1570*$E$1867/E1570</f>
        <v>29.584248093101511</v>
      </c>
      <c r="J1570" s="26">
        <f t="shared" si="121"/>
        <v>852321.61113180348</v>
      </c>
      <c r="K1570" s="1">
        <f>D1570*$E$1867/E1570</f>
        <v>53.210296284352204</v>
      </c>
      <c r="L1570" s="26">
        <f t="shared" si="119"/>
        <v>23098.124532031467</v>
      </c>
      <c r="M1570" s="10">
        <f t="shared" si="117"/>
        <v>27.667392586862501</v>
      </c>
      <c r="N1570" s="4">
        <f t="shared" si="118"/>
        <v>29.631910124299591</v>
      </c>
      <c r="O1570" s="36">
        <f>1/M1570-(G1570/100-(((E1570/E1450)^(1/10))-1))</f>
        <v>1.5392721950809533E-2</v>
      </c>
      <c r="P1570" s="48">
        <v>2.64</v>
      </c>
      <c r="R1570" s="30"/>
      <c r="S1570" s="30"/>
    </row>
    <row r="1571" spans="1:19" ht="13" x14ac:dyDescent="0.3">
      <c r="A1571" s="52" t="s">
        <v>1587</v>
      </c>
      <c r="B1571" s="6">
        <v>1076.5899999999999</v>
      </c>
      <c r="C1571" s="1">
        <f>C1570*2/3+C1573/3</f>
        <v>15.740000000000002</v>
      </c>
      <c r="D1571" s="6">
        <f>(2*D1570+D1573)/3</f>
        <v>27.103333333333335</v>
      </c>
      <c r="E1571" s="6">
        <v>177.7</v>
      </c>
      <c r="F1571" s="1">
        <f t="shared" si="120"/>
        <v>2001.7916666665478</v>
      </c>
      <c r="G1571" s="17">
        <v>4.57</v>
      </c>
      <c r="H1571" s="1">
        <f>B1571*$E$1867/E1571</f>
        <v>2030.346048944851</v>
      </c>
      <c r="I1571" s="1">
        <f>C1571*$E$1867/E1571</f>
        <v>29.684138632526739</v>
      </c>
      <c r="J1571" s="26">
        <f t="shared" si="121"/>
        <v>882429.27568545879</v>
      </c>
      <c r="K1571" s="1">
        <f>D1571*$E$1867/E1571</f>
        <v>51.114301402175954</v>
      </c>
      <c r="L1571" s="26">
        <f t="shared" si="119"/>
        <v>22215.304621067338</v>
      </c>
      <c r="M1571" s="10">
        <f t="shared" si="117"/>
        <v>28.57737311336011</v>
      </c>
      <c r="N1571" s="4">
        <f t="shared" si="118"/>
        <v>30.610210495719638</v>
      </c>
      <c r="O1571" s="36">
        <f>1/M1571-(G1571/100-(((E1571/E1451)^(1/10))-1))</f>
        <v>1.5346369150707015E-2</v>
      </c>
      <c r="P1571" s="48">
        <v>2.16</v>
      </c>
      <c r="R1571" s="30"/>
      <c r="S1571" s="30"/>
    </row>
    <row r="1572" spans="1:19" ht="13" x14ac:dyDescent="0.3">
      <c r="A1572" s="52" t="s">
        <v>1588</v>
      </c>
      <c r="B1572" s="6">
        <v>1129.68</v>
      </c>
      <c r="C1572" s="1">
        <f>C1570/3+C1573*2/3</f>
        <v>15.740000000000002</v>
      </c>
      <c r="D1572" s="6">
        <f>(D1570+2*D1573)/3</f>
        <v>25.896666666666665</v>
      </c>
      <c r="E1572" s="6">
        <v>177.4</v>
      </c>
      <c r="F1572" s="1">
        <f t="shared" si="120"/>
        <v>2001.8749999998811</v>
      </c>
      <c r="G1572" s="17">
        <v>4.6500000000000004</v>
      </c>
      <c r="H1572" s="1">
        <f>B1572*$E$1867/E1572</f>
        <v>2134.0715468996618</v>
      </c>
      <c r="I1572" s="1">
        <f>C1572*$E$1867/E1572</f>
        <v>29.734337288613307</v>
      </c>
      <c r="J1572" s="26">
        <f t="shared" si="121"/>
        <v>928587.39417735953</v>
      </c>
      <c r="K1572" s="1">
        <f>D1572*$E$1867/E1572</f>
        <v>48.921233882938743</v>
      </c>
      <c r="L1572" s="26">
        <f t="shared" si="119"/>
        <v>21286.840714078047</v>
      </c>
      <c r="M1572" s="10">
        <f t="shared" si="117"/>
        <v>30.005103811056816</v>
      </c>
      <c r="N1572" s="4">
        <f t="shared" si="118"/>
        <v>32.143096534852361</v>
      </c>
      <c r="O1572" s="36">
        <f>1/M1572-(G1572/100-(((E1572/E1452)^(1/10))-1))</f>
        <v>1.240978113499086E-2</v>
      </c>
      <c r="P1572" s="48">
        <v>1.87</v>
      </c>
      <c r="R1572" s="30"/>
      <c r="S1572" s="30"/>
    </row>
    <row r="1573" spans="1:19" ht="13" x14ac:dyDescent="0.3">
      <c r="A1573" s="52" t="s">
        <v>1589</v>
      </c>
      <c r="B1573" s="6">
        <v>1144.93</v>
      </c>
      <c r="C1573" s="1">
        <v>15.74</v>
      </c>
      <c r="D1573" s="6">
        <v>24.69</v>
      </c>
      <c r="E1573" s="6">
        <v>176.7</v>
      </c>
      <c r="F1573" s="1">
        <f t="shared" si="120"/>
        <v>2001.9583333332143</v>
      </c>
      <c r="G1573" s="17">
        <v>5.09</v>
      </c>
      <c r="H1573" s="1">
        <f>B1573*$E$1867/E1573</f>
        <v>2171.4485143322017</v>
      </c>
      <c r="I1573" s="1">
        <f>C1573*$E$1867/E1573</f>
        <v>29.852130362195815</v>
      </c>
      <c r="J1573" s="26">
        <f t="shared" si="121"/>
        <v>945933.48870709515</v>
      </c>
      <c r="K1573" s="1">
        <f>D1573*$E$1867/E1573</f>
        <v>46.826499278438028</v>
      </c>
      <c r="L1573" s="26">
        <f t="shared" si="119"/>
        <v>20398.71244196429</v>
      </c>
      <c r="M1573" s="10">
        <f t="shared" si="117"/>
        <v>30.499953255020458</v>
      </c>
      <c r="N1573" s="4">
        <f t="shared" si="118"/>
        <v>32.677962674930114</v>
      </c>
      <c r="O1573" s="36">
        <f>1/M1573-(G1573/100-(((E1573/E1453)^(1/10))-1))</f>
        <v>6.9892836391996158E-3</v>
      </c>
      <c r="P1573" s="48">
        <v>1.69</v>
      </c>
      <c r="R1573" s="30"/>
      <c r="S1573" s="30"/>
    </row>
    <row r="1574" spans="1:19" ht="13" x14ac:dyDescent="0.3">
      <c r="A1574" s="52" t="s">
        <v>1590</v>
      </c>
      <c r="B1574" s="6">
        <v>1140.21</v>
      </c>
      <c r="C1574" s="1">
        <f>C1573*2/3+C1576/3</f>
        <v>15.736666666666668</v>
      </c>
      <c r="D1574" s="6">
        <f>(2*D1573+D1576)/3</f>
        <v>24.693333333333332</v>
      </c>
      <c r="E1574" s="6">
        <v>177.1</v>
      </c>
      <c r="F1574" s="1">
        <f t="shared" si="120"/>
        <v>2002.0416666665476</v>
      </c>
      <c r="G1574" s="17">
        <v>5.04</v>
      </c>
      <c r="H1574" s="1">
        <f>B1574*$E$1867/E1574</f>
        <v>2157.6124297148504</v>
      </c>
      <c r="I1574" s="1">
        <f>C1574*$E$1867/E1574</f>
        <v>29.7783983672125</v>
      </c>
      <c r="J1574" s="26">
        <f t="shared" si="121"/>
        <v>940987.18195995723</v>
      </c>
      <c r="K1574" s="1">
        <f>D1574*$E$1867/E1574</f>
        <v>46.727044080557121</v>
      </c>
      <c r="L1574" s="26">
        <f t="shared" si="119"/>
        <v>20378.79877086783</v>
      </c>
      <c r="M1574" s="10">
        <f t="shared" si="117"/>
        <v>30.277204433095996</v>
      </c>
      <c r="N1574" s="4">
        <f t="shared" si="118"/>
        <v>32.445677897691283</v>
      </c>
      <c r="O1574" s="36">
        <f>1/M1574-(G1574/100-(((E1574/E1454)^(1/10))-1))</f>
        <v>7.813726902738849E-3</v>
      </c>
      <c r="P1574" s="48">
        <v>1.65</v>
      </c>
      <c r="R1574" s="30"/>
      <c r="S1574" s="30"/>
    </row>
    <row r="1575" spans="1:19" ht="13" x14ac:dyDescent="0.3">
      <c r="A1575" s="52" t="s">
        <v>1591</v>
      </c>
      <c r="B1575" s="6">
        <v>1100.67</v>
      </c>
      <c r="C1575" s="1">
        <f>C1573/3+C1576*2/3</f>
        <v>15.733333333333334</v>
      </c>
      <c r="D1575" s="6">
        <f>(D1573+2*D1576)/3</f>
        <v>24.696666666666669</v>
      </c>
      <c r="E1575" s="6">
        <v>177.8</v>
      </c>
      <c r="F1575" s="1">
        <f t="shared" si="120"/>
        <v>2002.1249999998809</v>
      </c>
      <c r="G1575" s="17">
        <v>4.91</v>
      </c>
      <c r="H1575" s="1">
        <f>B1575*$E$1867/E1575</f>
        <v>2074.5911637654667</v>
      </c>
      <c r="I1575" s="1">
        <f>C1575*$E$1867/E1575</f>
        <v>29.654877765279338</v>
      </c>
      <c r="J1575" s="26">
        <f t="shared" si="121"/>
        <v>905857.35926507856</v>
      </c>
      <c r="K1575" s="1">
        <f>D1575*$E$1867/E1575</f>
        <v>46.549362153168353</v>
      </c>
      <c r="L1575" s="26">
        <f t="shared" si="119"/>
        <v>20325.490155374959</v>
      </c>
      <c r="M1575" s="10">
        <f t="shared" si="117"/>
        <v>29.085704152008429</v>
      </c>
      <c r="N1575" s="4">
        <f t="shared" si="118"/>
        <v>31.176385637974697</v>
      </c>
      <c r="O1575" s="36">
        <f>1/M1575-(G1575/100-(((E1575/E1455)^(1/10))-1))</f>
        <v>1.0500638782444595E-2</v>
      </c>
      <c r="P1575" s="48">
        <v>1.72</v>
      </c>
      <c r="R1575" s="30"/>
      <c r="S1575" s="30"/>
    </row>
    <row r="1576" spans="1:19" ht="13" x14ac:dyDescent="0.3">
      <c r="A1576" s="52" t="s">
        <v>1592</v>
      </c>
      <c r="B1576" s="6">
        <v>1153.79</v>
      </c>
      <c r="C1576" s="1">
        <v>15.73</v>
      </c>
      <c r="D1576" s="6">
        <v>24.7</v>
      </c>
      <c r="E1576" s="6">
        <v>178.8</v>
      </c>
      <c r="F1576" s="1">
        <f t="shared" si="120"/>
        <v>2002.2083333332141</v>
      </c>
      <c r="G1576" s="17">
        <v>5.28</v>
      </c>
      <c r="H1576" s="1">
        <f>B1576*$E$1867/E1576</f>
        <v>2162.5512427153244</v>
      </c>
      <c r="I1576" s="1">
        <f>C1576*$E$1867/E1576</f>
        <v>29.482775069910513</v>
      </c>
      <c r="J1576" s="26">
        <f t="shared" si="121"/>
        <v>945337.37119844579</v>
      </c>
      <c r="K1576" s="1">
        <f>D1576*$E$1867/E1576</f>
        <v>46.295266638702458</v>
      </c>
      <c r="L1576" s="26">
        <f t="shared" si="119"/>
        <v>20237.506884789789</v>
      </c>
      <c r="M1576" s="10">
        <f t="shared" si="117"/>
        <v>30.292130640918678</v>
      </c>
      <c r="N1576" s="4">
        <f t="shared" si="118"/>
        <v>32.475809252848016</v>
      </c>
      <c r="O1576" s="36">
        <f>1/M1576-(G1576/100-(((E1576/E1456)^(1/10))-1))</f>
        <v>5.4898769415986301E-3</v>
      </c>
      <c r="P1576" s="48">
        <v>1.79</v>
      </c>
      <c r="R1576" s="30"/>
      <c r="S1576" s="30"/>
    </row>
    <row r="1577" spans="1:19" ht="13" x14ac:dyDescent="0.3">
      <c r="A1577" s="52" t="s">
        <v>1593</v>
      </c>
      <c r="B1577" s="6">
        <v>1111.93</v>
      </c>
      <c r="C1577" s="1">
        <f>C1576*2/3+C1579/3</f>
        <v>15.833333333333332</v>
      </c>
      <c r="D1577" s="6">
        <f>(2*D1576+D1579)/3</f>
        <v>25.38</v>
      </c>
      <c r="E1577" s="6">
        <v>179.8</v>
      </c>
      <c r="F1577" s="1">
        <f t="shared" si="120"/>
        <v>2002.2916666665474</v>
      </c>
      <c r="G1577" s="17">
        <v>5.21</v>
      </c>
      <c r="H1577" s="1">
        <f>B1577*$E$1867/E1577</f>
        <v>2072.5017754866521</v>
      </c>
      <c r="I1577" s="1">
        <f>C1577*$E$1867/E1577</f>
        <v>29.511400398591022</v>
      </c>
      <c r="J1577" s="26">
        <f t="shared" si="121"/>
        <v>907048.20952704863</v>
      </c>
      <c r="K1577" s="1">
        <f>D1577*$E$1867/E1577</f>
        <v>47.305221607341487</v>
      </c>
      <c r="L1577" s="26">
        <f t="shared" si="119"/>
        <v>20703.536695472278</v>
      </c>
      <c r="M1577" s="10">
        <f t="shared" si="117"/>
        <v>29.005883253118693</v>
      </c>
      <c r="N1577" s="4">
        <f t="shared" si="118"/>
        <v>31.104690399704168</v>
      </c>
      <c r="O1577" s="36">
        <f>1/M1577-(G1577/100-(((E1577/E1457)^(1/10))-1))</f>
        <v>8.0785808107927057E-3</v>
      </c>
      <c r="P1577" s="48">
        <v>1.71</v>
      </c>
      <c r="R1577" s="30"/>
      <c r="S1577" s="30"/>
    </row>
    <row r="1578" spans="1:19" ht="13" x14ac:dyDescent="0.3">
      <c r="A1578" s="52" t="s">
        <v>1594</v>
      </c>
      <c r="B1578" s="6">
        <v>1079.25</v>
      </c>
      <c r="C1578" s="1">
        <f>C1576/3+C1579*2/3</f>
        <v>15.936666666666667</v>
      </c>
      <c r="D1578" s="6">
        <f>(D1576+2*D1579)/3</f>
        <v>26.06</v>
      </c>
      <c r="E1578" s="6">
        <v>179.8</v>
      </c>
      <c r="F1578" s="1">
        <f t="shared" si="120"/>
        <v>2002.3749999998806</v>
      </c>
      <c r="G1578" s="17">
        <v>5.16</v>
      </c>
      <c r="H1578" s="1">
        <f>B1578*$E$1867/E1578</f>
        <v>2011.5902450639599</v>
      </c>
      <c r="I1578" s="1">
        <f>C1578*$E$1867/E1578</f>
        <v>29.704001116981829</v>
      </c>
      <c r="J1578" s="26">
        <f t="shared" si="121"/>
        <v>881473.10581231385</v>
      </c>
      <c r="K1578" s="1">
        <f>D1578*$E$1867/E1578</f>
        <v>48.57265859288097</v>
      </c>
      <c r="L1578" s="26">
        <f t="shared" si="119"/>
        <v>21284.400405345281</v>
      </c>
      <c r="M1578" s="10">
        <f t="shared" si="117"/>
        <v>28.128107508688338</v>
      </c>
      <c r="N1578" s="4">
        <f t="shared" si="118"/>
        <v>30.171984137541539</v>
      </c>
      <c r="O1578" s="36">
        <f>1/M1578-(G1578/100-(((E1578/E1458)^(1/10))-1))</f>
        <v>9.5075054739182652E-3</v>
      </c>
      <c r="P1578" s="48">
        <v>1.73</v>
      </c>
      <c r="R1578" s="30"/>
      <c r="S1578" s="30"/>
    </row>
    <row r="1579" spans="1:19" ht="13" x14ac:dyDescent="0.3">
      <c r="A1579" s="52" t="s">
        <v>1595</v>
      </c>
      <c r="B1579" s="6">
        <v>1014.02</v>
      </c>
      <c r="C1579" s="1">
        <v>16.04</v>
      </c>
      <c r="D1579" s="6">
        <v>26.74</v>
      </c>
      <c r="E1579" s="6">
        <v>179.9</v>
      </c>
      <c r="F1579" s="1">
        <f t="shared" si="120"/>
        <v>2002.4583333332139</v>
      </c>
      <c r="G1579" s="17">
        <v>4.93</v>
      </c>
      <c r="H1579" s="1">
        <f>B1579*$E$1867/E1579</f>
        <v>1888.9588994163423</v>
      </c>
      <c r="I1579" s="1">
        <f>C1579*$E$1867/E1579</f>
        <v>29.879983379655361</v>
      </c>
      <c r="J1579" s="26">
        <f t="shared" si="121"/>
        <v>828827.51033619617</v>
      </c>
      <c r="K1579" s="1">
        <f>D1579*$E$1867/E1579</f>
        <v>49.812391245136176</v>
      </c>
      <c r="L1579" s="26">
        <f t="shared" si="119"/>
        <v>21856.420609445457</v>
      </c>
      <c r="M1579" s="10">
        <f t="shared" si="117"/>
        <v>26.387672541183363</v>
      </c>
      <c r="N1579" s="4">
        <f t="shared" si="118"/>
        <v>28.315227417431355</v>
      </c>
      <c r="O1579" s="36">
        <f>1/M1579-(G1579/100-(((E1579/E1459)^(1/10))-1))</f>
        <v>1.3843029904263129E-2</v>
      </c>
      <c r="P1579" s="48">
        <v>1.7</v>
      </c>
      <c r="R1579" s="30"/>
      <c r="S1579" s="30"/>
    </row>
    <row r="1580" spans="1:19" ht="13" x14ac:dyDescent="0.3">
      <c r="A1580" s="52" t="s">
        <v>1596</v>
      </c>
      <c r="B1580" s="6">
        <v>903.59</v>
      </c>
      <c r="C1580" s="1">
        <f>C1579*2/3+C1582/3</f>
        <v>15.96</v>
      </c>
      <c r="D1580" s="6">
        <f>(2*D1579+D1582)/3</f>
        <v>27.84</v>
      </c>
      <c r="E1580" s="6">
        <v>180.1</v>
      </c>
      <c r="F1580" s="1">
        <f t="shared" si="120"/>
        <v>2002.5416666665471</v>
      </c>
      <c r="G1580" s="17">
        <v>4.6500000000000004</v>
      </c>
      <c r="H1580" s="1">
        <f>B1580*$E$1867/E1580</f>
        <v>1681.3760391310384</v>
      </c>
      <c r="I1580" s="1">
        <f>C1580*$E$1867/E1580</f>
        <v>29.697939977790121</v>
      </c>
      <c r="J1580" s="26">
        <f t="shared" si="121"/>
        <v>738831.28038817039</v>
      </c>
      <c r="K1580" s="1">
        <f>D1580*$E$1867/E1580</f>
        <v>51.803925374791781</v>
      </c>
      <c r="L1580" s="26">
        <f t="shared" si="119"/>
        <v>22763.712354061758</v>
      </c>
      <c r="M1580" s="10">
        <f t="shared" si="117"/>
        <v>23.463120467431445</v>
      </c>
      <c r="N1580" s="4">
        <f t="shared" si="118"/>
        <v>25.189619576345276</v>
      </c>
      <c r="O1580" s="36">
        <f>1/M1580-(G1580/100-(((E1580/E1460)^(1/10))-1))</f>
        <v>2.12613970435735E-2</v>
      </c>
      <c r="P1580" s="48">
        <v>1.68</v>
      </c>
      <c r="R1580" s="30"/>
      <c r="S1580" s="30"/>
    </row>
    <row r="1581" spans="1:19" ht="13" x14ac:dyDescent="0.3">
      <c r="A1581" s="52" t="s">
        <v>1597</v>
      </c>
      <c r="B1581" s="6">
        <v>912.55</v>
      </c>
      <c r="C1581" s="1">
        <f>C1579/3+C1582*2/3</f>
        <v>15.879999999999999</v>
      </c>
      <c r="D1581" s="6">
        <f>(D1579+2*D1582)/3</f>
        <v>28.939999999999998</v>
      </c>
      <c r="E1581" s="6">
        <v>180.7</v>
      </c>
      <c r="F1581" s="1">
        <f t="shared" si="120"/>
        <v>2002.6249999998804</v>
      </c>
      <c r="G1581" s="17">
        <v>4.26</v>
      </c>
      <c r="H1581" s="1">
        <f>B1581*$E$1867/E1581</f>
        <v>1692.4103314194797</v>
      </c>
      <c r="I1581" s="1">
        <f>C1581*$E$1867/E1581</f>
        <v>29.450962755949085</v>
      </c>
      <c r="J1581" s="26">
        <f t="shared" si="121"/>
        <v>744758.42246972432</v>
      </c>
      <c r="K1581" s="1">
        <f>D1581*$E$1867/E1581</f>
        <v>53.671968649695629</v>
      </c>
      <c r="L1581" s="26">
        <f t="shared" si="119"/>
        <v>23618.770200289106</v>
      </c>
      <c r="M1581" s="10">
        <f t="shared" si="117"/>
        <v>23.588713528842369</v>
      </c>
      <c r="N1581" s="4">
        <f t="shared" si="118"/>
        <v>25.335997073986579</v>
      </c>
      <c r="O1581" s="36">
        <f>1/M1581-(G1581/100-(((E1581/E1461)^(1/10))-1))</f>
        <v>2.4983992645496861E-2</v>
      </c>
      <c r="P1581" s="48">
        <v>1.62</v>
      </c>
      <c r="R1581" s="30"/>
      <c r="S1581" s="30"/>
    </row>
    <row r="1582" spans="1:19" ht="13" x14ac:dyDescent="0.3">
      <c r="A1582" s="52" t="s">
        <v>1598</v>
      </c>
      <c r="B1582" s="6">
        <v>867.81</v>
      </c>
      <c r="C1582" s="1">
        <v>15.8</v>
      </c>
      <c r="D1582" s="6">
        <v>30.04</v>
      </c>
      <c r="E1582" s="6">
        <v>181</v>
      </c>
      <c r="F1582" s="1">
        <f t="shared" si="120"/>
        <v>2002.7083333332137</v>
      </c>
      <c r="G1582" s="17">
        <v>3.87</v>
      </c>
      <c r="H1582" s="1">
        <f>B1582*$E$1867/E1582</f>
        <v>1606.76819448895</v>
      </c>
      <c r="I1582" s="1">
        <f>C1582*$E$1867/E1582</f>
        <v>29.254027348066298</v>
      </c>
      <c r="J1582" s="26">
        <f t="shared" si="121"/>
        <v>708143.71796100296</v>
      </c>
      <c r="K1582" s="1">
        <f>D1582*$E$1867/E1582</f>
        <v>55.619682375690608</v>
      </c>
      <c r="L1582" s="26">
        <f t="shared" si="119"/>
        <v>24513.012396202546</v>
      </c>
      <c r="M1582" s="10">
        <f t="shared" si="117"/>
        <v>22.365036801224331</v>
      </c>
      <c r="N1582" s="4">
        <f t="shared" si="118"/>
        <v>24.033754017347942</v>
      </c>
      <c r="O1582" s="36">
        <f>1/M1582-(G1582/100-(((E1582/E1462)^(1/10))-1))</f>
        <v>3.1082925210663762E-2</v>
      </c>
      <c r="P1582" s="48">
        <v>1.63</v>
      </c>
      <c r="R1582" s="30"/>
      <c r="S1582" s="30"/>
    </row>
    <row r="1583" spans="1:19" ht="13" x14ac:dyDescent="0.3">
      <c r="A1583" s="52" t="s">
        <v>1599</v>
      </c>
      <c r="B1583" s="6">
        <v>854.63</v>
      </c>
      <c r="C1583" s="1">
        <f>C1582*2/3+C1585/3</f>
        <v>15.89</v>
      </c>
      <c r="D1583" s="6">
        <f>(2*D1582+D1585)/3</f>
        <v>29.223333333333333</v>
      </c>
      <c r="E1583" s="6">
        <v>181.3</v>
      </c>
      <c r="F1583" s="1">
        <f t="shared" si="120"/>
        <v>2002.7916666665469</v>
      </c>
      <c r="G1583" s="17">
        <v>3.94</v>
      </c>
      <c r="H1583" s="1">
        <f>B1583*$E$1867/E1583</f>
        <v>1579.7467865830115</v>
      </c>
      <c r="I1583" s="1">
        <f>C1583*$E$1867/E1583</f>
        <v>29.371981370656371</v>
      </c>
      <c r="J1583" s="26">
        <f t="shared" si="121"/>
        <v>697313.44285073481</v>
      </c>
      <c r="K1583" s="1">
        <f>D1583*$E$1867/E1583</f>
        <v>54.018074402463682</v>
      </c>
      <c r="L1583" s="26">
        <f t="shared" si="119"/>
        <v>23844.029788611802</v>
      </c>
      <c r="M1583" s="10">
        <f t="shared" si="117"/>
        <v>21.956233863659083</v>
      </c>
      <c r="N1583" s="4">
        <f t="shared" si="118"/>
        <v>23.606572751994406</v>
      </c>
      <c r="O1583" s="36">
        <f>1/M1583-(G1583/100-(((E1583/E1463)^(1/10))-1))</f>
        <v>3.1023120090339092E-2</v>
      </c>
      <c r="P1583" s="48">
        <v>1.58</v>
      </c>
      <c r="R1583" s="30"/>
      <c r="S1583" s="30"/>
    </row>
    <row r="1584" spans="1:19" ht="13" x14ac:dyDescent="0.3">
      <c r="A1584" s="52" t="s">
        <v>1600</v>
      </c>
      <c r="B1584" s="6">
        <v>909.93</v>
      </c>
      <c r="C1584" s="1">
        <f>C1582/3+C1585*2/3</f>
        <v>15.98</v>
      </c>
      <c r="D1584" s="6">
        <f>(D1582+2*D1585)/3</f>
        <v>28.406666666666666</v>
      </c>
      <c r="E1584" s="6">
        <v>181.3</v>
      </c>
      <c r="F1584" s="1">
        <f t="shared" si="120"/>
        <v>2002.8749999998802</v>
      </c>
      <c r="G1584" s="17">
        <v>4.05</v>
      </c>
      <c r="H1584" s="1">
        <f>B1584*$E$1867/E1584</f>
        <v>1681.9664574324322</v>
      </c>
      <c r="I1584" s="1">
        <f>C1584*$E$1867/E1584</f>
        <v>29.538342498621066</v>
      </c>
      <c r="J1584" s="26">
        <f t="shared" si="121"/>
        <v>743520.59969955659</v>
      </c>
      <c r="K1584" s="1">
        <f>D1584*$E$1867/E1584</f>
        <v>52.508501204265485</v>
      </c>
      <c r="L1584" s="26">
        <f t="shared" si="119"/>
        <v>23211.611701411541</v>
      </c>
      <c r="M1584" s="10">
        <f t="shared" si="117"/>
        <v>23.34839650272513</v>
      </c>
      <c r="N1584" s="4">
        <f t="shared" si="118"/>
        <v>25.114358041300349</v>
      </c>
      <c r="O1584" s="36">
        <f>1/M1584-(G1584/100-(((E1584/E1464)^(1/10))-1))</f>
        <v>2.7063021565630271E-2</v>
      </c>
      <c r="P1584" s="48">
        <v>1.23</v>
      </c>
      <c r="R1584" s="30"/>
      <c r="S1584" s="30"/>
    </row>
    <row r="1585" spans="1:19" ht="13" x14ac:dyDescent="0.3">
      <c r="A1585" s="52" t="s">
        <v>1601</v>
      </c>
      <c r="B1585" s="6">
        <v>899.18</v>
      </c>
      <c r="C1585" s="1">
        <v>16.07</v>
      </c>
      <c r="D1585" s="6">
        <v>27.59</v>
      </c>
      <c r="E1585" s="6">
        <v>180.9</v>
      </c>
      <c r="F1585" s="1">
        <f t="shared" si="120"/>
        <v>2002.9583333332134</v>
      </c>
      <c r="G1585" s="17">
        <v>4.03</v>
      </c>
      <c r="H1585" s="1">
        <f>B1585*$E$1867/E1585</f>
        <v>1665.7707147318961</v>
      </c>
      <c r="I1585" s="1">
        <f>C1585*$E$1867/E1585</f>
        <v>29.770385668877832</v>
      </c>
      <c r="J1585" s="26">
        <f t="shared" si="121"/>
        <v>737457.87847440736</v>
      </c>
      <c r="K1585" s="1">
        <f>D1585*$E$1867/E1585</f>
        <v>51.111695121614154</v>
      </c>
      <c r="L1585" s="26">
        <f t="shared" si="119"/>
        <v>22627.797401086435</v>
      </c>
      <c r="M1585" s="10">
        <f t="shared" si="117"/>
        <v>23.101442537685639</v>
      </c>
      <c r="N1585" s="4">
        <f t="shared" si="118"/>
        <v>24.860432504266171</v>
      </c>
      <c r="O1585" s="36">
        <f>1/M1585-(G1585/100-(((E1585/E1465)^(1/10))-1))</f>
        <v>2.7566733863023947E-2</v>
      </c>
      <c r="P1585" s="48">
        <v>1.19</v>
      </c>
      <c r="R1585" s="30"/>
      <c r="S1585" s="30"/>
    </row>
    <row r="1586" spans="1:19" ht="13" x14ac:dyDescent="0.3">
      <c r="A1586" s="52" t="s">
        <v>1602</v>
      </c>
      <c r="B1586" s="6">
        <v>895.84</v>
      </c>
      <c r="C1586" s="1">
        <f>C1585*2/3+C1588/3</f>
        <v>16.119999999999997</v>
      </c>
      <c r="D1586" s="6">
        <f>(2*D1585+D1588)/3</f>
        <v>28.5</v>
      </c>
      <c r="E1586" s="6">
        <v>181.7</v>
      </c>
      <c r="F1586" s="1">
        <f t="shared" si="120"/>
        <v>2003.0416666665467</v>
      </c>
      <c r="G1586" s="17">
        <v>4.05</v>
      </c>
      <c r="H1586" s="1">
        <f>B1586*$E$1867/E1586</f>
        <v>1652.2763013758943</v>
      </c>
      <c r="I1586" s="1">
        <f>C1586*$E$1867/E1586</f>
        <v>29.731530159603739</v>
      </c>
      <c r="J1586" s="26">
        <f t="shared" si="121"/>
        <v>732580.60728497291</v>
      </c>
      <c r="K1586" s="1">
        <f>D1586*$E$1867/E1586</f>
        <v>52.5650502201431</v>
      </c>
      <c r="L1586" s="26">
        <f t="shared" si="119"/>
        <v>23306.111925814577</v>
      </c>
      <c r="M1586" s="10">
        <f t="shared" si="117"/>
        <v>22.89834857661322</v>
      </c>
      <c r="N1586" s="4">
        <f t="shared" si="118"/>
        <v>24.653867027835666</v>
      </c>
      <c r="O1586" s="36">
        <f>1/M1586-(G1586/100-(((E1586/E1466)^(1/10))-1))</f>
        <v>2.7698583136729481E-2</v>
      </c>
      <c r="P1586" s="48">
        <v>1.17</v>
      </c>
      <c r="R1586" s="30"/>
      <c r="S1586" s="30"/>
    </row>
    <row r="1587" spans="1:19" ht="13" x14ac:dyDescent="0.3">
      <c r="A1587" s="52" t="s">
        <v>1603</v>
      </c>
      <c r="B1587" s="6">
        <v>837.03</v>
      </c>
      <c r="C1587" s="1">
        <f>C1585/3+C1588*2/3</f>
        <v>16.169999999999998</v>
      </c>
      <c r="D1587" s="6">
        <f>(D1585+2*D1588)/3</f>
        <v>29.41</v>
      </c>
      <c r="E1587" s="6">
        <v>183.1</v>
      </c>
      <c r="F1587" s="1">
        <f t="shared" si="120"/>
        <v>2003.1249999998799</v>
      </c>
      <c r="G1587" s="17">
        <v>3.9</v>
      </c>
      <c r="H1587" s="1">
        <f>B1587*$E$1867/E1587</f>
        <v>1532.0037575505187</v>
      </c>
      <c r="I1587" s="1">
        <f>C1587*$E$1867/E1587</f>
        <v>29.595714322774437</v>
      </c>
      <c r="J1587" s="26">
        <f t="shared" si="121"/>
        <v>680348.08262038254</v>
      </c>
      <c r="K1587" s="1">
        <f>D1587*$E$1867/E1587</f>
        <v>53.828692531403604</v>
      </c>
      <c r="L1587" s="26">
        <f t="shared" si="119"/>
        <v>23904.802826500189</v>
      </c>
      <c r="M1587" s="10">
        <f t="shared" si="117"/>
        <v>21.214102123415287</v>
      </c>
      <c r="N1587" s="4">
        <f t="shared" si="118"/>
        <v>22.853826114365585</v>
      </c>
      <c r="O1587" s="36">
        <f>1/M1587-(G1587/100-(((E1587/E1467)^(1/10))-1))</f>
        <v>3.3093626579452112E-2</v>
      </c>
      <c r="P1587" s="48">
        <v>1.17</v>
      </c>
      <c r="R1587" s="30"/>
      <c r="S1587" s="30"/>
    </row>
    <row r="1588" spans="1:19" ht="13" x14ac:dyDescent="0.3">
      <c r="A1588" s="52" t="s">
        <v>1604</v>
      </c>
      <c r="B1588" s="6">
        <v>846.63</v>
      </c>
      <c r="C1588" s="1">
        <v>16.22</v>
      </c>
      <c r="D1588" s="6">
        <v>30.32</v>
      </c>
      <c r="E1588" s="6">
        <v>184.2</v>
      </c>
      <c r="F1588" s="1">
        <f t="shared" si="120"/>
        <v>2003.2083333332132</v>
      </c>
      <c r="G1588" s="17">
        <v>3.81</v>
      </c>
      <c r="H1588" s="1">
        <f>B1588*$E$1867/E1588</f>
        <v>1540.3207948289903</v>
      </c>
      <c r="I1588" s="1">
        <f>C1588*$E$1867/E1588</f>
        <v>29.509943295331162</v>
      </c>
      <c r="J1588" s="26">
        <f t="shared" si="121"/>
        <v>685133.6886875726</v>
      </c>
      <c r="K1588" s="1">
        <f>D1588*$E$1867/E1588</f>
        <v>55.162853311617809</v>
      </c>
      <c r="L1588" s="26">
        <f t="shared" si="119"/>
        <v>24536.401309907753</v>
      </c>
      <c r="M1588" s="10">
        <f t="shared" si="117"/>
        <v>21.309719026990994</v>
      </c>
      <c r="N1588" s="4">
        <f t="shared" si="118"/>
        <v>22.969623651201299</v>
      </c>
      <c r="O1588" s="36">
        <f>1/M1588-(G1588/100-(((E1588/E1468)^(1/10))-1))</f>
        <v>3.4038561227224651E-2</v>
      </c>
      <c r="P1588" s="48">
        <v>1.1299999999999999</v>
      </c>
      <c r="R1588" s="30"/>
      <c r="S1588" s="30"/>
    </row>
    <row r="1589" spans="1:19" ht="13" x14ac:dyDescent="0.3">
      <c r="A1589" s="52" t="s">
        <v>1605</v>
      </c>
      <c r="B1589" s="6">
        <v>890.03</v>
      </c>
      <c r="C1589" s="1">
        <f>C1588*2/3+C1591/3</f>
        <v>16.203333333333333</v>
      </c>
      <c r="D1589" s="6">
        <f>(2*D1588+D1591)/3</f>
        <v>31.73</v>
      </c>
      <c r="E1589" s="6">
        <v>183.8</v>
      </c>
      <c r="F1589" s="1">
        <f t="shared" si="120"/>
        <v>2003.2916666665465</v>
      </c>
      <c r="G1589" s="17">
        <v>3.96</v>
      </c>
      <c r="H1589" s="1">
        <f>B1589*$E$1867/E1589</f>
        <v>1622.8048218579977</v>
      </c>
      <c r="I1589" s="1">
        <f>C1589*$E$1867/E1589</f>
        <v>29.54377657326804</v>
      </c>
      <c r="J1589" s="26">
        <f t="shared" si="121"/>
        <v>722917.61803312681</v>
      </c>
      <c r="K1589" s="1">
        <f>D1589*$E$1867/E1589</f>
        <v>57.853776836235028</v>
      </c>
      <c r="L1589" s="26">
        <f t="shared" si="119"/>
        <v>25772.362752032081</v>
      </c>
      <c r="M1589" s="10">
        <f t="shared" si="117"/>
        <v>22.4279395777309</v>
      </c>
      <c r="N1589" s="4">
        <f t="shared" si="118"/>
        <v>24.186166302446431</v>
      </c>
      <c r="O1589" s="36">
        <f>1/M1589-(G1589/100-(((E1589/E1469)^(1/10))-1))</f>
        <v>2.9690936600992923E-2</v>
      </c>
      <c r="P1589" s="48">
        <v>1.1299999999999999</v>
      </c>
      <c r="R1589" s="30"/>
      <c r="S1589" s="30"/>
    </row>
    <row r="1590" spans="1:19" ht="13" x14ac:dyDescent="0.3">
      <c r="A1590" s="52" t="s">
        <v>1606</v>
      </c>
      <c r="B1590" s="6">
        <v>935.96</v>
      </c>
      <c r="C1590" s="1">
        <f>C1588/3+C1591*2/3</f>
        <v>16.186666666666667</v>
      </c>
      <c r="D1590" s="6">
        <f>(D1588+2*D1591)/3</f>
        <v>33.139999999999993</v>
      </c>
      <c r="E1590" s="6">
        <v>183.5</v>
      </c>
      <c r="F1590" s="1">
        <f t="shared" si="120"/>
        <v>2003.3749999998797</v>
      </c>
      <c r="G1590" s="17">
        <v>3.57</v>
      </c>
      <c r="H1590" s="1">
        <f>B1590*$E$1867/E1590</f>
        <v>1709.339667520436</v>
      </c>
      <c r="I1590" s="1">
        <f>C1590*$E$1867/E1590</f>
        <v>29.561638764759309</v>
      </c>
      <c r="J1590" s="26">
        <f t="shared" si="121"/>
        <v>762564.06807236967</v>
      </c>
      <c r="K1590" s="1">
        <f>D1590*$E$1867/E1590</f>
        <v>60.523437520435955</v>
      </c>
      <c r="L1590" s="26">
        <f t="shared" si="119"/>
        <v>27000.484225734352</v>
      </c>
      <c r="M1590" s="10">
        <f t="shared" si="117"/>
        <v>23.591080453481485</v>
      </c>
      <c r="N1590" s="4">
        <f t="shared" si="118"/>
        <v>25.450023010176391</v>
      </c>
      <c r="O1590" s="36">
        <f>1/M1590-(G1590/100-(((E1590/E1470)^(1/10))-1))</f>
        <v>3.1083031209145136E-2</v>
      </c>
      <c r="P1590" s="48">
        <v>1.07</v>
      </c>
      <c r="R1590" s="30"/>
      <c r="S1590" s="30"/>
    </row>
    <row r="1591" spans="1:19" ht="13" x14ac:dyDescent="0.3">
      <c r="A1591" s="52" t="s">
        <v>1607</v>
      </c>
      <c r="B1591" s="6">
        <v>988</v>
      </c>
      <c r="C1591" s="1">
        <v>16.170000000000002</v>
      </c>
      <c r="D1591" s="6">
        <v>34.549999999999997</v>
      </c>
      <c r="E1591" s="6">
        <v>183.7</v>
      </c>
      <c r="F1591" s="1">
        <f t="shared" si="120"/>
        <v>2003.458333333213</v>
      </c>
      <c r="G1591" s="17">
        <v>3.33</v>
      </c>
      <c r="H1591" s="1">
        <f>B1591*$E$1867/E1591</f>
        <v>1802.4156069678825</v>
      </c>
      <c r="I1591" s="1">
        <f>C1591*$E$1867/E1591</f>
        <v>29.499048952095812</v>
      </c>
      <c r="J1591" s="26">
        <f t="shared" si="121"/>
        <v>805183.41672498581</v>
      </c>
      <c r="K1591" s="1">
        <f>D1591*$E$1867/E1591</f>
        <v>63.029817025040828</v>
      </c>
      <c r="L1591" s="26">
        <f t="shared" si="119"/>
        <v>28156.970696202694</v>
      </c>
      <c r="M1591" s="10">
        <f t="shared" si="117"/>
        <v>24.832223259531062</v>
      </c>
      <c r="N1591" s="4">
        <f t="shared" si="118"/>
        <v>26.796570516909906</v>
      </c>
      <c r="O1591" s="36">
        <f>1/M1591-(G1591/100-(((E1591/E1471)^(1/10))-1))</f>
        <v>3.1333994639806288E-2</v>
      </c>
      <c r="P1591" s="48">
        <v>0.92</v>
      </c>
      <c r="R1591" s="30"/>
      <c r="S1591" s="30"/>
    </row>
    <row r="1592" spans="1:19" ht="13" x14ac:dyDescent="0.3">
      <c r="A1592" s="52" t="s">
        <v>1608</v>
      </c>
      <c r="B1592" s="6">
        <v>992.54</v>
      </c>
      <c r="C1592" s="1">
        <f>C1591*2/3+C1594/3</f>
        <v>16.310000000000002</v>
      </c>
      <c r="D1592" s="6">
        <f>(2*D1591+D1594)/3</f>
        <v>35.893333333333331</v>
      </c>
      <c r="E1592" s="6">
        <v>183.9</v>
      </c>
      <c r="F1592" s="1">
        <f t="shared" si="120"/>
        <v>2003.5416666665462</v>
      </c>
      <c r="G1592" s="17">
        <v>3.98</v>
      </c>
      <c r="H1592" s="1">
        <f>B1592*$E$1867/E1592</f>
        <v>1808.7287418977703</v>
      </c>
      <c r="I1592" s="1">
        <f>C1592*$E$1867/E1592</f>
        <v>29.722092591082113</v>
      </c>
      <c r="J1592" s="26">
        <f t="shared" si="121"/>
        <v>809110.11535345833</v>
      </c>
      <c r="K1592" s="1">
        <f>D1592*$E$1867/E1592</f>
        <v>65.409256697480501</v>
      </c>
      <c r="L1592" s="26">
        <f t="shared" si="119"/>
        <v>29259.938212821107</v>
      </c>
      <c r="M1592" s="10">
        <f t="shared" si="117"/>
        <v>24.867329101268783</v>
      </c>
      <c r="N1592" s="4">
        <f t="shared" si="118"/>
        <v>26.841910907521115</v>
      </c>
      <c r="O1592" s="36">
        <f>1/M1592-(G1592/100-(((E1592/E1472)^(1/10))-1))</f>
        <v>2.4888615211161626E-2</v>
      </c>
      <c r="P1592" s="48">
        <v>0.9</v>
      </c>
      <c r="R1592" s="30"/>
      <c r="S1592" s="30"/>
    </row>
    <row r="1593" spans="1:19" ht="13" x14ac:dyDescent="0.3">
      <c r="A1593" s="52" t="s">
        <v>1609</v>
      </c>
      <c r="B1593" s="6">
        <v>989.53</v>
      </c>
      <c r="C1593" s="1">
        <f>C1591/3+C1594*2/3</f>
        <v>16.450000000000003</v>
      </c>
      <c r="D1593" s="6">
        <f>(D1591+2*D1594)/3</f>
        <v>37.236666666666665</v>
      </c>
      <c r="E1593" s="6">
        <v>184.6</v>
      </c>
      <c r="F1593" s="1">
        <f t="shared" si="120"/>
        <v>2003.6249999998795</v>
      </c>
      <c r="G1593" s="17">
        <v>4.45</v>
      </c>
      <c r="H1593" s="1">
        <f>B1593*$E$1867/E1593</f>
        <v>1796.4056805660889</v>
      </c>
      <c r="I1593" s="1">
        <f>C1593*$E$1867/E1593</f>
        <v>29.863544758938254</v>
      </c>
      <c r="J1593" s="26">
        <f t="shared" si="121"/>
        <v>804710.81615920505</v>
      </c>
      <c r="K1593" s="1">
        <f>D1593*$E$1867/E1593</f>
        <v>67.59993080083062</v>
      </c>
      <c r="L1593" s="26">
        <f t="shared" si="119"/>
        <v>30281.798858429353</v>
      </c>
      <c r="M1593" s="10">
        <f t="shared" si="117"/>
        <v>24.642251409932165</v>
      </c>
      <c r="N1593" s="4">
        <f t="shared" si="118"/>
        <v>26.606108883763664</v>
      </c>
      <c r="O1593" s="36">
        <f>1/M1593-(G1593/100-(((E1593/E1473)^(1/10))-1))</f>
        <v>2.0661744197436174E-2</v>
      </c>
      <c r="P1593" s="48">
        <v>0.95</v>
      </c>
      <c r="R1593" s="30"/>
      <c r="S1593" s="30"/>
    </row>
    <row r="1594" spans="1:19" ht="13" x14ac:dyDescent="0.3">
      <c r="A1594" s="52" t="s">
        <v>1610</v>
      </c>
      <c r="B1594" s="6">
        <v>1019.44</v>
      </c>
      <c r="C1594" s="1">
        <v>16.59</v>
      </c>
      <c r="D1594" s="6">
        <v>38.58</v>
      </c>
      <c r="E1594" s="6">
        <v>185.2</v>
      </c>
      <c r="F1594" s="1">
        <f t="shared" si="120"/>
        <v>2003.7083333332127</v>
      </c>
      <c r="G1594" s="17">
        <v>4.2699999999999996</v>
      </c>
      <c r="H1594" s="1">
        <f>B1594*$E$1867/E1594</f>
        <v>1844.7088815334776</v>
      </c>
      <c r="I1594" s="1">
        <f>C1594*$E$1867/E1594</f>
        <v>30.020129036177106</v>
      </c>
      <c r="J1594" s="26">
        <f t="shared" si="121"/>
        <v>827469.16946102993</v>
      </c>
      <c r="K1594" s="1">
        <f>D1594*$E$1867/E1594</f>
        <v>69.811728644708424</v>
      </c>
      <c r="L1594" s="26">
        <f t="shared" si="119"/>
        <v>31314.997015819012</v>
      </c>
      <c r="M1594" s="10">
        <f t="shared" ref="M1594:M1657" si="122">H1594/AVERAGE(K1474:K1593)</f>
        <v>25.243686752606255</v>
      </c>
      <c r="N1594" s="4">
        <f t="shared" ref="N1594:N1657" si="123">J1594/AVERAGE(L1474:L1593)</f>
        <v>27.261410549557166</v>
      </c>
      <c r="O1594" s="36">
        <f>1/M1594-(G1594/100-(((E1594/E1474)^(1/10))-1))</f>
        <v>2.1615329750958159E-2</v>
      </c>
      <c r="P1594" s="48">
        <v>0.94</v>
      </c>
      <c r="R1594" s="30"/>
      <c r="S1594" s="30"/>
    </row>
    <row r="1595" spans="1:19" ht="13" x14ac:dyDescent="0.3">
      <c r="A1595" s="52" t="s">
        <v>1611</v>
      </c>
      <c r="B1595" s="6">
        <v>1038.73</v>
      </c>
      <c r="C1595" s="1">
        <f>C1594*2/3+C1597/3</f>
        <v>16.856666666666669</v>
      </c>
      <c r="D1595" s="6">
        <f>(2*D1594+D1597)/3</f>
        <v>41.966666666666669</v>
      </c>
      <c r="E1595" s="6">
        <v>185</v>
      </c>
      <c r="F1595" s="1">
        <f t="shared" si="120"/>
        <v>2003.791666666546</v>
      </c>
      <c r="G1595" s="17">
        <v>4.29</v>
      </c>
      <c r="H1595" s="1">
        <f>B1595*$E$1867/E1595</f>
        <v>1881.6467617972974</v>
      </c>
      <c r="I1595" s="1">
        <f>C1595*$E$1867/E1595</f>
        <v>30.535646653153158</v>
      </c>
      <c r="J1595" s="26">
        <f t="shared" si="121"/>
        <v>845179.58777067426</v>
      </c>
      <c r="K1595" s="1">
        <f>D1595*$E$1867/E1595</f>
        <v>76.022106261261271</v>
      </c>
      <c r="L1595" s="26">
        <f t="shared" si="119"/>
        <v>34146.86206564038</v>
      </c>
      <c r="M1595" s="10">
        <f t="shared" si="122"/>
        <v>25.682756070579689</v>
      </c>
      <c r="N1595" s="4">
        <f t="shared" si="123"/>
        <v>27.74090541797267</v>
      </c>
      <c r="O1595" s="36">
        <f>1/M1595-(G1595/100-(((E1595/E1475)^(1/10))-1))</f>
        <v>2.0204667534416569E-2</v>
      </c>
      <c r="P1595" s="48">
        <v>0.92</v>
      </c>
      <c r="R1595" s="30"/>
      <c r="S1595" s="30"/>
    </row>
    <row r="1596" spans="1:19" ht="13" x14ac:dyDescent="0.3">
      <c r="A1596" s="52" t="s">
        <v>1612</v>
      </c>
      <c r="B1596" s="6">
        <v>1049.9000000000001</v>
      </c>
      <c r="C1596" s="1">
        <f>C1594/3+C1597*2/3</f>
        <v>17.123333333333335</v>
      </c>
      <c r="D1596" s="6">
        <f>(D1594+2*D1597)/3</f>
        <v>45.353333333333332</v>
      </c>
      <c r="E1596" s="6">
        <v>184.5</v>
      </c>
      <c r="F1596" s="1">
        <f t="shared" si="120"/>
        <v>2003.8749999998793</v>
      </c>
      <c r="G1596" s="17">
        <v>4.3</v>
      </c>
      <c r="H1596" s="1">
        <f>B1596*$E$1867/E1596</f>
        <v>1907.0352302168023</v>
      </c>
      <c r="I1596" s="1">
        <f>C1596*$E$1867/E1596</f>
        <v>31.102771621499553</v>
      </c>
      <c r="J1596" s="26">
        <f t="shared" si="121"/>
        <v>857747.53342756059</v>
      </c>
      <c r="K1596" s="1">
        <f>D1596*$E$1867/E1596</f>
        <v>82.379659467027992</v>
      </c>
      <c r="L1596" s="26">
        <f t="shared" si="119"/>
        <v>37052.77626382</v>
      </c>
      <c r="M1596" s="10">
        <f t="shared" si="122"/>
        <v>25.946798218420124</v>
      </c>
      <c r="N1596" s="4">
        <f t="shared" si="123"/>
        <v>28.030020810958042</v>
      </c>
      <c r="O1596" s="36">
        <f>1/M1596-(G1596/100-(((E1596/E1476)^(1/10))-1))</f>
        <v>1.9361050279535413E-2</v>
      </c>
      <c r="P1596" s="48">
        <v>0.93</v>
      </c>
      <c r="R1596" s="30"/>
      <c r="S1596" s="30"/>
    </row>
    <row r="1597" spans="1:19" ht="13" x14ac:dyDescent="0.3">
      <c r="A1597" s="52" t="s">
        <v>1613</v>
      </c>
      <c r="B1597" s="6">
        <v>1080.6400000000001</v>
      </c>
      <c r="C1597" s="1">
        <v>17.39</v>
      </c>
      <c r="D1597" s="6">
        <v>48.74</v>
      </c>
      <c r="E1597" s="6">
        <v>184.3</v>
      </c>
      <c r="F1597" s="1">
        <f t="shared" si="120"/>
        <v>2003.9583333332125</v>
      </c>
      <c r="G1597" s="17">
        <v>4.2699999999999996</v>
      </c>
      <c r="H1597" s="1">
        <f>B1597*$E$1867/E1597</f>
        <v>1965.0013573521435</v>
      </c>
      <c r="I1597" s="1">
        <f>C1597*$E$1867/E1597</f>
        <v>31.621422124253932</v>
      </c>
      <c r="J1597" s="26">
        <f t="shared" si="121"/>
        <v>885004.80070380459</v>
      </c>
      <c r="K1597" s="1">
        <f>D1597*$E$1867/E1597</f>
        <v>88.627263619099296</v>
      </c>
      <c r="L1597" s="26">
        <f t="shared" si="119"/>
        <v>39916.284781521535</v>
      </c>
      <c r="M1597" s="10">
        <f t="shared" si="122"/>
        <v>26.63517051108153</v>
      </c>
      <c r="N1597" s="4">
        <f t="shared" si="123"/>
        <v>28.775402120617319</v>
      </c>
      <c r="O1597" s="36">
        <f>1/M1597-(G1597/100-(((E1597/E1477)^(1/10))-1))</f>
        <v>1.8553955987951565E-2</v>
      </c>
      <c r="P1597" s="48">
        <v>0.9</v>
      </c>
      <c r="R1597" s="30"/>
      <c r="S1597" s="30"/>
    </row>
    <row r="1598" spans="1:19" ht="13" x14ac:dyDescent="0.3">
      <c r="A1598" s="52" t="s">
        <v>1614</v>
      </c>
      <c r="B1598" s="6">
        <v>1132.52</v>
      </c>
      <c r="C1598" s="1">
        <f>C1597*2/3+C1600/3</f>
        <v>17.600000000000001</v>
      </c>
      <c r="D1598" s="6">
        <f>(2*D1597+D1600)/3</f>
        <v>49.826666666666675</v>
      </c>
      <c r="E1598" s="6">
        <v>185.2</v>
      </c>
      <c r="F1598" s="1">
        <f t="shared" si="120"/>
        <v>2004.0416666665458</v>
      </c>
      <c r="G1598" s="17">
        <v>4.1500000000000004</v>
      </c>
      <c r="H1598" s="1">
        <f>B1598*$E$1867/E1598</f>
        <v>2049.3307134449246</v>
      </c>
      <c r="I1598" s="1">
        <f>C1598*$E$1867/E1598</f>
        <v>31.847755939524841</v>
      </c>
      <c r="J1598" s="26">
        <f t="shared" si="121"/>
        <v>924180.68698798213</v>
      </c>
      <c r="K1598" s="1">
        <f>D1598*$E$1867/E1598</f>
        <v>90.16292723182147</v>
      </c>
      <c r="L1598" s="26">
        <f t="shared" si="119"/>
        <v>40660.511982411961</v>
      </c>
      <c r="M1598" s="10">
        <f t="shared" si="122"/>
        <v>27.658540355736577</v>
      </c>
      <c r="N1598" s="4">
        <f t="shared" si="123"/>
        <v>29.879678114425019</v>
      </c>
      <c r="O1598" s="36">
        <f>1/M1598-(G1598/100-(((E1598/E1478)^(1/10))-1))</f>
        <v>1.8583060527543396E-2</v>
      </c>
      <c r="P1598" s="48">
        <v>0.88</v>
      </c>
      <c r="R1598" s="30"/>
      <c r="S1598" s="30"/>
    </row>
    <row r="1599" spans="1:19" ht="13" x14ac:dyDescent="0.3">
      <c r="A1599" s="52" t="s">
        <v>1615</v>
      </c>
      <c r="B1599" s="6">
        <v>1143.3599999999999</v>
      </c>
      <c r="C1599" s="1">
        <f>C1597/3+C1600*2/3</f>
        <v>17.810000000000002</v>
      </c>
      <c r="D1599" s="6">
        <f>(D1597+2*D1600)/3</f>
        <v>50.913333333333334</v>
      </c>
      <c r="E1599" s="6">
        <v>186.2</v>
      </c>
      <c r="F1599" s="1">
        <f t="shared" si="120"/>
        <v>2004.124999999879</v>
      </c>
      <c r="G1599" s="17">
        <v>4.08</v>
      </c>
      <c r="H1599" s="1">
        <f>B1599*$E$1867/E1599</f>
        <v>2057.83461783029</v>
      </c>
      <c r="I1599" s="1">
        <f>C1599*$E$1867/E1599</f>
        <v>32.054676168098823</v>
      </c>
      <c r="J1599" s="26">
        <f t="shared" si="121"/>
        <v>929220.30155549641</v>
      </c>
      <c r="K1599" s="1">
        <f>D1599*$E$1867/E1599</f>
        <v>91.634498182957415</v>
      </c>
      <c r="L1599" s="26">
        <f t="shared" si="119"/>
        <v>41377.783859148054</v>
      </c>
      <c r="M1599" s="10">
        <f t="shared" si="122"/>
        <v>27.650862036740225</v>
      </c>
      <c r="N1599" s="4">
        <f t="shared" si="123"/>
        <v>29.869912101543278</v>
      </c>
      <c r="O1599" s="36">
        <f>1/M1599-(G1599/100-(((E1599/E1479)^(1/10))-1))</f>
        <v>1.9494926722588679E-2</v>
      </c>
      <c r="P1599" s="48">
        <v>0.93</v>
      </c>
      <c r="R1599" s="30"/>
      <c r="S1599" s="30"/>
    </row>
    <row r="1600" spans="1:19" ht="13" x14ac:dyDescent="0.3">
      <c r="A1600" s="52" t="s">
        <v>1616</v>
      </c>
      <c r="B1600" s="6">
        <v>1123.98</v>
      </c>
      <c r="C1600" s="1">
        <v>18.02</v>
      </c>
      <c r="D1600" s="6">
        <v>52</v>
      </c>
      <c r="E1600" s="6">
        <v>187.4</v>
      </c>
      <c r="F1600" s="1">
        <f t="shared" si="120"/>
        <v>2004.2083333332123</v>
      </c>
      <c r="G1600" s="17">
        <v>3.83</v>
      </c>
      <c r="H1600" s="1">
        <f>B1600*$E$1867/E1600</f>
        <v>2010.0004188633939</v>
      </c>
      <c r="I1600" s="1">
        <f>C1600*$E$1867/E1600</f>
        <v>32.224957337246529</v>
      </c>
      <c r="J1600" s="26">
        <f t="shared" si="121"/>
        <v>908833.25585028413</v>
      </c>
      <c r="K1600" s="1">
        <f>D1600*$E$1867/E1600</f>
        <v>92.990997865528271</v>
      </c>
      <c r="L1600" s="26">
        <f t="shared" si="119"/>
        <v>42046.414797607402</v>
      </c>
      <c r="M1600" s="10">
        <f t="shared" si="122"/>
        <v>26.886530384035865</v>
      </c>
      <c r="N1600" s="4">
        <f t="shared" si="123"/>
        <v>29.043714557354321</v>
      </c>
      <c r="O1600" s="36">
        <f>1/M1600-(G1600/100-(((E1600/E1480)^(1/10))-1))</f>
        <v>2.3332519821487513E-2</v>
      </c>
      <c r="P1600" s="48">
        <v>0.94</v>
      </c>
      <c r="R1600" s="30"/>
      <c r="S1600" s="30"/>
    </row>
    <row r="1601" spans="1:19" ht="13" x14ac:dyDescent="0.3">
      <c r="A1601" s="52" t="s">
        <v>1617</v>
      </c>
      <c r="B1601" s="6">
        <v>1133.3599999999999</v>
      </c>
      <c r="C1601" s="1">
        <f>C1600*2/3+C1603/3</f>
        <v>18.213333333333335</v>
      </c>
      <c r="D1601" s="6">
        <f>(2*D1600+D1603)/3</f>
        <v>53.383333333333333</v>
      </c>
      <c r="E1601" s="6">
        <v>188</v>
      </c>
      <c r="F1601" s="1">
        <f t="shared" si="120"/>
        <v>2004.2916666665456</v>
      </c>
      <c r="G1601" s="17">
        <v>4.3499999999999996</v>
      </c>
      <c r="H1601" s="1">
        <f>B1601*$E$1867/E1601</f>
        <v>2020.306134787234</v>
      </c>
      <c r="I1601" s="1">
        <f>C1601*$E$1867/E1601</f>
        <v>32.466744078014187</v>
      </c>
      <c r="J1601" s="26">
        <f t="shared" si="121"/>
        <v>914716.38003932883</v>
      </c>
      <c r="K1601" s="1">
        <f>D1601*$E$1867/E1601</f>
        <v>95.160121963652486</v>
      </c>
      <c r="L1601" s="26">
        <f t="shared" si="119"/>
        <v>43084.818081721169</v>
      </c>
      <c r="M1601" s="10">
        <f t="shared" si="122"/>
        <v>26.90057750844489</v>
      </c>
      <c r="N1601" s="4">
        <f t="shared" si="123"/>
        <v>29.058291817756992</v>
      </c>
      <c r="O1601" s="36">
        <f>1/M1601-(G1601/100-(((E1601/E1481)^(1/10))-1))</f>
        <v>1.8301491150888111E-2</v>
      </c>
      <c r="P1601" s="48">
        <v>0.94</v>
      </c>
      <c r="R1601" s="30"/>
      <c r="S1601" s="30"/>
    </row>
    <row r="1602" spans="1:19" ht="13" x14ac:dyDescent="0.3">
      <c r="A1602" s="52" t="s">
        <v>1618</v>
      </c>
      <c r="B1602" s="6">
        <v>1102.78</v>
      </c>
      <c r="C1602" s="1">
        <f>C1600/3+C1603*2/3</f>
        <v>18.406666666666666</v>
      </c>
      <c r="D1602" s="6">
        <f>(D1600+2*D1603)/3</f>
        <v>54.766666666666673</v>
      </c>
      <c r="E1602" s="6">
        <v>189.1</v>
      </c>
      <c r="F1602" s="1">
        <f t="shared" si="120"/>
        <v>2004.3749999998788</v>
      </c>
      <c r="G1602" s="17">
        <v>4.72</v>
      </c>
      <c r="H1602" s="1">
        <f>B1602*$E$1867/E1602</f>
        <v>1954.3597207562136</v>
      </c>
      <c r="I1602" s="1">
        <f>C1602*$E$1867/E1602</f>
        <v>32.620511731006523</v>
      </c>
      <c r="J1602" s="26">
        <f t="shared" si="121"/>
        <v>886089.1729594873</v>
      </c>
      <c r="K1602" s="1">
        <f>D1602*$E$1867/E1602</f>
        <v>97.058132513661221</v>
      </c>
      <c r="L1602" s="26">
        <f t="shared" si="119"/>
        <v>44005.286976926131</v>
      </c>
      <c r="M1602" s="10">
        <f t="shared" si="122"/>
        <v>25.902814292943759</v>
      </c>
      <c r="N1602" s="4">
        <f t="shared" si="123"/>
        <v>27.980644843237386</v>
      </c>
      <c r="O1602" s="36">
        <f>1/M1602-(G1602/100-(((E1602/E1482)^(1/10))-1))</f>
        <v>1.6561827151167774E-2</v>
      </c>
      <c r="P1602" s="48">
        <v>1.02</v>
      </c>
      <c r="R1602" s="30"/>
      <c r="S1602" s="30"/>
    </row>
    <row r="1603" spans="1:19" ht="13" x14ac:dyDescent="0.3">
      <c r="A1603" s="52" t="s">
        <v>1619</v>
      </c>
      <c r="B1603" s="6">
        <v>1132.76</v>
      </c>
      <c r="C1603" s="1">
        <v>18.600000000000001</v>
      </c>
      <c r="D1603" s="6">
        <v>56.15</v>
      </c>
      <c r="E1603" s="6">
        <v>189.7</v>
      </c>
      <c r="F1603" s="1">
        <f t="shared" si="120"/>
        <v>2004.4583333332121</v>
      </c>
      <c r="G1603" s="17">
        <v>4.7300000000000004</v>
      </c>
      <c r="H1603" s="1">
        <f>B1603*$E$1867/E1603</f>
        <v>2001.1411607274645</v>
      </c>
      <c r="I1603" s="1">
        <f>C1603*$E$1867/E1603</f>
        <v>32.858880600948872</v>
      </c>
      <c r="J1603" s="26">
        <f t="shared" si="121"/>
        <v>908540.95184609911</v>
      </c>
      <c r="K1603" s="1">
        <f>D1603*$E$1867/E1603</f>
        <v>99.194954072219303</v>
      </c>
      <c r="L1603" s="26">
        <f t="shared" ref="L1603:L1666" si="124">K1603*(J1603/H1603)</f>
        <v>45035.642542249436</v>
      </c>
      <c r="M1603" s="10">
        <f t="shared" si="122"/>
        <v>26.401285366474912</v>
      </c>
      <c r="N1603" s="4">
        <f t="shared" si="123"/>
        <v>28.517933395288225</v>
      </c>
      <c r="O1603" s="36">
        <f>1/M1603-(G1603/100-(((E1603/E1483)^(1/10))-1))</f>
        <v>1.571076387671845E-2</v>
      </c>
      <c r="P1603" s="48">
        <v>1.27</v>
      </c>
      <c r="R1603" s="30"/>
      <c r="S1603" s="30"/>
    </row>
    <row r="1604" spans="1:19" ht="13" x14ac:dyDescent="0.3">
      <c r="A1604" s="52" t="s">
        <v>1620</v>
      </c>
      <c r="B1604" s="6">
        <v>1105.8499999999999</v>
      </c>
      <c r="C1604" s="1">
        <f>C1603*2/3+C1606/3</f>
        <v>18.786666666666669</v>
      </c>
      <c r="D1604" s="6">
        <f>(2*D1603+D1606)/3</f>
        <v>56.69</v>
      </c>
      <c r="E1604" s="6">
        <v>189.4</v>
      </c>
      <c r="F1604" s="1">
        <f t="shared" ref="F1604:F1667" si="125">F1603+1/12</f>
        <v>2004.5416666665453</v>
      </c>
      <c r="G1604" s="17">
        <v>4.5</v>
      </c>
      <c r="H1604" s="1">
        <f>B1604*$E$1867/E1604</f>
        <v>1956.6961864440334</v>
      </c>
      <c r="I1604" s="1">
        <f>C1604*$E$1867/E1604</f>
        <v>33.241216279479062</v>
      </c>
      <c r="J1604" s="26">
        <f t="shared" ref="J1604:J1667" si="126">J1603*((H1604+(I1604/12))/H1603)</f>
        <v>889620.08336362639</v>
      </c>
      <c r="K1604" s="1">
        <f>D1604*$E$1867/E1604</f>
        <v>100.30755238912353</v>
      </c>
      <c r="L1604" s="26">
        <f t="shared" si="124"/>
        <v>45605.247118401217</v>
      </c>
      <c r="M1604" s="10">
        <f t="shared" si="122"/>
        <v>25.695888646268553</v>
      </c>
      <c r="N1604" s="4">
        <f t="shared" si="123"/>
        <v>27.755514536330811</v>
      </c>
      <c r="O1604" s="36">
        <f>1/M1604-(G1604/100-(((E1604/E1484)^(1/10))-1))</f>
        <v>1.8611708650646742E-2</v>
      </c>
      <c r="P1604" s="48">
        <v>1.33</v>
      </c>
      <c r="R1604" s="30"/>
      <c r="S1604" s="30"/>
    </row>
    <row r="1605" spans="1:19" ht="13" x14ac:dyDescent="0.3">
      <c r="A1605" s="52" t="s">
        <v>1621</v>
      </c>
      <c r="B1605" s="6">
        <v>1088.94</v>
      </c>
      <c r="C1605" s="1">
        <f>C1603/3+C1606*2/3</f>
        <v>18.973333333333333</v>
      </c>
      <c r="D1605" s="6">
        <f>(D1603+2*D1606)/3</f>
        <v>57.23</v>
      </c>
      <c r="E1605" s="6">
        <v>189.5</v>
      </c>
      <c r="F1605" s="1">
        <f t="shared" si="125"/>
        <v>2004.6249999998786</v>
      </c>
      <c r="G1605" s="17">
        <v>4.28</v>
      </c>
      <c r="H1605" s="1">
        <f>B1605*$E$1867/E1605</f>
        <v>1925.7587848812666</v>
      </c>
      <c r="I1605" s="1">
        <f>C1605*$E$1867/E1605</f>
        <v>33.553789322779245</v>
      </c>
      <c r="J1605" s="26">
        <f t="shared" si="126"/>
        <v>876825.54554716649</v>
      </c>
      <c r="K1605" s="1">
        <f>D1605*$E$1867/E1605</f>
        <v>101.20959397097624</v>
      </c>
      <c r="L1605" s="26">
        <f t="shared" si="124"/>
        <v>46082.177137091421</v>
      </c>
      <c r="M1605" s="10">
        <f t="shared" si="122"/>
        <v>25.174462226477772</v>
      </c>
      <c r="N1605" s="4">
        <f t="shared" si="123"/>
        <v>27.192500070259712</v>
      </c>
      <c r="O1605" s="36">
        <f>1/M1605-(G1605/100-(((E1605/E1485)^(1/10))-1))</f>
        <v>2.1258461039960014E-2</v>
      </c>
      <c r="P1605" s="48">
        <v>1.48</v>
      </c>
      <c r="R1605" s="30"/>
      <c r="S1605" s="30"/>
    </row>
    <row r="1606" spans="1:19" ht="13" x14ac:dyDescent="0.3">
      <c r="A1606" s="52" t="s">
        <v>1622</v>
      </c>
      <c r="B1606" s="6">
        <v>1117.6600000000001</v>
      </c>
      <c r="C1606" s="1">
        <v>19.16</v>
      </c>
      <c r="D1606" s="6">
        <v>57.77</v>
      </c>
      <c r="E1606" s="6">
        <v>189.9</v>
      </c>
      <c r="F1606" s="1">
        <f t="shared" si="125"/>
        <v>2004.7083333332118</v>
      </c>
      <c r="G1606" s="17">
        <v>4.13</v>
      </c>
      <c r="H1606" s="1">
        <f>B1606*$E$1867/E1606</f>
        <v>1972.385923723012</v>
      </c>
      <c r="I1606" s="1">
        <f>C1606*$E$1867/E1606</f>
        <v>33.812531806213798</v>
      </c>
      <c r="J1606" s="26">
        <f t="shared" si="126"/>
        <v>899338.49356702948</v>
      </c>
      <c r="K1606" s="1">
        <f>D1606*$E$1867/E1606</f>
        <v>101.94937173512375</v>
      </c>
      <c r="L1606" s="26">
        <f t="shared" si="124"/>
        <v>46485.32180928663</v>
      </c>
      <c r="M1606" s="10">
        <f t="shared" si="122"/>
        <v>25.668406776357688</v>
      </c>
      <c r="N1606" s="4">
        <f t="shared" si="123"/>
        <v>27.725340561354191</v>
      </c>
      <c r="O1606" s="36">
        <f>1/M1606-(G1606/100-(((E1606/E1486)^(1/10))-1))</f>
        <v>2.1935435271590704E-2</v>
      </c>
      <c r="P1606" s="48">
        <v>1.65</v>
      </c>
      <c r="R1606" s="30"/>
      <c r="S1606" s="30"/>
    </row>
    <row r="1607" spans="1:19" ht="13" x14ac:dyDescent="0.3">
      <c r="A1607" s="52" t="s">
        <v>1623</v>
      </c>
      <c r="B1607" s="6">
        <v>1117.21</v>
      </c>
      <c r="C1607" s="1">
        <f>C1606*2/3+C1609/3</f>
        <v>19.253333333333334</v>
      </c>
      <c r="D1607" s="6">
        <f>(2*D1606+D1609)/3</f>
        <v>58.03</v>
      </c>
      <c r="E1607" s="6">
        <v>190.9</v>
      </c>
      <c r="F1607" s="1">
        <f t="shared" si="125"/>
        <v>2004.7916666665451</v>
      </c>
      <c r="G1607" s="17">
        <v>4.0999999999999996</v>
      </c>
      <c r="H1607" s="1">
        <f>B1607*$E$1867/E1607</f>
        <v>1961.2639106993188</v>
      </c>
      <c r="I1607" s="1">
        <f>C1607*$E$1867/E1607</f>
        <v>33.799256923345553</v>
      </c>
      <c r="J1607" s="26">
        <f t="shared" si="126"/>
        <v>895551.51999292872</v>
      </c>
      <c r="K1607" s="1">
        <f>D1607*$E$1867/E1607</f>
        <v>101.87175619434258</v>
      </c>
      <c r="L1607" s="26">
        <f t="shared" si="124"/>
        <v>46516.639400998611</v>
      </c>
      <c r="M1607" s="10">
        <f t="shared" si="122"/>
        <v>25.411655665489327</v>
      </c>
      <c r="N1607" s="4">
        <f t="shared" si="123"/>
        <v>27.447302225242812</v>
      </c>
      <c r="O1607" s="36">
        <f>1/M1607-(G1607/100-(((E1607/E1487)^(1/10))-1))</f>
        <v>2.3098591273938776E-2</v>
      </c>
      <c r="P1607" s="48">
        <v>1.76</v>
      </c>
      <c r="R1607" s="30"/>
      <c r="S1607" s="30"/>
    </row>
    <row r="1608" spans="1:19" ht="13" x14ac:dyDescent="0.3">
      <c r="A1608" s="52" t="s">
        <v>1624</v>
      </c>
      <c r="B1608" s="6">
        <v>1168.94</v>
      </c>
      <c r="C1608" s="1">
        <f>C1606/3+C1609*2/3</f>
        <v>19.346666666666668</v>
      </c>
      <c r="D1608" s="6">
        <f>(D1606+2*D1609)/3</f>
        <v>58.29</v>
      </c>
      <c r="E1608" s="6">
        <v>191</v>
      </c>
      <c r="F1608" s="1">
        <f t="shared" si="125"/>
        <v>2004.8749999998784</v>
      </c>
      <c r="G1608" s="17">
        <v>4.1900000000000004</v>
      </c>
      <c r="H1608" s="1">
        <f>B1608*$E$1867/E1608</f>
        <v>2051.0016216492149</v>
      </c>
      <c r="I1608" s="1">
        <f>C1608*$E$1867/E1608</f>
        <v>33.945322006980803</v>
      </c>
      <c r="J1608" s="26">
        <f t="shared" si="126"/>
        <v>937819.19156071905</v>
      </c>
      <c r="K1608" s="1">
        <f>D1608*$E$1867/E1608</f>
        <v>102.27461163612566</v>
      </c>
      <c r="L1608" s="26">
        <f t="shared" si="124"/>
        <v>46765.001348293583</v>
      </c>
      <c r="M1608" s="10">
        <f t="shared" si="122"/>
        <v>26.465310814818043</v>
      </c>
      <c r="N1608" s="4">
        <f t="shared" si="123"/>
        <v>28.582705258099534</v>
      </c>
      <c r="O1608" s="36">
        <f>1/M1608-(G1608/100-(((E1608/E1488)^(1/10))-1))</f>
        <v>2.054855243649352E-2</v>
      </c>
      <c r="P1608" s="48">
        <v>2.0699999999999998</v>
      </c>
      <c r="R1608" s="30"/>
      <c r="S1608" s="30"/>
    </row>
    <row r="1609" spans="1:19" ht="13" x14ac:dyDescent="0.3">
      <c r="A1609" s="52" t="s">
        <v>1625</v>
      </c>
      <c r="B1609" s="6">
        <v>1199.21</v>
      </c>
      <c r="C1609" s="1">
        <v>19.440000000000001</v>
      </c>
      <c r="D1609" s="6">
        <v>58.55</v>
      </c>
      <c r="E1609" s="6">
        <v>190.3</v>
      </c>
      <c r="F1609" s="1">
        <f t="shared" si="125"/>
        <v>2004.9583333332116</v>
      </c>
      <c r="G1609" s="17">
        <v>4.2300000000000004</v>
      </c>
      <c r="H1609" s="1">
        <f>B1609*$E$1867/E1609</f>
        <v>2111.8526066868103</v>
      </c>
      <c r="I1609" s="1">
        <f>C1609*$E$1867/E1609</f>
        <v>34.234549973725692</v>
      </c>
      <c r="J1609" s="26">
        <f t="shared" si="126"/>
        <v>966947.74309118639</v>
      </c>
      <c r="K1609" s="1">
        <f>D1609*$E$1867/E1609</f>
        <v>103.10868832107198</v>
      </c>
      <c r="L1609" s="26">
        <f t="shared" si="124"/>
        <v>47210.07192901073</v>
      </c>
      <c r="M1609" s="10">
        <f t="shared" si="122"/>
        <v>27.144808694741233</v>
      </c>
      <c r="N1609" s="4">
        <f t="shared" si="123"/>
        <v>29.312639184857208</v>
      </c>
      <c r="O1609" s="36">
        <f>1/M1609-(G1609/100-(((E1609/E1489)^(1/10))-1))</f>
        <v>1.882654616002602E-2</v>
      </c>
      <c r="P1609" s="48">
        <v>2.19</v>
      </c>
      <c r="R1609" s="30"/>
      <c r="S1609" s="30"/>
    </row>
    <row r="1610" spans="1:19" ht="13" x14ac:dyDescent="0.3">
      <c r="A1610" s="52" t="s">
        <v>1626</v>
      </c>
      <c r="B1610" s="6">
        <v>1181.4100000000001</v>
      </c>
      <c r="C1610" s="1">
        <f>C1609*2/3+C1612/3</f>
        <v>19.703333333333333</v>
      </c>
      <c r="D1610" s="6">
        <f>(2*D1609+D1612)/3</f>
        <v>59.106666666666662</v>
      </c>
      <c r="E1610" s="6">
        <v>190.7</v>
      </c>
      <c r="F1610" s="1">
        <f t="shared" si="125"/>
        <v>2005.0416666665449</v>
      </c>
      <c r="G1610" s="17">
        <v>4.22</v>
      </c>
      <c r="H1610" s="1">
        <f>B1610*$E$1867/E1610</f>
        <v>2076.1422213030942</v>
      </c>
      <c r="I1610" s="1">
        <f>C1610*$E$1867/E1610</f>
        <v>34.62550870040203</v>
      </c>
      <c r="J1610" s="26">
        <f t="shared" si="126"/>
        <v>951918.29059675953</v>
      </c>
      <c r="K1610" s="1">
        <f>D1610*$E$1867/E1610</f>
        <v>103.8706682922566</v>
      </c>
      <c r="L1610" s="26">
        <f t="shared" si="124"/>
        <v>47625.055735270391</v>
      </c>
      <c r="M1610" s="10">
        <f t="shared" si="122"/>
        <v>26.587250697970379</v>
      </c>
      <c r="N1610" s="4">
        <f t="shared" si="123"/>
        <v>28.707356524065649</v>
      </c>
      <c r="O1610" s="36">
        <f>1/M1610-(G1610/100-(((E1610/E1490)^(1/10))-1))</f>
        <v>1.9504478510848453E-2</v>
      </c>
      <c r="P1610" s="48">
        <v>2.33</v>
      </c>
      <c r="R1610" s="30"/>
      <c r="S1610" s="30"/>
    </row>
    <row r="1611" spans="1:19" ht="13" x14ac:dyDescent="0.3">
      <c r="A1611" s="52" t="s">
        <v>1627</v>
      </c>
      <c r="B1611" s="6">
        <v>1199.6300000000001</v>
      </c>
      <c r="C1611" s="1">
        <f>C1609/3+C1612*2/3</f>
        <v>19.966666666666669</v>
      </c>
      <c r="D1611" s="6">
        <f>(D1609+2*D1612)/3</f>
        <v>59.663333333333334</v>
      </c>
      <c r="E1611" s="6">
        <v>191.8</v>
      </c>
      <c r="F1611" s="1">
        <f t="shared" si="125"/>
        <v>2005.1249999998781</v>
      </c>
      <c r="G1611" s="17">
        <v>4.17</v>
      </c>
      <c r="H1611" s="1">
        <f>B1611*$E$1867/E1611</f>
        <v>2096.0704048879038</v>
      </c>
      <c r="I1611" s="1">
        <f>C1611*$E$1867/E1611</f>
        <v>34.887039407368789</v>
      </c>
      <c r="J1611" s="26">
        <f t="shared" si="126"/>
        <v>962388.41629724926</v>
      </c>
      <c r="K1611" s="1">
        <f>D1611*$E$1867/E1611</f>
        <v>104.24759905717761</v>
      </c>
      <c r="L1611" s="26">
        <f t="shared" si="124"/>
        <v>47864.175518852942</v>
      </c>
      <c r="M1611" s="10">
        <f t="shared" si="122"/>
        <v>26.744863128101173</v>
      </c>
      <c r="N1611" s="4">
        <f t="shared" si="123"/>
        <v>28.874110081209512</v>
      </c>
      <c r="O1611" s="36">
        <f>1/M1611-(G1611/100-(((E1611/E1491)^(1/10))-1))</f>
        <v>1.9963856578660885E-2</v>
      </c>
      <c r="P1611" s="48">
        <v>2.54</v>
      </c>
      <c r="R1611" s="30"/>
      <c r="S1611" s="30"/>
    </row>
    <row r="1612" spans="1:19" ht="13" x14ac:dyDescent="0.3">
      <c r="A1612" s="52" t="s">
        <v>1628</v>
      </c>
      <c r="B1612" s="6">
        <v>1194.9000000000001</v>
      </c>
      <c r="C1612" s="1">
        <v>20.23</v>
      </c>
      <c r="D1612" s="6">
        <v>60.22</v>
      </c>
      <c r="E1612" s="6">
        <v>193.3</v>
      </c>
      <c r="F1612" s="1">
        <f t="shared" si="125"/>
        <v>2005.2083333332114</v>
      </c>
      <c r="G1612" s="17">
        <v>4.5</v>
      </c>
      <c r="H1612" s="1">
        <f>B1612*$E$1867/E1612</f>
        <v>2071.604558846353</v>
      </c>
      <c r="I1612" s="1">
        <f>C1612*$E$1867/E1612</f>
        <v>35.072859842214172</v>
      </c>
      <c r="J1612" s="26">
        <f t="shared" si="126"/>
        <v>952497.12768702942</v>
      </c>
      <c r="K1612" s="1">
        <f>D1612*$E$1867/E1612</f>
        <v>104.40373799793068</v>
      </c>
      <c r="L1612" s="26">
        <f t="shared" si="124"/>
        <v>48003.495714547578</v>
      </c>
      <c r="M1612" s="10">
        <f t="shared" si="122"/>
        <v>26.339142131057923</v>
      </c>
      <c r="N1612" s="4">
        <f t="shared" si="123"/>
        <v>28.433346549933539</v>
      </c>
      <c r="O1612" s="36">
        <f>1/M1612-(G1612/100-(((E1612/E1492)^(1/10))-1))</f>
        <v>1.769901524712502E-2</v>
      </c>
      <c r="P1612" s="48">
        <v>2.74</v>
      </c>
      <c r="R1612" s="30"/>
      <c r="S1612" s="30"/>
    </row>
    <row r="1613" spans="1:19" ht="13" x14ac:dyDescent="0.3">
      <c r="A1613" s="52" t="s">
        <v>1629</v>
      </c>
      <c r="B1613" s="6">
        <v>1164.43</v>
      </c>
      <c r="C1613" s="1">
        <f>C1612*2/3+C1615/3</f>
        <v>20.463333333333331</v>
      </c>
      <c r="D1613" s="6">
        <f>(2*D1612+D1615)/3</f>
        <v>61.233333333333327</v>
      </c>
      <c r="E1613" s="6">
        <v>194.6</v>
      </c>
      <c r="F1613" s="1">
        <f t="shared" si="125"/>
        <v>2005.2916666665446</v>
      </c>
      <c r="G1613" s="17">
        <v>4.34</v>
      </c>
      <c r="H1613" s="1">
        <f>B1613*$E$1867/E1613</f>
        <v>2005.2923682297021</v>
      </c>
      <c r="I1613" s="1">
        <f>C1613*$E$1867/E1613</f>
        <v>35.240388998800952</v>
      </c>
      <c r="J1613" s="26">
        <f t="shared" si="126"/>
        <v>923357.89192238613</v>
      </c>
      <c r="K1613" s="1">
        <f>D1613*$E$1867/E1613</f>
        <v>105.45136763446384</v>
      </c>
      <c r="L1613" s="26">
        <f t="shared" si="124"/>
        <v>48556.187647215738</v>
      </c>
      <c r="M1613" s="10">
        <f t="shared" si="122"/>
        <v>25.408922569114459</v>
      </c>
      <c r="N1613" s="4">
        <f t="shared" si="123"/>
        <v>27.427971644284643</v>
      </c>
      <c r="O1613" s="36">
        <f>1/M1613-(G1613/100-(((E1613/E1493)^(1/10))-1))</f>
        <v>2.1038014357879539E-2</v>
      </c>
      <c r="P1613" s="48">
        <v>2.78</v>
      </c>
      <c r="R1613" s="30"/>
      <c r="S1613" s="30"/>
    </row>
    <row r="1614" spans="1:19" ht="13" x14ac:dyDescent="0.3">
      <c r="A1614" s="52" t="s">
        <v>1630</v>
      </c>
      <c r="B1614" s="6">
        <v>1178.28</v>
      </c>
      <c r="C1614" s="1">
        <f>C1612/3+C1615*2/3</f>
        <v>20.696666666666665</v>
      </c>
      <c r="D1614" s="6">
        <f>(D1612+2*D1615)/3</f>
        <v>62.24666666666667</v>
      </c>
      <c r="E1614" s="6">
        <v>194.4</v>
      </c>
      <c r="F1614" s="1">
        <f t="shared" si="125"/>
        <v>2005.3749999998779</v>
      </c>
      <c r="G1614" s="17">
        <v>4.1399999999999997</v>
      </c>
      <c r="H1614" s="1">
        <f>B1614*$E$1867/E1614</f>
        <v>2031.2313763888887</v>
      </c>
      <c r="I1614" s="1">
        <f>C1614*$E$1867/E1614</f>
        <v>35.678886784122078</v>
      </c>
      <c r="J1614" s="26">
        <f t="shared" si="126"/>
        <v>936670.83992736251</v>
      </c>
      <c r="K1614" s="1">
        <f>D1614*$E$1867/E1614</f>
        <v>107.30673728566529</v>
      </c>
      <c r="L1614" s="26">
        <f t="shared" si="124"/>
        <v>49482.837313155811</v>
      </c>
      <c r="M1614" s="10">
        <f t="shared" si="122"/>
        <v>25.650230187182963</v>
      </c>
      <c r="N1614" s="4">
        <f t="shared" si="123"/>
        <v>27.686995391999126</v>
      </c>
      <c r="O1614" s="36">
        <f>1/M1614-(G1614/100-(((E1614/E1494)^(1/10))-1))</f>
        <v>2.2360152666665634E-2</v>
      </c>
      <c r="P1614" s="48">
        <v>2.84</v>
      </c>
      <c r="R1614" s="30"/>
      <c r="S1614" s="30"/>
    </row>
    <row r="1615" spans="1:19" ht="13" x14ac:dyDescent="0.3">
      <c r="A1615" s="52" t="s">
        <v>1631</v>
      </c>
      <c r="B1615" s="6">
        <v>1202.25</v>
      </c>
      <c r="C1615" s="1">
        <v>20.93</v>
      </c>
      <c r="D1615" s="6">
        <v>63.26</v>
      </c>
      <c r="E1615" s="6">
        <v>194.5</v>
      </c>
      <c r="F1615" s="1">
        <f t="shared" si="125"/>
        <v>2005.4583333332112</v>
      </c>
      <c r="G1615" s="17">
        <v>4</v>
      </c>
      <c r="H1615" s="1">
        <f>B1615*$E$1867/E1615</f>
        <v>2071.4875671593827</v>
      </c>
      <c r="I1615" s="1">
        <f>C1615*$E$1867/E1615</f>
        <v>36.062578316195371</v>
      </c>
      <c r="J1615" s="26">
        <f t="shared" si="126"/>
        <v>956620.16604504758</v>
      </c>
      <c r="K1615" s="1">
        <f>D1615*$E$1867/E1615</f>
        <v>108.99754917737789</v>
      </c>
      <c r="L1615" s="26">
        <f t="shared" si="124"/>
        <v>50335.447456028051</v>
      </c>
      <c r="M1615" s="10">
        <f t="shared" si="122"/>
        <v>26.068394871883985</v>
      </c>
      <c r="N1615" s="4">
        <f t="shared" si="123"/>
        <v>28.13606784076827</v>
      </c>
      <c r="O1615" s="36">
        <f>1/M1615-(G1615/100-(((E1615/E1495)^(1/10))-1))</f>
        <v>2.2985694371145338E-2</v>
      </c>
      <c r="P1615" s="48">
        <v>2.97</v>
      </c>
      <c r="R1615" s="30"/>
      <c r="S1615" s="30"/>
    </row>
    <row r="1616" spans="1:19" ht="13" x14ac:dyDescent="0.3">
      <c r="A1616" s="52" t="s">
        <v>1632</v>
      </c>
      <c r="B1616" s="6">
        <v>1222.24</v>
      </c>
      <c r="C1616" s="1">
        <f>C1615*2/3+C1618/3</f>
        <v>21.11</v>
      </c>
      <c r="D1616" s="6">
        <f>(2*D1615+D1618)/3</f>
        <v>64.33</v>
      </c>
      <c r="E1616" s="6">
        <v>195.4</v>
      </c>
      <c r="F1616" s="1">
        <f t="shared" si="125"/>
        <v>2005.5416666665444</v>
      </c>
      <c r="G1616" s="17">
        <v>4.18</v>
      </c>
      <c r="H1616" s="1">
        <f>B1616*$E$1867/E1616</f>
        <v>2096.2307346980551</v>
      </c>
      <c r="I1616" s="1">
        <f>C1616*$E$1867/E1616</f>
        <v>36.205189495905834</v>
      </c>
      <c r="J1616" s="26">
        <f t="shared" si="126"/>
        <v>969439.95377920556</v>
      </c>
      <c r="K1616" s="1">
        <f>D1616*$E$1867/E1616</f>
        <v>110.33064141504606</v>
      </c>
      <c r="L1616" s="26">
        <f t="shared" si="124"/>
        <v>51024.407830390344</v>
      </c>
      <c r="M1616" s="10">
        <f t="shared" si="122"/>
        <v>26.287871091254736</v>
      </c>
      <c r="N1616" s="4">
        <f t="shared" si="123"/>
        <v>28.369905062639287</v>
      </c>
      <c r="O1616" s="36">
        <f>1/M1616-(G1616/100-(((E1616/E1496)^(1/10))-1))</f>
        <v>2.1338558472624565E-2</v>
      </c>
      <c r="P1616" s="48">
        <v>3.22</v>
      </c>
      <c r="R1616" s="30"/>
      <c r="S1616" s="30"/>
    </row>
    <row r="1617" spans="1:19" ht="13" x14ac:dyDescent="0.3">
      <c r="A1617" s="52" t="s">
        <v>1633</v>
      </c>
      <c r="B1617" s="6">
        <v>1224.27</v>
      </c>
      <c r="C1617" s="1">
        <f>C1615/3+C1618*2/3</f>
        <v>21.29</v>
      </c>
      <c r="D1617" s="6">
        <f>(D1615+2*D1618)/3</f>
        <v>65.399999999999991</v>
      </c>
      <c r="E1617" s="6">
        <v>196.4</v>
      </c>
      <c r="F1617" s="1">
        <f t="shared" si="125"/>
        <v>2005.6249999998777</v>
      </c>
      <c r="G1617" s="17">
        <v>4.26</v>
      </c>
      <c r="H1617" s="1">
        <f>B1617*$E$1867/E1617</f>
        <v>2089.0213330829938</v>
      </c>
      <c r="I1617" s="1">
        <f>C1617*$E$1867/E1617</f>
        <v>36.327986621690428</v>
      </c>
      <c r="J1617" s="26">
        <f t="shared" si="126"/>
        <v>967505.8798743533</v>
      </c>
      <c r="K1617" s="1">
        <f>D1617*$E$1867/E1617</f>
        <v>111.59466064154785</v>
      </c>
      <c r="L1617" s="26">
        <f t="shared" si="124"/>
        <v>51683.766280136493</v>
      </c>
      <c r="M1617" s="10">
        <f t="shared" si="122"/>
        <v>26.104381410936142</v>
      </c>
      <c r="N1617" s="4">
        <f t="shared" si="123"/>
        <v>28.168980742317448</v>
      </c>
      <c r="O1617" s="36">
        <f>1/M1617-(G1617/100-(((E1617/E1497)^(1/10))-1))</f>
        <v>2.1060729884604709E-2</v>
      </c>
      <c r="P1617" s="48">
        <v>3.44</v>
      </c>
      <c r="R1617" s="30"/>
      <c r="S1617" s="30"/>
    </row>
    <row r="1618" spans="1:19" ht="13" x14ac:dyDescent="0.3">
      <c r="A1618" s="52" t="s">
        <v>1634</v>
      </c>
      <c r="B1618" s="6">
        <v>1225.92</v>
      </c>
      <c r="C1618" s="1">
        <v>21.47</v>
      </c>
      <c r="D1618" s="6">
        <v>66.47</v>
      </c>
      <c r="E1618" s="6">
        <v>198.8</v>
      </c>
      <c r="F1618" s="1">
        <f t="shared" si="125"/>
        <v>2005.7083333332109</v>
      </c>
      <c r="G1618" s="17">
        <v>4.2</v>
      </c>
      <c r="H1618" s="1">
        <f>B1618*$E$1867/E1618</f>
        <v>2066.5832317907443</v>
      </c>
      <c r="I1618" s="1">
        <f>C1618*$E$1867/E1618</f>
        <v>36.19285270372233</v>
      </c>
      <c r="J1618" s="26">
        <f t="shared" si="126"/>
        <v>958510.792963307</v>
      </c>
      <c r="K1618" s="1">
        <f>D1618*$E$1867/E1618</f>
        <v>112.05118394114687</v>
      </c>
      <c r="L1618" s="26">
        <f t="shared" si="124"/>
        <v>51970.938077746519</v>
      </c>
      <c r="M1618" s="10">
        <f t="shared" si="122"/>
        <v>25.730122990164464</v>
      </c>
      <c r="N1618" s="4">
        <f t="shared" si="123"/>
        <v>27.762463408465585</v>
      </c>
      <c r="O1618" s="36">
        <f>1/M1618-(G1618/100-(((E1618/E1498)^(1/10))-1))</f>
        <v>2.3262867961467405E-2</v>
      </c>
      <c r="P1618" s="48">
        <v>3.42</v>
      </c>
      <c r="R1618" s="30"/>
      <c r="S1618" s="30"/>
    </row>
    <row r="1619" spans="1:19" ht="13" x14ac:dyDescent="0.3">
      <c r="A1619" s="52" t="s">
        <v>1635</v>
      </c>
      <c r="B1619" s="6">
        <v>1191.96</v>
      </c>
      <c r="C1619" s="1">
        <f>C1618*2/3+C1621/3</f>
        <v>21.72</v>
      </c>
      <c r="D1619" s="6">
        <f>(2*D1618+D1621)/3</f>
        <v>67.589999999999989</v>
      </c>
      <c r="E1619" s="6">
        <v>199.2</v>
      </c>
      <c r="F1619" s="1">
        <f t="shared" si="125"/>
        <v>2005.7916666665442</v>
      </c>
      <c r="G1619" s="17">
        <v>4.46</v>
      </c>
      <c r="H1619" s="1">
        <f>B1619*$E$1867/E1619</f>
        <v>2005.300667620482</v>
      </c>
      <c r="I1619" s="1">
        <f>C1619*$E$1867/E1619</f>
        <v>36.540765210843375</v>
      </c>
      <c r="J1619" s="26">
        <f t="shared" si="126"/>
        <v>931499.40922977368</v>
      </c>
      <c r="K1619" s="1">
        <f>D1619*$E$1867/E1619</f>
        <v>113.71041991716865</v>
      </c>
      <c r="L1619" s="26">
        <f t="shared" si="124"/>
        <v>52820.602260009051</v>
      </c>
      <c r="M1619" s="10">
        <f t="shared" si="122"/>
        <v>24.876538723647954</v>
      </c>
      <c r="N1619" s="4">
        <f t="shared" si="123"/>
        <v>26.84054270186348</v>
      </c>
      <c r="O1619" s="36">
        <f>1/M1619-(G1619/100-(((E1619/E1499)^(1/10))-1))</f>
        <v>2.1868312584124666E-2</v>
      </c>
      <c r="P1619" s="48">
        <v>3.71</v>
      </c>
      <c r="R1619" s="30"/>
      <c r="S1619" s="30"/>
    </row>
    <row r="1620" spans="1:19" ht="13" x14ac:dyDescent="0.3">
      <c r="A1620" s="52" t="s">
        <v>1636</v>
      </c>
      <c r="B1620" s="6">
        <v>1237.3699999999999</v>
      </c>
      <c r="C1620" s="1">
        <f>C1618/3+C1621*2/3</f>
        <v>21.97</v>
      </c>
      <c r="D1620" s="6">
        <f>(D1618+2*D1621)/3</f>
        <v>68.709999999999994</v>
      </c>
      <c r="E1620" s="6">
        <v>197.6</v>
      </c>
      <c r="F1620" s="1">
        <f t="shared" si="125"/>
        <v>2005.8749999998774</v>
      </c>
      <c r="G1620" s="17">
        <v>4.54</v>
      </c>
      <c r="H1620" s="1">
        <f>B1620*$E$1867/E1620</f>
        <v>2098.5522803264171</v>
      </c>
      <c r="I1620" s="1">
        <f>C1620*$E$1867/E1620</f>
        <v>37.260636348684208</v>
      </c>
      <c r="J1620" s="26">
        <f t="shared" si="126"/>
        <v>976258.87032046483</v>
      </c>
      <c r="K1620" s="1">
        <f>D1620*$E$1867/E1620</f>
        <v>116.53064740637652</v>
      </c>
      <c r="L1620" s="26">
        <f t="shared" si="124"/>
        <v>54210.742930343506</v>
      </c>
      <c r="M1620" s="10">
        <f t="shared" si="122"/>
        <v>25.931783309069019</v>
      </c>
      <c r="N1620" s="4">
        <f t="shared" si="123"/>
        <v>27.977205472367245</v>
      </c>
      <c r="O1620" s="36">
        <f>1/M1620-(G1620/100-(((E1620/E1500)^(1/10))-1))</f>
        <v>1.8671943606583953E-2</v>
      </c>
      <c r="P1620" s="48">
        <v>3.88</v>
      </c>
      <c r="R1620" s="30"/>
      <c r="S1620" s="30"/>
    </row>
    <row r="1621" spans="1:19" ht="13" x14ac:dyDescent="0.3">
      <c r="A1621" s="52" t="s">
        <v>1637</v>
      </c>
      <c r="B1621" s="6">
        <v>1262.07</v>
      </c>
      <c r="C1621" s="1">
        <v>22.22</v>
      </c>
      <c r="D1621" s="6">
        <v>69.83</v>
      </c>
      <c r="E1621" s="6">
        <v>196.8</v>
      </c>
      <c r="F1621" s="1">
        <f t="shared" si="125"/>
        <v>2005.9583333332107</v>
      </c>
      <c r="G1621" s="17">
        <v>4.47</v>
      </c>
      <c r="H1621" s="1">
        <f>B1621*$E$1867/E1621</f>
        <v>2149.1439241234752</v>
      </c>
      <c r="I1621" s="1">
        <f>C1621*$E$1867/E1621</f>
        <v>37.837820401422761</v>
      </c>
      <c r="J1621" s="26">
        <f t="shared" si="126"/>
        <v>1001261.2654618988</v>
      </c>
      <c r="K1621" s="1">
        <f>D1621*$E$1867/E1621</f>
        <v>118.91156609502032</v>
      </c>
      <c r="L1621" s="26">
        <f t="shared" si="124"/>
        <v>55399.521553641556</v>
      </c>
      <c r="M1621" s="10">
        <f t="shared" si="122"/>
        <v>26.443803114292397</v>
      </c>
      <c r="N1621" s="4">
        <f t="shared" si="123"/>
        <v>28.527159043907673</v>
      </c>
      <c r="O1621" s="36">
        <f>1/M1621-(G1621/100-(((E1621/E1501)^(1/10))-1))</f>
        <v>1.8276088055812593E-2</v>
      </c>
      <c r="P1621" s="48">
        <v>3.89</v>
      </c>
      <c r="R1621" s="30"/>
      <c r="S1621" s="30"/>
    </row>
    <row r="1622" spans="1:19" ht="13" x14ac:dyDescent="0.3">
      <c r="A1622" s="52" t="s">
        <v>1638</v>
      </c>
      <c r="B1622" s="6">
        <v>1278.73</v>
      </c>
      <c r="C1622" s="1">
        <f>C1621*2/3+C1624/3</f>
        <v>22.406666666666666</v>
      </c>
      <c r="D1622" s="6">
        <f>(2*D1621+D1624)/3</f>
        <v>70.776666666666657</v>
      </c>
      <c r="E1622" s="6">
        <v>198.3</v>
      </c>
      <c r="F1622" s="1">
        <f t="shared" si="125"/>
        <v>2006.041666666544</v>
      </c>
      <c r="G1622" s="17">
        <v>4.42</v>
      </c>
      <c r="H1622" s="1">
        <f>B1622*$E$1867/E1622</f>
        <v>2161.0424151916286</v>
      </c>
      <c r="I1622" s="1">
        <f>C1622*$E$1867/E1622</f>
        <v>37.867068927550847</v>
      </c>
      <c r="J1622" s="26">
        <f t="shared" si="126"/>
        <v>1008274.7870635035</v>
      </c>
      <c r="K1622" s="1">
        <f>D1622*$E$1867/E1622</f>
        <v>119.61194206169101</v>
      </c>
      <c r="L1622" s="26">
        <f t="shared" si="124"/>
        <v>55807.190346983254</v>
      </c>
      <c r="M1622" s="10">
        <f t="shared" si="122"/>
        <v>26.468702626685712</v>
      </c>
      <c r="N1622" s="4">
        <f t="shared" si="123"/>
        <v>28.551311891344511</v>
      </c>
      <c r="O1622" s="36">
        <f>1/M1622-(G1622/100-(((E1622/E1502)^(1/10))-1))</f>
        <v>1.8919623016402411E-2</v>
      </c>
      <c r="P1622" s="48">
        <v>4.24</v>
      </c>
      <c r="R1622" s="30"/>
      <c r="S1622" s="30"/>
    </row>
    <row r="1623" spans="1:19" ht="13" x14ac:dyDescent="0.3">
      <c r="A1623" s="52" t="s">
        <v>1639</v>
      </c>
      <c r="B1623" s="6">
        <v>1276.6500000000001</v>
      </c>
      <c r="C1623" s="1">
        <f>C1621/3+C1624*2/3</f>
        <v>22.593333333333334</v>
      </c>
      <c r="D1623" s="6">
        <f>(D1621+2*D1624)/3</f>
        <v>71.723333333333343</v>
      </c>
      <c r="E1623" s="6">
        <v>198.7</v>
      </c>
      <c r="F1623" s="1">
        <f t="shared" si="125"/>
        <v>2006.1249999998772</v>
      </c>
      <c r="G1623" s="17">
        <v>4.57</v>
      </c>
      <c r="H1623" s="1">
        <f>B1623*$E$1867/E1623</f>
        <v>2153.1839477226977</v>
      </c>
      <c r="I1623" s="1">
        <f>C1623*$E$1867/E1623</f>
        <v>38.105669258513672</v>
      </c>
      <c r="J1623" s="26">
        <f t="shared" si="126"/>
        <v>1006089.8480802483</v>
      </c>
      <c r="K1623" s="1">
        <f>D1623*$E$1867/E1623</f>
        <v>120.9677907104513</v>
      </c>
      <c r="L1623" s="26">
        <f t="shared" si="124"/>
        <v>56523.023175609887</v>
      </c>
      <c r="M1623" s="10">
        <f t="shared" si="122"/>
        <v>26.249624763583292</v>
      </c>
      <c r="N1623" s="4">
        <f t="shared" si="123"/>
        <v>28.312953220671481</v>
      </c>
      <c r="O1623" s="36">
        <f>1/M1623-(G1623/100-(((E1623/E1503)^(1/10))-1))</f>
        <v>1.7610058371500779E-2</v>
      </c>
      <c r="P1623" s="48">
        <v>4.43</v>
      </c>
      <c r="R1623" s="30"/>
      <c r="S1623" s="30"/>
    </row>
    <row r="1624" spans="1:19" ht="13" x14ac:dyDescent="0.3">
      <c r="A1624" s="52" t="s">
        <v>1640</v>
      </c>
      <c r="B1624" s="6">
        <v>1293.74</v>
      </c>
      <c r="C1624" s="1">
        <v>22.78</v>
      </c>
      <c r="D1624" s="6">
        <v>72.67</v>
      </c>
      <c r="E1624" s="6">
        <v>199.8</v>
      </c>
      <c r="F1624" s="1">
        <f t="shared" si="125"/>
        <v>2006.2083333332105</v>
      </c>
      <c r="G1624" s="17">
        <v>4.72</v>
      </c>
      <c r="H1624" s="1">
        <f>B1624*$E$1867/E1624</f>
        <v>2169.9946993743742</v>
      </c>
      <c r="I1624" s="1">
        <f>C1624*$E$1867/E1624</f>
        <v>38.208974949949948</v>
      </c>
      <c r="J1624" s="26">
        <f t="shared" si="126"/>
        <v>1015432.5697801373</v>
      </c>
      <c r="K1624" s="1">
        <f>D1624*$E$1867/E1624</f>
        <v>121.88964923673673</v>
      </c>
      <c r="L1624" s="26">
        <f t="shared" si="124"/>
        <v>57037.337367571978</v>
      </c>
      <c r="M1624" s="10">
        <f t="shared" si="122"/>
        <v>26.327837778667682</v>
      </c>
      <c r="N1624" s="4">
        <f t="shared" si="123"/>
        <v>28.395073733976663</v>
      </c>
      <c r="O1624" s="36">
        <f>1/M1624-(G1624/100-(((E1624/E1504)^(1/10))-1))</f>
        <v>1.6034756518481311E-2</v>
      </c>
      <c r="P1624" s="48">
        <v>4.51</v>
      </c>
      <c r="R1624" s="30"/>
      <c r="S1624" s="30"/>
    </row>
    <row r="1625" spans="1:19" ht="13" x14ac:dyDescent="0.3">
      <c r="A1625" s="52" t="s">
        <v>1641</v>
      </c>
      <c r="B1625" s="6">
        <v>1302.17</v>
      </c>
      <c r="C1625" s="1">
        <f>C1624*2/3+C1627/3</f>
        <v>23</v>
      </c>
      <c r="D1625" s="6">
        <f>(2*D1624+D1627)/3</f>
        <v>73.276666666666657</v>
      </c>
      <c r="E1625" s="6">
        <v>201.5</v>
      </c>
      <c r="F1625" s="1">
        <f t="shared" si="125"/>
        <v>2006.2916666665437</v>
      </c>
      <c r="G1625" s="17">
        <v>4.99</v>
      </c>
      <c r="H1625" s="1">
        <f>B1625*$E$1867/E1625</f>
        <v>2165.7074282506205</v>
      </c>
      <c r="I1625" s="1">
        <f>C1625*$E$1867/E1625</f>
        <v>38.252509925558314</v>
      </c>
      <c r="J1625" s="26">
        <f t="shared" si="126"/>
        <v>1014918.0380947195</v>
      </c>
      <c r="K1625" s="1">
        <f>D1625*$E$1867/E1625</f>
        <v>121.87027908602148</v>
      </c>
      <c r="L1625" s="26">
        <f t="shared" si="124"/>
        <v>57112.213283560552</v>
      </c>
      <c r="M1625" s="10">
        <f t="shared" si="122"/>
        <v>26.14728094387452</v>
      </c>
      <c r="N1625" s="4">
        <f t="shared" si="123"/>
        <v>28.198403856607396</v>
      </c>
      <c r="O1625" s="36">
        <f>1/M1625-(G1625/100-(((E1625/E1505)^(1/10))-1))</f>
        <v>1.4071468701830257E-2</v>
      </c>
      <c r="P1625" s="48">
        <v>4.5999999999999996</v>
      </c>
      <c r="R1625" s="30"/>
      <c r="S1625" s="30"/>
    </row>
    <row r="1626" spans="1:19" ht="13" x14ac:dyDescent="0.3">
      <c r="A1626" s="52" t="s">
        <v>1642</v>
      </c>
      <c r="B1626" s="6">
        <v>1290.01</v>
      </c>
      <c r="C1626" s="1">
        <f>C1624/3+C1627*2/3</f>
        <v>23.22</v>
      </c>
      <c r="D1626" s="6">
        <f>(D1624+2*D1627)/3</f>
        <v>73.883333333333326</v>
      </c>
      <c r="E1626" s="6">
        <v>202.5</v>
      </c>
      <c r="F1626" s="1">
        <f t="shared" si="125"/>
        <v>2006.374999999877</v>
      </c>
      <c r="G1626" s="21">
        <v>5.1100000000000003</v>
      </c>
      <c r="H1626" s="1">
        <f>B1626*$E$1867/E1626</f>
        <v>2134.8885123580244</v>
      </c>
      <c r="I1626" s="1">
        <f>C1626*$E$1867/E1626</f>
        <v>38.427695333333332</v>
      </c>
      <c r="J1626" s="26">
        <f t="shared" si="126"/>
        <v>1001976.0343910106</v>
      </c>
      <c r="K1626" s="1">
        <f>D1626*$E$1867/E1626</f>
        <v>122.27244718106994</v>
      </c>
      <c r="L1626" s="26">
        <f t="shared" si="124"/>
        <v>57386.632150853482</v>
      </c>
      <c r="M1626" s="10">
        <f t="shared" si="122"/>
        <v>25.650640708757329</v>
      </c>
      <c r="N1626" s="4">
        <f t="shared" si="123"/>
        <v>27.661895284857213</v>
      </c>
      <c r="O1626" s="36">
        <f>1/M1626-(G1626/100-(((E1626/E1506)^(1/10))-1))</f>
        <v>1.3923101060018137E-2</v>
      </c>
      <c r="P1626" s="48">
        <v>4.72</v>
      </c>
      <c r="R1626" s="30"/>
      <c r="S1626" s="30"/>
    </row>
    <row r="1627" spans="1:19" ht="13" x14ac:dyDescent="0.3">
      <c r="A1627" s="52" t="s">
        <v>1643</v>
      </c>
      <c r="B1627" s="6">
        <v>1253.17</v>
      </c>
      <c r="C1627" s="1">
        <v>23.44</v>
      </c>
      <c r="D1627" s="6">
        <v>74.489999999999995</v>
      </c>
      <c r="E1627" s="6">
        <v>202.9</v>
      </c>
      <c r="F1627" s="1">
        <f t="shared" si="125"/>
        <v>2006.4583333332102</v>
      </c>
      <c r="G1627" s="21">
        <v>5.1100000000000003</v>
      </c>
      <c r="H1627" s="1">
        <f>B1627*$E$1867/E1627</f>
        <v>2069.8319839452934</v>
      </c>
      <c r="I1627" s="1">
        <f>C1627*$E$1867/E1627</f>
        <v>38.715307343518973</v>
      </c>
      <c r="J1627" s="26">
        <f t="shared" si="126"/>
        <v>972956.98672267003</v>
      </c>
      <c r="K1627" s="1">
        <f>D1627*$E$1867/E1627</f>
        <v>123.03341484721535</v>
      </c>
      <c r="L1627" s="26">
        <f t="shared" si="124"/>
        <v>57833.786270794604</v>
      </c>
      <c r="M1627" s="10">
        <f t="shared" si="122"/>
        <v>24.749582241646372</v>
      </c>
      <c r="N1627" s="4">
        <f t="shared" si="123"/>
        <v>26.690943997751607</v>
      </c>
      <c r="O1627" s="36">
        <f>1/M1627-(G1627/100-(((E1627/E1507)^(1/10))-1))</f>
        <v>1.5479427109228179E-2</v>
      </c>
      <c r="P1627" s="48">
        <v>4.79</v>
      </c>
      <c r="R1627" s="30"/>
      <c r="S1627" s="30"/>
    </row>
    <row r="1628" spans="1:19" ht="13" x14ac:dyDescent="0.3">
      <c r="A1628" s="52" t="s">
        <v>1644</v>
      </c>
      <c r="B1628" s="6">
        <v>1260.24</v>
      </c>
      <c r="C1628" s="1">
        <f>C1627*2/3+C1630/3</f>
        <v>23.66</v>
      </c>
      <c r="D1628" s="6">
        <f>(2*D1627+D1630)/3</f>
        <v>75.849999999999994</v>
      </c>
      <c r="E1628" s="6">
        <v>203.5</v>
      </c>
      <c r="F1628" s="1">
        <f t="shared" si="125"/>
        <v>2006.5416666665435</v>
      </c>
      <c r="G1628" s="21">
        <v>5.09</v>
      </c>
      <c r="H1628" s="1">
        <f>B1628*$E$1867/E1628</f>
        <v>2075.3722115970513</v>
      </c>
      <c r="I1628" s="1">
        <f>C1628*$E$1867/E1628</f>
        <v>38.963456584766583</v>
      </c>
      <c r="J1628" s="26">
        <f t="shared" si="126"/>
        <v>977087.53961007588</v>
      </c>
      <c r="K1628" s="1">
        <f>D1628*$E$1867/E1628</f>
        <v>124.91032045454546</v>
      </c>
      <c r="L1628" s="26">
        <f t="shared" si="124"/>
        <v>58807.917443839477</v>
      </c>
      <c r="M1628" s="10">
        <f t="shared" si="122"/>
        <v>24.6967867668533</v>
      </c>
      <c r="N1628" s="4">
        <f t="shared" si="123"/>
        <v>26.634874022226995</v>
      </c>
      <c r="O1628" s="36">
        <f>1/M1628-(G1628/100-(((E1628/E1508)^(1/10))-1))</f>
        <v>1.5872540365558525E-2</v>
      </c>
      <c r="P1628" s="48">
        <v>4.95</v>
      </c>
      <c r="R1628" s="30"/>
      <c r="S1628" s="30"/>
    </row>
    <row r="1629" spans="1:19" ht="13" x14ac:dyDescent="0.3">
      <c r="A1629" s="52" t="s">
        <v>1645</v>
      </c>
      <c r="B1629" s="6">
        <v>1287.1500000000001</v>
      </c>
      <c r="C1629" s="1">
        <f>C1627/3+C1630*2/3</f>
        <v>23.88</v>
      </c>
      <c r="D1629" s="6">
        <f>(D1627+2*D1630)/3</f>
        <v>77.209999999999994</v>
      </c>
      <c r="E1629" s="6">
        <v>203.9</v>
      </c>
      <c r="F1629" s="1">
        <f t="shared" si="125"/>
        <v>2006.6249999998768</v>
      </c>
      <c r="G1629" s="21">
        <v>4.88</v>
      </c>
      <c r="H1629" s="1">
        <f>B1629*$E$1867/E1629</f>
        <v>2115.529502390878</v>
      </c>
      <c r="I1629" s="1">
        <f>C1629*$E$1867/E1629</f>
        <v>39.248607013241781</v>
      </c>
      <c r="J1629" s="26">
        <f t="shared" si="126"/>
        <v>997533.49397608067</v>
      </c>
      <c r="K1629" s="1">
        <f>D1629*$E$1867/E1629</f>
        <v>126.90054218979891</v>
      </c>
      <c r="L1629" s="26">
        <f t="shared" si="124"/>
        <v>59837.284753053791</v>
      </c>
      <c r="M1629" s="10">
        <f t="shared" si="122"/>
        <v>25.051393562010961</v>
      </c>
      <c r="N1629" s="4">
        <f t="shared" si="123"/>
        <v>27.017418909973347</v>
      </c>
      <c r="O1629" s="36">
        <f>1/M1629-(G1629/100-(((E1629/E1509)^(1/10))-1))</f>
        <v>1.7404992388477418E-2</v>
      </c>
      <c r="P1629" s="48">
        <v>4.96</v>
      </c>
      <c r="R1629" s="30"/>
      <c r="S1629" s="30"/>
    </row>
    <row r="1630" spans="1:19" ht="13" x14ac:dyDescent="0.3">
      <c r="A1630" s="52" t="s">
        <v>1646</v>
      </c>
      <c r="B1630" s="6">
        <v>1317.74</v>
      </c>
      <c r="C1630" s="1">
        <v>24.1</v>
      </c>
      <c r="D1630" s="6">
        <v>78.569999999999993</v>
      </c>
      <c r="E1630" s="6">
        <v>202.9</v>
      </c>
      <c r="F1630" s="1">
        <f t="shared" si="125"/>
        <v>2006.70833333321</v>
      </c>
      <c r="G1630" s="21">
        <v>4.72</v>
      </c>
      <c r="H1630" s="1">
        <f>B1630*$E$1867/E1630</f>
        <v>2176.4807636027599</v>
      </c>
      <c r="I1630" s="1">
        <f>C1630*$E$1867/E1630</f>
        <v>39.805414120256287</v>
      </c>
      <c r="J1630" s="26">
        <f t="shared" si="126"/>
        <v>1027837.8979745571</v>
      </c>
      <c r="K1630" s="1">
        <f>D1630*$E$1867/E1630</f>
        <v>129.77225673977327</v>
      </c>
      <c r="L1630" s="26">
        <f t="shared" si="124"/>
        <v>61284.641616601868</v>
      </c>
      <c r="M1630" s="10">
        <f t="shared" si="122"/>
        <v>25.644156440797392</v>
      </c>
      <c r="N1630" s="4">
        <f t="shared" si="123"/>
        <v>27.655917575274103</v>
      </c>
      <c r="O1630" s="36">
        <f>1/M1630-(G1630/100-(((E1630/E1510)^(1/10))-1))</f>
        <v>1.7252358568579693E-2</v>
      </c>
      <c r="P1630" s="48">
        <v>4.8099999999999996</v>
      </c>
      <c r="R1630" s="30"/>
      <c r="S1630" s="30"/>
    </row>
    <row r="1631" spans="1:19" ht="13" x14ac:dyDescent="0.3">
      <c r="A1631" s="52" t="s">
        <v>1647</v>
      </c>
      <c r="B1631" s="6">
        <v>1363.38</v>
      </c>
      <c r="C1631" s="1">
        <f>C1630*2/3+C1633/3</f>
        <v>24.36</v>
      </c>
      <c r="D1631" s="6">
        <f>D1630*2/3+D1633/3</f>
        <v>79.55</v>
      </c>
      <c r="E1631" s="6">
        <v>201.8</v>
      </c>
      <c r="F1631" s="1">
        <f t="shared" si="125"/>
        <v>2006.7916666665433</v>
      </c>
      <c r="G1631" s="21">
        <v>4.7300000000000004</v>
      </c>
      <c r="H1631" s="1">
        <f>B1631*$E$1867/E1631</f>
        <v>2264.1380740584736</v>
      </c>
      <c r="I1631" s="1">
        <f>C1631*$E$1867/E1631</f>
        <v>40.45416793855302</v>
      </c>
      <c r="J1631" s="26">
        <f t="shared" si="126"/>
        <v>1070825.8878205526</v>
      </c>
      <c r="K1631" s="1">
        <f>D1631*$E$1867/E1631</f>
        <v>132.10710424925668</v>
      </c>
      <c r="L1631" s="26">
        <f t="shared" si="124"/>
        <v>62480.159145744365</v>
      </c>
      <c r="M1631" s="10">
        <f t="shared" si="122"/>
        <v>26.538040282101719</v>
      </c>
      <c r="N1631" s="4">
        <f t="shared" si="123"/>
        <v>28.617660202008345</v>
      </c>
      <c r="O1631" s="36">
        <f>1/M1631-(G1631/100-(((E1631/E1511)^(1/10))-1))</f>
        <v>1.4957394479780735E-2</v>
      </c>
      <c r="P1631" s="48">
        <v>4.92</v>
      </c>
      <c r="R1631" s="30"/>
      <c r="S1631" s="30"/>
    </row>
    <row r="1632" spans="1:19" ht="13" x14ac:dyDescent="0.3">
      <c r="A1632" s="52" t="s">
        <v>1648</v>
      </c>
      <c r="B1632" s="6">
        <v>1388.64</v>
      </c>
      <c r="C1632" s="1">
        <f>C1630/3+C1633*2/3</f>
        <v>24.619999999999997</v>
      </c>
      <c r="D1632" s="6">
        <f>D1630/3+D1633*2/3</f>
        <v>80.53</v>
      </c>
      <c r="E1632" s="6">
        <v>201.5</v>
      </c>
      <c r="F1632" s="1">
        <f t="shared" si="125"/>
        <v>2006.8749999998765</v>
      </c>
      <c r="G1632" s="21">
        <v>4.5999999999999996</v>
      </c>
      <c r="H1632" s="1">
        <f>B1632*$E$1867/E1632</f>
        <v>2309.5202340446654</v>
      </c>
      <c r="I1632" s="1">
        <f>C1632*$E$1867/E1632</f>
        <v>40.946817146401983</v>
      </c>
      <c r="J1632" s="26">
        <f t="shared" si="126"/>
        <v>1093903.2353002734</v>
      </c>
      <c r="K1632" s="1">
        <f>D1632*$E$1867/E1632</f>
        <v>133.93367931761787</v>
      </c>
      <c r="L1632" s="26">
        <f t="shared" si="124"/>
        <v>63437.627850797187</v>
      </c>
      <c r="M1632" s="10">
        <f t="shared" si="122"/>
        <v>26.928020270856493</v>
      </c>
      <c r="N1632" s="4">
        <f t="shared" si="123"/>
        <v>29.034995488566985</v>
      </c>
      <c r="O1632" s="36">
        <f>1/M1632-(G1632/100-(((E1632/E1512)^(1/10))-1))</f>
        <v>1.5365317992929867E-2</v>
      </c>
      <c r="P1632" s="48">
        <v>4.9400000000000004</v>
      </c>
      <c r="R1632" s="30"/>
      <c r="S1632" s="30"/>
    </row>
    <row r="1633" spans="1:19" ht="13" x14ac:dyDescent="0.3">
      <c r="A1633" s="52" t="s">
        <v>1649</v>
      </c>
      <c r="B1633" s="6">
        <v>1416.42</v>
      </c>
      <c r="C1633" s="1">
        <v>24.88</v>
      </c>
      <c r="D1633" s="6">
        <v>81.510000000000005</v>
      </c>
      <c r="E1633" s="6">
        <v>201.8</v>
      </c>
      <c r="F1633" s="1">
        <f t="shared" si="125"/>
        <v>2006.9583333332098</v>
      </c>
      <c r="G1633" s="21">
        <v>4.5599999999999996</v>
      </c>
      <c r="H1633" s="1">
        <f>B1633*$E$1867/E1633</f>
        <v>2352.2205480921707</v>
      </c>
      <c r="I1633" s="1">
        <f>C1633*$E$1867/E1633</f>
        <v>41.317721605550041</v>
      </c>
      <c r="J1633" s="26">
        <f t="shared" si="126"/>
        <v>1115759.0635017869</v>
      </c>
      <c r="K1633" s="1">
        <f>D1633*$E$1867/E1633</f>
        <v>135.36203730178394</v>
      </c>
      <c r="L1633" s="26">
        <f t="shared" si="124"/>
        <v>64208.01828979444</v>
      </c>
      <c r="M1633" s="10">
        <f t="shared" si="122"/>
        <v>27.282689787571691</v>
      </c>
      <c r="N1633" s="4">
        <f t="shared" si="123"/>
        <v>29.413282471660711</v>
      </c>
      <c r="O1633" s="36">
        <f>1/M1633-(G1633/100-(((E1633/E1513)^(1/10))-1))</f>
        <v>1.5434945553057959E-2</v>
      </c>
      <c r="P1633" s="48">
        <v>4.8499999999999996</v>
      </c>
      <c r="R1633" s="30"/>
      <c r="S1633" s="30"/>
    </row>
    <row r="1634" spans="1:19" ht="13" x14ac:dyDescent="0.3">
      <c r="A1634" s="52" t="s">
        <v>1650</v>
      </c>
      <c r="B1634" s="6">
        <v>1424.16</v>
      </c>
      <c r="C1634" s="1">
        <f>C1633*2/3+C1636/3</f>
        <v>25.083333333333332</v>
      </c>
      <c r="D1634" s="6">
        <f>D1633*2/3+D1636/3</f>
        <v>82.056666666666672</v>
      </c>
      <c r="E1634" s="6">
        <v>202.416</v>
      </c>
      <c r="F1634" s="1">
        <f t="shared" si="125"/>
        <v>2007.0416666665431</v>
      </c>
      <c r="G1634" s="21">
        <v>4.76</v>
      </c>
      <c r="H1634" s="1">
        <f>B1634*$E$1867/E1634</f>
        <v>2357.8767293099363</v>
      </c>
      <c r="I1634" s="1">
        <f>C1634*$E$1867/E1634</f>
        <v>41.528625969126281</v>
      </c>
      <c r="J1634" s="26">
        <f t="shared" si="126"/>
        <v>1120083.6001054798</v>
      </c>
      <c r="K1634" s="1">
        <f>D1634*$E$1867/E1634</f>
        <v>135.85517415042949</v>
      </c>
      <c r="L1634" s="26">
        <f t="shared" si="124"/>
        <v>64536.517394573166</v>
      </c>
      <c r="M1634" s="10">
        <f t="shared" si="122"/>
        <v>27.207536656807143</v>
      </c>
      <c r="N1634" s="4">
        <f t="shared" si="123"/>
        <v>29.327838512792773</v>
      </c>
      <c r="O1634" s="36">
        <f>1/M1634-(G1634/100-(((E1634/E1514)^(1/10))-1))</f>
        <v>1.3525971882152793E-2</v>
      </c>
      <c r="P1634" s="48">
        <v>4.9800000000000004</v>
      </c>
      <c r="R1634" s="30"/>
      <c r="S1634" s="30"/>
    </row>
    <row r="1635" spans="1:19" ht="13" x14ac:dyDescent="0.3">
      <c r="A1635" s="52" t="s">
        <v>1651</v>
      </c>
      <c r="B1635" s="6">
        <v>1444.8</v>
      </c>
      <c r="C1635" s="1">
        <f>C1633/3+C1636*2/3</f>
        <v>25.286666666666665</v>
      </c>
      <c r="D1635" s="6">
        <f>D1633/3+D1636*2/3</f>
        <v>82.603333333333339</v>
      </c>
      <c r="E1635" s="6">
        <v>203.499</v>
      </c>
      <c r="F1635" s="1">
        <f t="shared" si="125"/>
        <v>2007.1249999998763</v>
      </c>
      <c r="G1635" s="21">
        <v>4.72</v>
      </c>
      <c r="H1635" s="1">
        <f>B1635*$E$1867/E1635</f>
        <v>2379.3186266271578</v>
      </c>
      <c r="I1635" s="1">
        <f>C1635*$E$1867/E1635</f>
        <v>41.642467473222631</v>
      </c>
      <c r="J1635" s="26">
        <f t="shared" si="126"/>
        <v>1131917.8226500098</v>
      </c>
      <c r="K1635" s="1">
        <f>D1635*$E$1867/E1635</f>
        <v>136.03242637146457</v>
      </c>
      <c r="L1635" s="26">
        <f t="shared" si="124"/>
        <v>64714.967615102192</v>
      </c>
      <c r="M1635" s="10">
        <f t="shared" si="122"/>
        <v>27.315181413516623</v>
      </c>
      <c r="N1635" s="4">
        <f t="shared" si="123"/>
        <v>29.439186629440375</v>
      </c>
      <c r="O1635" s="36">
        <f>1/M1635-(G1635/100-(((E1635/E1515)^(1/10))-1))</f>
        <v>1.4006346214000459E-2</v>
      </c>
      <c r="P1635" s="48">
        <v>5.03</v>
      </c>
      <c r="R1635" s="30"/>
      <c r="S1635" s="30"/>
    </row>
    <row r="1636" spans="1:19" ht="13" x14ac:dyDescent="0.3">
      <c r="A1636" s="52" t="s">
        <v>1652</v>
      </c>
      <c r="B1636" s="6">
        <v>1406.95</v>
      </c>
      <c r="C1636" s="1">
        <v>25.49</v>
      </c>
      <c r="D1636" s="6">
        <v>83.15</v>
      </c>
      <c r="E1636" s="6">
        <v>205.352</v>
      </c>
      <c r="F1636" s="1">
        <f t="shared" si="125"/>
        <v>2007.2083333332096</v>
      </c>
      <c r="G1636" s="21">
        <v>4.5599999999999996</v>
      </c>
      <c r="H1636" s="1">
        <f>B1636*$E$1867/E1636</f>
        <v>2296.0792711417471</v>
      </c>
      <c r="I1636" s="1">
        <f>C1636*$E$1867/E1636</f>
        <v>41.598536281604261</v>
      </c>
      <c r="J1636" s="26">
        <f t="shared" si="126"/>
        <v>1093967.35006868</v>
      </c>
      <c r="K1636" s="1">
        <f>D1636*$E$1867/E1636</f>
        <v>135.69706911790487</v>
      </c>
      <c r="L1636" s="26">
        <f t="shared" si="124"/>
        <v>64652.891117815656</v>
      </c>
      <c r="M1636" s="10">
        <f t="shared" si="122"/>
        <v>26.227605554650911</v>
      </c>
      <c r="N1636" s="4">
        <f t="shared" si="123"/>
        <v>28.264070221688137</v>
      </c>
      <c r="O1636" s="36">
        <f>1/M1636-(G1636/100-(((E1636/E1516)^(1/10))-1))</f>
        <v>1.7796929020727548E-2</v>
      </c>
      <c r="P1636" s="48">
        <v>4.9400000000000004</v>
      </c>
      <c r="R1636" s="30"/>
      <c r="S1636" s="30"/>
    </row>
    <row r="1637" spans="1:19" ht="13" x14ac:dyDescent="0.3">
      <c r="A1637" s="52" t="s">
        <v>1653</v>
      </c>
      <c r="B1637" s="6">
        <v>1463.64</v>
      </c>
      <c r="C1637" s="1">
        <f>C1636*2/3+C1639/3</f>
        <v>25.716666666666669</v>
      </c>
      <c r="D1637" s="6">
        <f>D1636*2/3+D1639/3</f>
        <v>83.740000000000009</v>
      </c>
      <c r="E1637" s="6">
        <v>206.68600000000001</v>
      </c>
      <c r="F1637" s="1">
        <f t="shared" si="125"/>
        <v>2007.2916666665428</v>
      </c>
      <c r="G1637" s="21">
        <v>4.6900000000000004</v>
      </c>
      <c r="H1637" s="1">
        <f>B1637*$E$1867/E1637</f>
        <v>2373.1782554696497</v>
      </c>
      <c r="I1637" s="1">
        <f>C1637*$E$1867/E1637</f>
        <v>41.697571900531891</v>
      </c>
      <c r="J1637" s="26">
        <f t="shared" si="126"/>
        <v>1132356.7418777491</v>
      </c>
      <c r="K1637" s="1">
        <f>D1637*$E$1867/E1637</f>
        <v>135.7778873992433</v>
      </c>
      <c r="L1637" s="26">
        <f t="shared" si="124"/>
        <v>64786.117873823277</v>
      </c>
      <c r="M1637" s="10">
        <f t="shared" si="122"/>
        <v>26.976268314189095</v>
      </c>
      <c r="N1637" s="4">
        <f t="shared" si="123"/>
        <v>29.066642443029906</v>
      </c>
      <c r="O1637" s="36">
        <f>1/M1637-(G1637/100-(((E1637/E1517)^(1/10))-1))</f>
        <v>1.5974721669373596E-2</v>
      </c>
      <c r="P1637" s="48">
        <v>4.87</v>
      </c>
      <c r="R1637" s="30"/>
      <c r="S1637" s="30"/>
    </row>
    <row r="1638" spans="1:19" ht="13" x14ac:dyDescent="0.3">
      <c r="A1638" s="52" t="s">
        <v>1654</v>
      </c>
      <c r="B1638" s="6">
        <v>1511.14</v>
      </c>
      <c r="C1638" s="1">
        <f>C1636/3+C1639*2/3</f>
        <v>25.943333333333335</v>
      </c>
      <c r="D1638" s="6">
        <f>D1636/3+D1639*2/3</f>
        <v>84.330000000000013</v>
      </c>
      <c r="E1638" s="6">
        <v>207.94900000000001</v>
      </c>
      <c r="F1638" s="1">
        <f t="shared" si="125"/>
        <v>2007.3749999998761</v>
      </c>
      <c r="G1638" s="21">
        <v>4.75</v>
      </c>
      <c r="H1638" s="1">
        <f>B1638*$E$1867/E1638</f>
        <v>2435.3142851612652</v>
      </c>
      <c r="I1638" s="1">
        <f>C1638*$E$1867/E1638</f>
        <v>41.809607495908452</v>
      </c>
      <c r="J1638" s="26">
        <f t="shared" si="126"/>
        <v>1163667.2574450045</v>
      </c>
      <c r="K1638" s="1">
        <f>D1638*$E$1867/E1638</f>
        <v>135.90405499665783</v>
      </c>
      <c r="L1638" s="26">
        <f t="shared" si="124"/>
        <v>64939.092221989522</v>
      </c>
      <c r="M1638" s="10">
        <f t="shared" si="122"/>
        <v>27.548490451851265</v>
      </c>
      <c r="N1638" s="4">
        <f t="shared" si="123"/>
        <v>29.678159305539197</v>
      </c>
      <c r="O1638" s="36">
        <f>1/M1638-(G1638/100-(((E1638/E1518)^(1/10))-1))</f>
        <v>1.5293949247564116E-2</v>
      </c>
      <c r="P1638" s="48">
        <v>4.7300000000000004</v>
      </c>
      <c r="R1638" s="30"/>
      <c r="S1638" s="30"/>
    </row>
    <row r="1639" spans="1:19" ht="13" x14ac:dyDescent="0.3">
      <c r="A1639" s="52" t="s">
        <v>1655</v>
      </c>
      <c r="B1639" s="6">
        <v>1514.19</v>
      </c>
      <c r="C1639" s="1">
        <v>26.17</v>
      </c>
      <c r="D1639" s="6">
        <v>84.92</v>
      </c>
      <c r="E1639" s="6">
        <v>208.352</v>
      </c>
      <c r="F1639" s="1">
        <f t="shared" si="125"/>
        <v>2007.4583333332093</v>
      </c>
      <c r="G1639" s="21">
        <v>5.0999999999999996</v>
      </c>
      <c r="H1639" s="1">
        <f>B1639*$E$1867/E1639</f>
        <v>2435.5096293652091</v>
      </c>
      <c r="I1639" s="1">
        <f>C1639*$E$1867/E1639</f>
        <v>42.093321842362926</v>
      </c>
      <c r="J1639" s="26">
        <f t="shared" si="126"/>
        <v>1165436.7213340825</v>
      </c>
      <c r="K1639" s="1">
        <f>D1639*$E$1867/E1639</f>
        <v>136.59017542428199</v>
      </c>
      <c r="L1639" s="26">
        <f t="shared" si="124"/>
        <v>65360.943062423001</v>
      </c>
      <c r="M1639" s="10">
        <f t="shared" si="122"/>
        <v>27.418262740410619</v>
      </c>
      <c r="N1639" s="4">
        <f t="shared" si="123"/>
        <v>29.533318152944702</v>
      </c>
      <c r="O1639" s="36">
        <f>1/M1639-(G1639/100-(((E1639/E1519)^(1/10))-1))</f>
        <v>1.2036950871557837E-2</v>
      </c>
      <c r="P1639" s="48">
        <v>4.6100000000000003</v>
      </c>
      <c r="R1639" s="30"/>
      <c r="S1639" s="30"/>
    </row>
    <row r="1640" spans="1:19" ht="13" x14ac:dyDescent="0.3">
      <c r="A1640" s="52" t="s">
        <v>1656</v>
      </c>
      <c r="B1640" s="18">
        <v>1520.71</v>
      </c>
      <c r="C1640" s="1">
        <f>C1639*2/3+C1642/3</f>
        <v>26.440000000000005</v>
      </c>
      <c r="D1640" s="6">
        <f>D1639*2/3+D1642/3</f>
        <v>82.813333333333333</v>
      </c>
      <c r="E1640" s="6">
        <v>208.29900000000001</v>
      </c>
      <c r="F1640" s="1">
        <f t="shared" si="125"/>
        <v>2007.5416666665426</v>
      </c>
      <c r="G1640" s="21">
        <v>5</v>
      </c>
      <c r="H1640" s="1">
        <f>B1640*$E$1867/E1640</f>
        <v>2446.6191336852312</v>
      </c>
      <c r="I1640" s="1">
        <f>C1640*$E$1867/E1640</f>
        <v>42.538426060614796</v>
      </c>
      <c r="J1640" s="26">
        <f t="shared" si="126"/>
        <v>1172449.1118420153</v>
      </c>
      <c r="K1640" s="1">
        <f>D1640*$E$1867/E1640</f>
        <v>133.23558460034212</v>
      </c>
      <c r="L1640" s="26">
        <f t="shared" si="124"/>
        <v>63848.08353686332</v>
      </c>
      <c r="M1640" s="10">
        <f t="shared" si="122"/>
        <v>27.410088167204332</v>
      </c>
      <c r="N1640" s="4">
        <f t="shared" si="123"/>
        <v>29.52031070899065</v>
      </c>
      <c r="O1640" s="36">
        <f>1/M1640-(G1640/100-(((E1640/E1520)^(1/10))-1))</f>
        <v>1.2893722157572618E-2</v>
      </c>
      <c r="P1640" s="48">
        <v>4.82</v>
      </c>
      <c r="R1640" s="30"/>
      <c r="S1640" s="30"/>
    </row>
    <row r="1641" spans="1:19" ht="13" x14ac:dyDescent="0.3">
      <c r="A1641" s="52" t="s">
        <v>1657</v>
      </c>
      <c r="B1641" s="6">
        <v>1454.62</v>
      </c>
      <c r="C1641" s="1">
        <f>C1639/3+C1642*2/3</f>
        <v>26.71</v>
      </c>
      <c r="D1641" s="6">
        <f>D1639/3+D1642*2/3</f>
        <v>80.706666666666663</v>
      </c>
      <c r="E1641" s="6">
        <v>207.917</v>
      </c>
      <c r="F1641" s="1">
        <f t="shared" si="125"/>
        <v>2007.6249999998759</v>
      </c>
      <c r="G1641" s="21">
        <v>4.67</v>
      </c>
      <c r="H1641" s="1">
        <f>B1641*$E$1867/E1641</f>
        <v>2344.5889040097727</v>
      </c>
      <c r="I1641" s="1">
        <f>C1641*$E$1867/E1641</f>
        <v>43.051772714592843</v>
      </c>
      <c r="J1641" s="26">
        <f t="shared" si="126"/>
        <v>1125274.2507511622</v>
      </c>
      <c r="K1641" s="1">
        <f>D1641*$E$1867/E1641</f>
        <v>130.08480231695017</v>
      </c>
      <c r="L1641" s="26">
        <f t="shared" si="124"/>
        <v>62433.579810505238</v>
      </c>
      <c r="M1641" s="10">
        <f t="shared" si="122"/>
        <v>26.148607189312326</v>
      </c>
      <c r="N1641" s="4">
        <f t="shared" si="123"/>
        <v>28.160884339006934</v>
      </c>
      <c r="O1641" s="36">
        <f>1/M1641-(G1641/100-(((E1641/E1521)^(1/10))-1))</f>
        <v>1.7573749248513792E-2</v>
      </c>
      <c r="P1641" s="48">
        <v>4.2</v>
      </c>
      <c r="R1641" s="30"/>
      <c r="S1641" s="30"/>
    </row>
    <row r="1642" spans="1:19" ht="13" x14ac:dyDescent="0.3">
      <c r="A1642" s="52" t="s">
        <v>1658</v>
      </c>
      <c r="B1642" s="6">
        <v>1497.12</v>
      </c>
      <c r="C1642" s="1">
        <v>26.98</v>
      </c>
      <c r="D1642" s="6">
        <v>78.599999999999994</v>
      </c>
      <c r="E1642" s="6">
        <v>208.49</v>
      </c>
      <c r="F1642" s="1">
        <f t="shared" si="125"/>
        <v>2007.7083333332091</v>
      </c>
      <c r="G1642" s="21">
        <v>4.5199999999999996</v>
      </c>
      <c r="H1642" s="1">
        <f>B1642*$E$1867/E1642</f>
        <v>2406.4593710969348</v>
      </c>
      <c r="I1642" s="1">
        <f>C1642*$E$1867/E1642</f>
        <v>43.367448055062589</v>
      </c>
      <c r="J1642" s="26">
        <f t="shared" si="126"/>
        <v>1156703.1860130625</v>
      </c>
      <c r="K1642" s="1">
        <f>D1642*$E$1867/E1642</f>
        <v>126.34104585351814</v>
      </c>
      <c r="L1642" s="26">
        <f t="shared" si="124"/>
        <v>60727.844408348508</v>
      </c>
      <c r="M1642" s="10">
        <f t="shared" si="122"/>
        <v>26.725743047696923</v>
      </c>
      <c r="N1642" s="4">
        <f t="shared" si="123"/>
        <v>28.781596977212061</v>
      </c>
      <c r="O1642" s="36">
        <f>1/M1642-(G1642/100-(((E1642/E1522)^(1/10))-1))</f>
        <v>1.8275363450433901E-2</v>
      </c>
      <c r="P1642" s="48">
        <v>3.89</v>
      </c>
      <c r="R1642" s="30"/>
      <c r="S1642" s="30"/>
    </row>
    <row r="1643" spans="1:19" ht="13" x14ac:dyDescent="0.3">
      <c r="A1643" s="52" t="s">
        <v>1659</v>
      </c>
      <c r="B1643" s="6">
        <v>1539.66</v>
      </c>
      <c r="C1643" s="1">
        <f>C1642*2/3+C1645/3</f>
        <v>27.230000000000004</v>
      </c>
      <c r="D1643" s="6">
        <f>D1642*2/3+D1645/3</f>
        <v>74.460000000000008</v>
      </c>
      <c r="E1643" s="6">
        <v>208.93600000000001</v>
      </c>
      <c r="F1643" s="1">
        <f t="shared" si="125"/>
        <v>2007.7916666665424</v>
      </c>
      <c r="G1643" s="21">
        <v>4.53</v>
      </c>
      <c r="H1643" s="1">
        <f>B1643*$E$1867/E1643</f>
        <v>2469.5549949027454</v>
      </c>
      <c r="I1643" s="1">
        <f>C1643*$E$1867/E1643</f>
        <v>43.67586513334227</v>
      </c>
      <c r="J1643" s="26">
        <f t="shared" si="126"/>
        <v>1188780.5653513961</v>
      </c>
      <c r="K1643" s="1">
        <f>D1643*$E$1867/E1643</f>
        <v>119.43095548397596</v>
      </c>
      <c r="L1643" s="26">
        <f t="shared" si="124"/>
        <v>57491.00508947752</v>
      </c>
      <c r="M1643" s="10">
        <f t="shared" si="122"/>
        <v>27.320648130462025</v>
      </c>
      <c r="N1643" s="4">
        <f t="shared" si="123"/>
        <v>29.421547626363033</v>
      </c>
      <c r="O1643" s="36">
        <f>1/M1643-(G1643/100-(((E1643/E1523)^(1/10))-1))</f>
        <v>1.7325578710255835E-2</v>
      </c>
      <c r="P1643" s="48">
        <v>3.9</v>
      </c>
      <c r="R1643" s="30"/>
      <c r="S1643" s="30"/>
    </row>
    <row r="1644" spans="1:19" ht="13" x14ac:dyDescent="0.3">
      <c r="A1644" s="52" t="s">
        <v>1660</v>
      </c>
      <c r="B1644" s="6">
        <v>1463.39</v>
      </c>
      <c r="C1644" s="1">
        <f>C1642/3+C1645*2/3</f>
        <v>27.480000000000004</v>
      </c>
      <c r="D1644" s="6">
        <f>D1642/3+D1645*2/3</f>
        <v>70.320000000000007</v>
      </c>
      <c r="E1644" s="6">
        <v>210.17699999999999</v>
      </c>
      <c r="F1644" s="1">
        <f t="shared" si="125"/>
        <v>2007.8749999998756</v>
      </c>
      <c r="G1644" s="21">
        <v>4.1500000000000004</v>
      </c>
      <c r="H1644" s="1">
        <f>B1644*$E$1867/E1644</f>
        <v>2333.3615933118276</v>
      </c>
      <c r="I1644" s="1">
        <f>C1644*$E$1867/E1644</f>
        <v>43.816601578669413</v>
      </c>
      <c r="J1644" s="26">
        <f t="shared" si="126"/>
        <v>1124978.230288645</v>
      </c>
      <c r="K1644" s="1">
        <f>D1644*$E$1867/E1644</f>
        <v>112.12457871222827</v>
      </c>
      <c r="L1644" s="26">
        <f t="shared" si="124"/>
        <v>54058.363904289028</v>
      </c>
      <c r="M1644" s="10">
        <f t="shared" si="122"/>
        <v>25.729053579498384</v>
      </c>
      <c r="N1644" s="4">
        <f t="shared" si="123"/>
        <v>27.711039143379509</v>
      </c>
      <c r="O1644" s="36">
        <f>1/M1644-(G1644/100-(((E1644/E1524)^(1/10))-1))</f>
        <v>2.4061140157559044E-2</v>
      </c>
      <c r="P1644" s="48">
        <v>3.27</v>
      </c>
      <c r="R1644" s="30"/>
      <c r="S1644" s="30"/>
    </row>
    <row r="1645" spans="1:19" ht="13" x14ac:dyDescent="0.3">
      <c r="A1645" s="52" t="s">
        <v>1661</v>
      </c>
      <c r="B1645" s="6">
        <v>1479.22</v>
      </c>
      <c r="C1645" s="1">
        <v>27.73</v>
      </c>
      <c r="D1645" s="6">
        <v>66.180000000000007</v>
      </c>
      <c r="E1645" s="6">
        <v>210.036</v>
      </c>
      <c r="F1645" s="1">
        <f t="shared" si="125"/>
        <v>2007.9583333332089</v>
      </c>
      <c r="G1645" s="21">
        <v>4.0999999999999996</v>
      </c>
      <c r="H1645" s="1">
        <f>B1645*$E$1867/E1645</f>
        <v>2360.1857410396315</v>
      </c>
      <c r="I1645" s="1">
        <f>C1645*$E$1867/E1645</f>
        <v>44.244906504123101</v>
      </c>
      <c r="J1645" s="26">
        <f t="shared" si="126"/>
        <v>1139688.5358222593</v>
      </c>
      <c r="K1645" s="1">
        <f>D1645*$E$1867/E1645</f>
        <v>105.59422691824258</v>
      </c>
      <c r="L1645" s="26">
        <f t="shared" si="124"/>
        <v>50989.431795620061</v>
      </c>
      <c r="M1645" s="10">
        <f t="shared" si="122"/>
        <v>25.955510105240233</v>
      </c>
      <c r="N1645" s="4">
        <f t="shared" si="123"/>
        <v>27.959981545763863</v>
      </c>
      <c r="O1645" s="36">
        <f>1/M1645-(G1645/100-(((E1645/E1525)^(1/10))-1))</f>
        <v>2.4280362312110379E-2</v>
      </c>
      <c r="P1645" s="48">
        <v>3</v>
      </c>
      <c r="R1645" s="30"/>
      <c r="S1645" s="30"/>
    </row>
    <row r="1646" spans="1:19" ht="13" x14ac:dyDescent="0.3">
      <c r="A1646" s="52" t="s">
        <v>1662</v>
      </c>
      <c r="B1646" s="6">
        <v>1378.76</v>
      </c>
      <c r="C1646" s="1">
        <f>C1645*2/3+C1648/3</f>
        <v>27.92</v>
      </c>
      <c r="D1646" s="6">
        <f>D1645*2/3+D1648/3</f>
        <v>64.25</v>
      </c>
      <c r="E1646" s="6">
        <v>211.08</v>
      </c>
      <c r="F1646" s="1">
        <f t="shared" si="125"/>
        <v>2008.0416666665421</v>
      </c>
      <c r="G1646" s="17">
        <v>3.74</v>
      </c>
      <c r="H1646" s="1">
        <f>B1646*$E$1867/E1646</f>
        <v>2189.0150165340156</v>
      </c>
      <c r="I1646" s="1">
        <f>C1646*$E$1867/E1646</f>
        <v>44.327728728444193</v>
      </c>
      <c r="J1646" s="26">
        <f t="shared" si="126"/>
        <v>1058817.2190521674</v>
      </c>
      <c r="K1646" s="1">
        <f>D1646*$E$1867/E1646</f>
        <v>102.00775683390182</v>
      </c>
      <c r="L1646" s="26">
        <f t="shared" si="124"/>
        <v>49340.716530869577</v>
      </c>
      <c r="M1646" s="10">
        <f t="shared" si="122"/>
        <v>24.02231776083682</v>
      </c>
      <c r="N1646" s="4">
        <f t="shared" si="123"/>
        <v>25.88670594313724</v>
      </c>
      <c r="O1646" s="36">
        <f>1/M1646-(G1646/100-(((E1646/E1526)^(1/10))-1))</f>
        <v>3.1299207454085549E-2</v>
      </c>
      <c r="P1646" s="48">
        <v>2.75</v>
      </c>
      <c r="R1646" s="30"/>
      <c r="S1646" s="30"/>
    </row>
    <row r="1647" spans="1:19" ht="13" x14ac:dyDescent="0.3">
      <c r="A1647" s="52" t="s">
        <v>1663</v>
      </c>
      <c r="B1647" s="6">
        <v>1354.87</v>
      </c>
      <c r="C1647" s="1">
        <f>C1645/3+C1648*2/3</f>
        <v>28.11</v>
      </c>
      <c r="D1647" s="6">
        <f>D1645/3+D1648*2/3</f>
        <v>62.32</v>
      </c>
      <c r="E1647" s="6">
        <v>211.69300000000001</v>
      </c>
      <c r="F1647" s="1">
        <f t="shared" si="125"/>
        <v>2008.1249999998754</v>
      </c>
      <c r="G1647" s="21">
        <v>3.74</v>
      </c>
      <c r="H1647" s="1">
        <f>B1647*$E$1867/E1647</f>
        <v>2144.8566909038086</v>
      </c>
      <c r="I1647" s="1">
        <f>C1647*$E$1867/E1647</f>
        <v>44.500152473156881</v>
      </c>
      <c r="J1647" s="26">
        <f t="shared" si="126"/>
        <v>1039251.7365965754</v>
      </c>
      <c r="K1647" s="1">
        <f>D1647*$E$1867/E1647</f>
        <v>98.657043832342112</v>
      </c>
      <c r="L1647" s="26">
        <f t="shared" si="124"/>
        <v>47802.496346290471</v>
      </c>
      <c r="M1647" s="10">
        <f t="shared" si="122"/>
        <v>23.49526340181178</v>
      </c>
      <c r="N1647" s="4">
        <f t="shared" si="123"/>
        <v>25.329469431905391</v>
      </c>
      <c r="O1647" s="36">
        <f>1/M1647-(G1647/100-(((E1647/E1527)^(1/10))-1))</f>
        <v>3.2340374978085375E-2</v>
      </c>
      <c r="P1647" s="48">
        <v>2.12</v>
      </c>
      <c r="R1647" s="30"/>
      <c r="S1647" s="30"/>
    </row>
    <row r="1648" spans="1:19" ht="13" x14ac:dyDescent="0.3">
      <c r="A1648" s="52" t="s">
        <v>1664</v>
      </c>
      <c r="B1648" s="6">
        <v>1316.94</v>
      </c>
      <c r="C1648" s="1">
        <v>28.3</v>
      </c>
      <c r="D1648" s="6">
        <v>60.39</v>
      </c>
      <c r="E1648" s="6">
        <v>213.52799999999999</v>
      </c>
      <c r="F1648" s="1">
        <f t="shared" si="125"/>
        <v>2008.2083333332087</v>
      </c>
      <c r="G1648" s="21">
        <v>3.51</v>
      </c>
      <c r="H1648" s="1">
        <f>B1648*$E$1867/E1648</f>
        <v>2066.8944903478705</v>
      </c>
      <c r="I1648" s="1">
        <f>C1648*$E$1867/E1648</f>
        <v>44.415929409726125</v>
      </c>
      <c r="J1648" s="26">
        <f t="shared" si="126"/>
        <v>1003269.9660368083</v>
      </c>
      <c r="K1648" s="1">
        <f>D1648*$E$1867/E1648</f>
        <v>94.780140531920878</v>
      </c>
      <c r="L1648" s="26">
        <f t="shared" si="124"/>
        <v>46006.251802635539</v>
      </c>
      <c r="M1648" s="10">
        <f t="shared" si="122"/>
        <v>22.606810842249338</v>
      </c>
      <c r="N1648" s="4">
        <f t="shared" si="123"/>
        <v>24.38405179883036</v>
      </c>
      <c r="O1648" s="36">
        <f>1/M1648-(G1648/100-(((E1648/E1528)^(1/10))-1))</f>
        <v>3.700968168657174E-2</v>
      </c>
      <c r="P1648" s="48">
        <v>1.26</v>
      </c>
      <c r="R1648" s="30"/>
      <c r="S1648" s="30"/>
    </row>
    <row r="1649" spans="1:19" ht="13" x14ac:dyDescent="0.3">
      <c r="A1649" s="52" t="s">
        <v>1665</v>
      </c>
      <c r="B1649" s="6">
        <v>1370.47</v>
      </c>
      <c r="C1649" s="1">
        <f>C1648*2/3+C1651/3</f>
        <v>28.436666666666667</v>
      </c>
      <c r="D1649" s="6">
        <f>D1648*2/3+D1651/3</f>
        <v>57.383333333333326</v>
      </c>
      <c r="E1649" s="6">
        <v>214.82300000000001</v>
      </c>
      <c r="F1649" s="1">
        <f t="shared" si="125"/>
        <v>2008.2916666665419</v>
      </c>
      <c r="G1649" s="21">
        <v>3.68</v>
      </c>
      <c r="H1649" s="1">
        <f>B1649*$E$1867/E1649</f>
        <v>2137.9419399575463</v>
      </c>
      <c r="I1649" s="1">
        <f>C1649*$E$1867/E1649</f>
        <v>44.361381350383027</v>
      </c>
      <c r="J1649" s="26">
        <f t="shared" si="126"/>
        <v>1039550.7935474291</v>
      </c>
      <c r="K1649" s="1">
        <f>D1649*$E$1867/E1649</f>
        <v>89.518365953211074</v>
      </c>
      <c r="L1649" s="26">
        <f t="shared" si="124"/>
        <v>43527.322526624659</v>
      </c>
      <c r="M1649" s="10">
        <f t="shared" si="122"/>
        <v>23.356040643201602</v>
      </c>
      <c r="N1649" s="4">
        <f t="shared" si="123"/>
        <v>25.204092441252232</v>
      </c>
      <c r="O1649" s="36">
        <f>1/M1649-(G1649/100-(((E1649/E1529)^(1/10))-1))</f>
        <v>3.4322355344470319E-2</v>
      </c>
      <c r="P1649" s="48">
        <v>1.29</v>
      </c>
      <c r="R1649" s="30"/>
      <c r="S1649" s="30"/>
    </row>
    <row r="1650" spans="1:19" ht="13" x14ac:dyDescent="0.3">
      <c r="A1650" s="52" t="s">
        <v>1666</v>
      </c>
      <c r="B1650" s="6">
        <v>1403.22</v>
      </c>
      <c r="C1650" s="1">
        <f>C1648/3+C1651*2/3</f>
        <v>28.573333333333334</v>
      </c>
      <c r="D1650" s="6">
        <f>D1648/3+D1651*2/3</f>
        <v>54.376666666666665</v>
      </c>
      <c r="E1650" s="6">
        <v>216.63200000000001</v>
      </c>
      <c r="F1650" s="1">
        <f t="shared" si="125"/>
        <v>2008.3749999998752</v>
      </c>
      <c r="G1650" s="21">
        <v>3.88</v>
      </c>
      <c r="H1650" s="1">
        <f>B1650*$E$1867/E1650</f>
        <v>2170.7524894983194</v>
      </c>
      <c r="I1650" s="1">
        <f>C1650*$E$1867/E1650</f>
        <v>44.202359192855468</v>
      </c>
      <c r="J1650" s="26">
        <f t="shared" si="126"/>
        <v>1057295.6389837954</v>
      </c>
      <c r="K1650" s="1">
        <f>D1650*$E$1867/E1650</f>
        <v>84.119585337500141</v>
      </c>
      <c r="L1650" s="26">
        <f t="shared" si="124"/>
        <v>40971.631340162043</v>
      </c>
      <c r="M1650" s="10">
        <f t="shared" si="122"/>
        <v>23.696432116623178</v>
      </c>
      <c r="N1650" s="4">
        <f t="shared" si="123"/>
        <v>25.583647878051828</v>
      </c>
      <c r="O1650" s="36">
        <f>1/M1650-(G1650/100-(((E1650/E1530)^(1/10))-1))</f>
        <v>3.2380178781063008E-2</v>
      </c>
      <c r="P1650" s="48">
        <v>1.73</v>
      </c>
      <c r="R1650" s="30"/>
      <c r="S1650" s="30"/>
    </row>
    <row r="1651" spans="1:19" ht="13" x14ac:dyDescent="0.3">
      <c r="A1651" s="52" t="s">
        <v>1667</v>
      </c>
      <c r="B1651" s="6">
        <v>1341.25</v>
      </c>
      <c r="C1651" s="1">
        <v>28.71</v>
      </c>
      <c r="D1651" s="6">
        <v>51.37</v>
      </c>
      <c r="E1651" s="6">
        <v>218.815</v>
      </c>
      <c r="F1651" s="1">
        <f t="shared" si="125"/>
        <v>2008.4583333332084</v>
      </c>
      <c r="G1651" s="21">
        <v>4.0999999999999996</v>
      </c>
      <c r="H1651" s="1">
        <f>B1651*$E$1867/E1651</f>
        <v>2054.1861461165827</v>
      </c>
      <c r="I1651" s="1">
        <f>C1651*$E$1867/E1651</f>
        <v>43.970687235792795</v>
      </c>
      <c r="J1651" s="26">
        <f t="shared" si="126"/>
        <v>1002305.0681567829</v>
      </c>
      <c r="K1651" s="1">
        <f>D1651*$E$1867/E1651</f>
        <v>78.67552083952198</v>
      </c>
      <c r="L1651" s="26">
        <f t="shared" si="124"/>
        <v>38388.377521874325</v>
      </c>
      <c r="M1651" s="10">
        <f t="shared" si="122"/>
        <v>22.416812802281946</v>
      </c>
      <c r="N1651" s="4">
        <f t="shared" si="123"/>
        <v>24.216735515654392</v>
      </c>
      <c r="O1651" s="36">
        <f>1/M1651-(G1651/100-(((E1651/E1531)^(1/10))-1))</f>
        <v>3.3494886255305896E-2</v>
      </c>
      <c r="P1651" s="48">
        <v>1.86</v>
      </c>
      <c r="R1651" s="30"/>
      <c r="S1651" s="30"/>
    </row>
    <row r="1652" spans="1:19" ht="13" x14ac:dyDescent="0.3">
      <c r="A1652" s="52" t="s">
        <v>1668</v>
      </c>
      <c r="B1652" s="6">
        <v>1257.33</v>
      </c>
      <c r="C1652" s="1">
        <f>C1651*2/3+C1654/3</f>
        <v>28.756666666666668</v>
      </c>
      <c r="D1652" s="6">
        <f>D1651*2/3+D1654/3</f>
        <v>49.563333333333333</v>
      </c>
      <c r="E1652" s="6">
        <v>219.964</v>
      </c>
      <c r="F1652" s="1">
        <f t="shared" si="125"/>
        <v>2008.5416666665417</v>
      </c>
      <c r="G1652" s="21">
        <v>4.01</v>
      </c>
      <c r="H1652" s="1">
        <f>B1652*$E$1867/E1652</f>
        <v>1915.5999644600934</v>
      </c>
      <c r="I1652" s="1">
        <f>C1652*$E$1867/E1652</f>
        <v>43.812101552223702</v>
      </c>
      <c r="J1652" s="26">
        <f t="shared" si="126"/>
        <v>936465.7535355424</v>
      </c>
      <c r="K1652" s="1">
        <f>D1652*$E$1867/E1652</f>
        <v>75.512013212010444</v>
      </c>
      <c r="L1652" s="26">
        <f t="shared" si="124"/>
        <v>36915.021750640852</v>
      </c>
      <c r="M1652" s="10">
        <f t="shared" si="122"/>
        <v>20.907206462661581</v>
      </c>
      <c r="N1652" s="4">
        <f t="shared" si="123"/>
        <v>22.603177385642265</v>
      </c>
      <c r="O1652" s="36">
        <f>1/M1652-(G1652/100-(((E1652/E1532)^(1/10))-1))</f>
        <v>3.8029082463546776E-2</v>
      </c>
      <c r="P1652" s="48">
        <v>1.63</v>
      </c>
      <c r="R1652" s="30"/>
      <c r="S1652" s="30"/>
    </row>
    <row r="1653" spans="1:19" ht="13" x14ac:dyDescent="0.3">
      <c r="A1653" s="52" t="s">
        <v>1669</v>
      </c>
      <c r="B1653" s="6">
        <v>1281.47</v>
      </c>
      <c r="C1653" s="1">
        <f>C1651/3+C1654*2/3</f>
        <v>28.803333333333335</v>
      </c>
      <c r="D1653" s="6">
        <f>D1651/3+D1654*2/3</f>
        <v>47.756666666666668</v>
      </c>
      <c r="E1653" s="6">
        <v>219.08600000000001</v>
      </c>
      <c r="F1653" s="1">
        <f t="shared" si="125"/>
        <v>2008.6249999998749</v>
      </c>
      <c r="G1653" s="21">
        <v>3.89</v>
      </c>
      <c r="H1653" s="1">
        <f>B1653*$E$1867/E1653</f>
        <v>1960.2026332924056</v>
      </c>
      <c r="I1653" s="1">
        <f>C1653*$E$1867/E1653</f>
        <v>44.059064861135198</v>
      </c>
      <c r="J1653" s="26">
        <f t="shared" si="126"/>
        <v>960065.2470785972</v>
      </c>
      <c r="K1653" s="1">
        <f>D1653*$E$1867/E1653</f>
        <v>73.051061481944686</v>
      </c>
      <c r="L1653" s="26">
        <f t="shared" si="124"/>
        <v>35778.844594866474</v>
      </c>
      <c r="M1653" s="10">
        <f t="shared" si="122"/>
        <v>21.401617360047929</v>
      </c>
      <c r="N1653" s="4">
        <f t="shared" si="123"/>
        <v>23.155126607759279</v>
      </c>
      <c r="O1653" s="36">
        <f>1/M1653-(G1653/100-(((E1653/E1533)^(1/10))-1))</f>
        <v>3.7586008022024393E-2</v>
      </c>
      <c r="P1653" s="48">
        <v>1.72</v>
      </c>
      <c r="R1653" s="30"/>
      <c r="S1653" s="30"/>
    </row>
    <row r="1654" spans="1:19" ht="13" x14ac:dyDescent="0.3">
      <c r="A1654" s="52" t="s">
        <v>1670</v>
      </c>
      <c r="B1654" s="6">
        <v>1216.95</v>
      </c>
      <c r="C1654" s="1">
        <v>28.85</v>
      </c>
      <c r="D1654" s="6">
        <f>45.95</f>
        <v>45.95</v>
      </c>
      <c r="E1654" s="6">
        <v>218.78299999999999</v>
      </c>
      <c r="F1654" s="1">
        <f t="shared" si="125"/>
        <v>2008.7083333332082</v>
      </c>
      <c r="G1654" s="21">
        <v>3.69</v>
      </c>
      <c r="H1654" s="1">
        <f>B1654*$E$1867/E1654</f>
        <v>1864.0875798736649</v>
      </c>
      <c r="I1654" s="1">
        <f>C1654*$E$1867/E1654</f>
        <v>44.191566357989423</v>
      </c>
      <c r="J1654" s="26">
        <f t="shared" si="126"/>
        <v>914793.82696533005</v>
      </c>
      <c r="K1654" s="1">
        <f>D1654*$E$1867/E1654</f>
        <v>70.384834459258727</v>
      </c>
      <c r="L1654" s="26">
        <f t="shared" si="124"/>
        <v>34541.087430919033</v>
      </c>
      <c r="M1654" s="10">
        <f t="shared" si="122"/>
        <v>20.362733946097514</v>
      </c>
      <c r="N1654" s="4">
        <f t="shared" si="123"/>
        <v>22.050373871028636</v>
      </c>
      <c r="O1654" s="36">
        <f>1/M1654-(G1654/100-(((E1654/E1534)^(1/10))-1))</f>
        <v>4.1701440614025406E-2</v>
      </c>
      <c r="P1654" s="48">
        <v>1.1299999999999999</v>
      </c>
      <c r="R1654" s="30"/>
      <c r="S1654" s="30"/>
    </row>
    <row r="1655" spans="1:19" ht="13" x14ac:dyDescent="0.3">
      <c r="A1655" s="52" t="s">
        <v>1671</v>
      </c>
      <c r="B1655" s="6">
        <v>968.8</v>
      </c>
      <c r="C1655" s="1">
        <f>C1654*2/3+C1657/3</f>
        <v>28.696666666666665</v>
      </c>
      <c r="D1655" s="6">
        <f>D1654*2/3+D1657/3</f>
        <v>35.593333333333334</v>
      </c>
      <c r="E1655" s="6">
        <v>216.57300000000001</v>
      </c>
      <c r="F1655" s="1">
        <f t="shared" si="125"/>
        <v>2008.7916666665415</v>
      </c>
      <c r="G1655" s="17">
        <v>3.81</v>
      </c>
      <c r="H1655" s="1">
        <f>B1655*$E$1867/E1655</f>
        <v>1499.1219690358444</v>
      </c>
      <c r="I1655" s="1">
        <f>C1655*$E$1867/E1655</f>
        <v>44.405247149152167</v>
      </c>
      <c r="J1655" s="26">
        <f t="shared" si="126"/>
        <v>737504.32927621179</v>
      </c>
      <c r="K1655" s="1">
        <f>D1655*$E$1867/E1655</f>
        <v>55.077155193245083</v>
      </c>
      <c r="L1655" s="26">
        <f t="shared" si="124"/>
        <v>27095.620795525021</v>
      </c>
      <c r="M1655" s="10">
        <f t="shared" si="122"/>
        <v>16.387356548789832</v>
      </c>
      <c r="N1655" s="4">
        <f t="shared" si="123"/>
        <v>17.770107910955776</v>
      </c>
      <c r="O1655" s="36">
        <f>1/M1655-(G1655/100-(((E1655/E1535)^(1/10))-1))</f>
        <v>5.1118977736672816E-2</v>
      </c>
      <c r="P1655" s="48">
        <v>0.67</v>
      </c>
      <c r="R1655" s="30"/>
      <c r="S1655" s="30"/>
    </row>
    <row r="1656" spans="1:19" ht="13" x14ac:dyDescent="0.3">
      <c r="A1656" s="52" t="s">
        <v>1672</v>
      </c>
      <c r="B1656" s="6">
        <v>883.04</v>
      </c>
      <c r="C1656" s="1">
        <f>C1654/3+C1657*2/3</f>
        <v>28.543333333333333</v>
      </c>
      <c r="D1656" s="6">
        <f>D1654/3+D1657*2/3</f>
        <v>25.236666666666668</v>
      </c>
      <c r="E1656" s="6">
        <v>212.42500000000001</v>
      </c>
      <c r="F1656" s="1">
        <f t="shared" si="125"/>
        <v>2008.8749999998747</v>
      </c>
      <c r="G1656" s="17">
        <v>3.53</v>
      </c>
      <c r="H1656" s="1">
        <f>B1656*$E$1867/E1656</f>
        <v>1393.0987443097561</v>
      </c>
      <c r="I1656" s="1">
        <f>C1656*$E$1867/E1656</f>
        <v>45.030442363971595</v>
      </c>
      <c r="J1656" s="26">
        <f t="shared" si="126"/>
        <v>687191.49508760788</v>
      </c>
      <c r="K1656" s="1">
        <f>D1656*$E$1867/E1656</f>
        <v>39.813789459024747</v>
      </c>
      <c r="L1656" s="26">
        <f t="shared" si="124"/>
        <v>19639.453136544511</v>
      </c>
      <c r="M1656" s="10">
        <f t="shared" si="122"/>
        <v>15.259659405704582</v>
      </c>
      <c r="N1656" s="4">
        <f t="shared" si="123"/>
        <v>16.575738507639613</v>
      </c>
      <c r="O1656" s="36">
        <f>1/M1656-(G1656/100-(((E1656/E1536)^(1/10))-1))</f>
        <v>5.6442109765604778E-2</v>
      </c>
      <c r="P1656" s="48">
        <v>0.19</v>
      </c>
      <c r="R1656" s="30"/>
      <c r="S1656" s="30"/>
    </row>
    <row r="1657" spans="1:19" ht="13" x14ac:dyDescent="0.3">
      <c r="A1657" s="52" t="s">
        <v>1673</v>
      </c>
      <c r="B1657" s="6">
        <v>877.56</v>
      </c>
      <c r="C1657" s="1">
        <v>28.39</v>
      </c>
      <c r="D1657" s="6">
        <v>14.88</v>
      </c>
      <c r="E1657" s="6">
        <v>210.22800000000001</v>
      </c>
      <c r="F1657" s="1">
        <f t="shared" si="125"/>
        <v>2008.958333333208</v>
      </c>
      <c r="G1657" s="17">
        <v>2.42</v>
      </c>
      <c r="H1657" s="1">
        <f>B1657*$E$1867/E1657</f>
        <v>1398.9217154232545</v>
      </c>
      <c r="I1657" s="1">
        <f>C1657*$E$1867/E1657</f>
        <v>45.256606386875198</v>
      </c>
      <c r="J1657" s="26">
        <f t="shared" si="126"/>
        <v>691924.22431401757</v>
      </c>
      <c r="K1657" s="1">
        <f>D1657*$E$1867/E1657</f>
        <v>23.720264284491126</v>
      </c>
      <c r="L1657" s="26">
        <f t="shared" si="124"/>
        <v>11732.340190747738</v>
      </c>
      <c r="M1657" s="10">
        <f t="shared" si="122"/>
        <v>15.376080747423769</v>
      </c>
      <c r="N1657" s="4">
        <f t="shared" si="123"/>
        <v>16.732842670212055</v>
      </c>
      <c r="O1657" s="36">
        <f>1/M1657-(G1657/100-(((E1657/E1537)^(1/10))-1))</f>
        <v>6.6042129114535067E-2</v>
      </c>
      <c r="P1657" s="48">
        <v>0.03</v>
      </c>
      <c r="R1657" s="30"/>
      <c r="S1657" s="30"/>
    </row>
    <row r="1658" spans="1:19" ht="13" x14ac:dyDescent="0.3">
      <c r="A1658" s="52" t="s">
        <v>1674</v>
      </c>
      <c r="B1658" s="6">
        <v>865.58</v>
      </c>
      <c r="C1658" s="1">
        <f>C1657*2/3+C1660/3</f>
        <v>28.013333333333335</v>
      </c>
      <c r="D1658" s="6">
        <f>D1657*2/3+D1660/3</f>
        <v>12.206666666666667</v>
      </c>
      <c r="E1658" s="6">
        <v>211.143</v>
      </c>
      <c r="F1658" s="1">
        <f t="shared" si="125"/>
        <v>2009.0416666665412</v>
      </c>
      <c r="G1658" s="17">
        <v>2.52</v>
      </c>
      <c r="H1658" s="1">
        <f>B1658*$E$1867/E1658</f>
        <v>1373.8448061029728</v>
      </c>
      <c r="I1658" s="1">
        <f>C1658*$E$1867/E1658</f>
        <v>44.462640659016245</v>
      </c>
      <c r="J1658" s="26">
        <f t="shared" si="126"/>
        <v>681353.51878119016</v>
      </c>
      <c r="K1658" s="1">
        <f>D1658*$E$1867/E1658</f>
        <v>19.374368169123926</v>
      </c>
      <c r="L1658" s="26">
        <f t="shared" si="124"/>
        <v>9608.6500218609417</v>
      </c>
      <c r="M1658" s="10">
        <f t="shared" ref="M1658:M1721" si="127">H1658/AVERAGE(K1538:K1657)</f>
        <v>15.174651936879668</v>
      </c>
      <c r="N1658" s="4">
        <f t="shared" ref="N1658:N1721" si="128">J1658/AVERAGE(L1538:L1657)</f>
        <v>16.545978292697026</v>
      </c>
      <c r="O1658" s="36">
        <f>1/M1658-(G1658/100-(((E1658/E1538)^(1/10))-1))</f>
        <v>6.6100784914300631E-2</v>
      </c>
      <c r="P1658" s="48">
        <v>0.13</v>
      </c>
      <c r="R1658" s="30"/>
      <c r="S1658" s="30"/>
    </row>
    <row r="1659" spans="1:19" ht="13" x14ac:dyDescent="0.3">
      <c r="A1659" s="52" t="s">
        <v>1675</v>
      </c>
      <c r="B1659" s="6">
        <v>805.23</v>
      </c>
      <c r="C1659" s="1">
        <f>C1657/3+C1660*2/3</f>
        <v>27.63666666666667</v>
      </c>
      <c r="D1659" s="6">
        <f>D1657/3+D1660*2/3</f>
        <v>9.5333333333333332</v>
      </c>
      <c r="E1659" s="6">
        <v>212.19300000000001</v>
      </c>
      <c r="F1659" s="1">
        <f t="shared" si="125"/>
        <v>2009.1249999998745</v>
      </c>
      <c r="G1659" s="17">
        <v>2.87</v>
      </c>
      <c r="H1659" s="1">
        <f>B1659*$E$1867/E1659</f>
        <v>1271.7333043856299</v>
      </c>
      <c r="I1659" s="1">
        <f>C1659*$E$1867/E1659</f>
        <v>43.647739679599866</v>
      </c>
      <c r="J1659" s="26">
        <f t="shared" si="126"/>
        <v>632515.58918369014</v>
      </c>
      <c r="K1659" s="1">
        <f>D1659*$E$1867/E1659</f>
        <v>15.056390722911059</v>
      </c>
      <c r="L1659" s="26">
        <f t="shared" si="124"/>
        <v>7488.5212302296814</v>
      </c>
      <c r="M1659" s="10">
        <f t="shared" si="127"/>
        <v>14.122181801918899</v>
      </c>
      <c r="N1659" s="4">
        <f t="shared" si="128"/>
        <v>15.431495098996724</v>
      </c>
      <c r="O1659" s="36">
        <f>1/M1659-(G1659/100-(((E1659/E1539)^(1/10))-1))</f>
        <v>6.7895991981292786E-2</v>
      </c>
      <c r="P1659" s="48">
        <v>0.3</v>
      </c>
      <c r="R1659" s="30"/>
      <c r="S1659" s="30"/>
    </row>
    <row r="1660" spans="1:19" ht="13" x14ac:dyDescent="0.3">
      <c r="A1660" s="52" t="s">
        <v>1676</v>
      </c>
      <c r="B1660" s="6">
        <v>757.13</v>
      </c>
      <c r="C1660" s="1">
        <v>27.26</v>
      </c>
      <c r="D1660" s="6">
        <v>6.86</v>
      </c>
      <c r="E1660" s="6">
        <v>212.709</v>
      </c>
      <c r="F1660" s="1">
        <f>F1659+1/12</f>
        <v>2009.2083333332077</v>
      </c>
      <c r="G1660" s="17">
        <v>2.82</v>
      </c>
      <c r="H1660" s="1">
        <f>B1660*$E$1867/E1660</f>
        <v>1192.86621878952</v>
      </c>
      <c r="I1660" s="1">
        <f>C1660*$E$1867/E1660</f>
        <v>42.948414571080683</v>
      </c>
      <c r="J1660" s="26">
        <f t="shared" si="126"/>
        <v>595069.9503825173</v>
      </c>
      <c r="K1660" s="1">
        <f>D1660*$E$1867/E1660</f>
        <v>10.808001612531674</v>
      </c>
      <c r="L1660" s="26">
        <f t="shared" si="124"/>
        <v>5391.6498614822667</v>
      </c>
      <c r="M1660" s="10">
        <f t="shared" si="127"/>
        <v>13.323667656863929</v>
      </c>
      <c r="N1660" s="4">
        <f t="shared" si="128"/>
        <v>14.592703772466335</v>
      </c>
      <c r="O1660" s="36">
        <f>1/M1660-(G1660/100-(((E1660/E1540)^(1/10))-1))</f>
        <v>7.2577640954996622E-2</v>
      </c>
      <c r="P1660" s="48">
        <v>0.21</v>
      </c>
      <c r="R1660" s="30"/>
      <c r="S1660" s="30"/>
    </row>
    <row r="1661" spans="1:19" ht="13" x14ac:dyDescent="0.3">
      <c r="A1661" s="52" t="s">
        <v>1677</v>
      </c>
      <c r="B1661" s="6">
        <v>848.15</v>
      </c>
      <c r="C1661" s="1">
        <f>C1660*2/3+C1663/3</f>
        <v>26.703333333333333</v>
      </c>
      <c r="D1661" s="6">
        <f>D1660*2/3+D1663/3</f>
        <v>7.0766666666666662</v>
      </c>
      <c r="E1661" s="6">
        <v>213.24</v>
      </c>
      <c r="F1661" s="1">
        <f t="shared" si="125"/>
        <v>2009.291666666541</v>
      </c>
      <c r="G1661" s="17">
        <v>2.93</v>
      </c>
      <c r="H1661" s="1">
        <f>B1661*$E$1867/E1661</f>
        <v>1332.9416656701369</v>
      </c>
      <c r="I1661" s="1">
        <f>C1661*$E$1867/E1661</f>
        <v>41.966616296973676</v>
      </c>
      <c r="J1661" s="26">
        <f t="shared" si="126"/>
        <v>666692.21383148851</v>
      </c>
      <c r="K1661" s="1">
        <f>D1661*$E$1867/E1661</f>
        <v>11.121598601732007</v>
      </c>
      <c r="L1661" s="26">
        <f t="shared" si="124"/>
        <v>5562.646426395685</v>
      </c>
      <c r="M1661" s="10">
        <f t="shared" si="127"/>
        <v>14.981866453039251</v>
      </c>
      <c r="N1661" s="4">
        <f t="shared" si="128"/>
        <v>16.441219972398446</v>
      </c>
      <c r="O1661" s="36">
        <f>1/M1661-(G1661/100-(((E1661/E1541)^(1/10))-1))</f>
        <v>6.2683163948465376E-2</v>
      </c>
      <c r="P1661" s="48">
        <v>0.16</v>
      </c>
      <c r="R1661" s="30"/>
      <c r="S1661" s="30"/>
    </row>
    <row r="1662" spans="1:19" ht="13" x14ac:dyDescent="0.3">
      <c r="A1662" s="52" t="s">
        <v>1678</v>
      </c>
      <c r="B1662" s="6">
        <v>902.41</v>
      </c>
      <c r="C1662" s="1">
        <f>C1660/3+C1663*2/3</f>
        <v>26.146666666666668</v>
      </c>
      <c r="D1662" s="6">
        <f>D1660/3+D1663*2/3</f>
        <v>7.293333333333333</v>
      </c>
      <c r="E1662" s="6">
        <v>213.85599999999999</v>
      </c>
      <c r="F1662" s="1">
        <f t="shared" si="125"/>
        <v>2009.3749999998743</v>
      </c>
      <c r="G1662" s="17">
        <v>3.29</v>
      </c>
      <c r="H1662" s="1">
        <f>B1662*$E$1867/E1662</f>
        <v>1414.1308958013801</v>
      </c>
      <c r="I1662" s="1">
        <f>C1662*$E$1867/E1662</f>
        <v>40.973403614270048</v>
      </c>
      <c r="J1662" s="26">
        <f t="shared" si="126"/>
        <v>709008.10541060928</v>
      </c>
      <c r="K1662" s="1">
        <f>D1662*$E$1867/E1662</f>
        <v>11.42909320602025</v>
      </c>
      <c r="L1662" s="26">
        <f t="shared" si="124"/>
        <v>5730.2472809418232</v>
      </c>
      <c r="M1662" s="10">
        <f t="shared" si="127"/>
        <v>15.996355755263155</v>
      </c>
      <c r="N1662" s="4">
        <f t="shared" si="128"/>
        <v>17.585230774696512</v>
      </c>
      <c r="O1662" s="36">
        <f>1/M1662-(G1662/100-(((E1662/E1542)^(1/10))-1))</f>
        <v>5.5145826881175114E-2</v>
      </c>
      <c r="P1662" s="48">
        <v>0.18</v>
      </c>
      <c r="R1662" s="30"/>
      <c r="S1662" s="30"/>
    </row>
    <row r="1663" spans="1:19" ht="13" x14ac:dyDescent="0.3">
      <c r="A1663" s="52" t="s">
        <v>1679</v>
      </c>
      <c r="B1663" s="6">
        <v>926.12</v>
      </c>
      <c r="C1663" s="1">
        <v>25.59</v>
      </c>
      <c r="D1663" s="6">
        <v>7.51</v>
      </c>
      <c r="E1663" s="6">
        <v>215.69300000000001</v>
      </c>
      <c r="F1663" s="1">
        <f t="shared" si="125"/>
        <v>2009.4583333332075</v>
      </c>
      <c r="G1663" s="17">
        <v>3.72</v>
      </c>
      <c r="H1663" s="1">
        <f>B1663*$E$1867/E1663</f>
        <v>1438.9256792292749</v>
      </c>
      <c r="I1663" s="1">
        <f>C1663*$E$1867/E1663</f>
        <v>39.759543181744426</v>
      </c>
      <c r="J1663" s="26">
        <f t="shared" si="126"/>
        <v>723100.75813466357</v>
      </c>
      <c r="K1663" s="1">
        <f>D1663*$E$1867/E1663</f>
        <v>11.668392703982049</v>
      </c>
      <c r="L1663" s="26">
        <f t="shared" si="124"/>
        <v>5863.696598271632</v>
      </c>
      <c r="M1663" s="10">
        <f t="shared" si="127"/>
        <v>16.384182816215347</v>
      </c>
      <c r="N1663" s="4">
        <f t="shared" si="128"/>
        <v>18.040717081299732</v>
      </c>
      <c r="O1663" s="36">
        <f>1/M1663-(G1663/100-(((E1663/E1543)^(1/10))-1))</f>
        <v>5.0243597361463194E-2</v>
      </c>
      <c r="P1663" s="48">
        <v>0.18</v>
      </c>
      <c r="R1663" s="30"/>
      <c r="S1663" s="30"/>
    </row>
    <row r="1664" spans="1:19" ht="13" x14ac:dyDescent="0.3">
      <c r="A1664" s="52" t="s">
        <v>1680</v>
      </c>
      <c r="B1664" s="6">
        <v>935.82</v>
      </c>
      <c r="C1664" s="1">
        <f>C1663*2/3+C1666/3</f>
        <v>25.026666666666664</v>
      </c>
      <c r="D1664" s="6">
        <f>D1663*2/3+D1666/3</f>
        <v>9.1866666666666674</v>
      </c>
      <c r="E1664" s="6">
        <v>215.351</v>
      </c>
      <c r="F1664" s="1">
        <f t="shared" si="125"/>
        <v>2009.5416666665408</v>
      </c>
      <c r="G1664" s="17">
        <v>3.56</v>
      </c>
      <c r="H1664" s="1">
        <f>B1664*$E$1867/E1664</f>
        <v>1456.3058051970968</v>
      </c>
      <c r="I1664" s="1">
        <f>C1664*$E$1867/E1664</f>
        <v>38.946036579042271</v>
      </c>
      <c r="J1664" s="26">
        <f t="shared" si="126"/>
        <v>733465.71873952053</v>
      </c>
      <c r="K1664" s="1">
        <f>D1664*$E$1867/E1664</f>
        <v>14.296121045796554</v>
      </c>
      <c r="L1664" s="26">
        <f t="shared" si="124"/>
        <v>7200.2148591471259</v>
      </c>
      <c r="M1664" s="10">
        <f t="shared" si="127"/>
        <v>16.694620816995624</v>
      </c>
      <c r="N1664" s="4">
        <f t="shared" si="128"/>
        <v>18.410569541960601</v>
      </c>
      <c r="O1664" s="36">
        <f>1/M1664-(G1664/100-(((E1664/E1544)^(1/10))-1))</f>
        <v>5.0237564816960831E-2</v>
      </c>
      <c r="P1664" s="48">
        <v>0.18</v>
      </c>
      <c r="R1664" s="30"/>
      <c r="S1664" s="30"/>
    </row>
    <row r="1665" spans="1:19" ht="13" x14ac:dyDescent="0.3">
      <c r="A1665" s="52" t="s">
        <v>1681</v>
      </c>
      <c r="B1665" s="6">
        <v>1009.73</v>
      </c>
      <c r="C1665" s="1">
        <f>C1663/3+C1666*2/3</f>
        <v>24.463333333333331</v>
      </c>
      <c r="D1665" s="6">
        <f>D1663/3+D1666*2/3</f>
        <v>10.863333333333333</v>
      </c>
      <c r="E1665" s="6">
        <v>215.834</v>
      </c>
      <c r="F1665" s="1">
        <f t="shared" si="125"/>
        <v>2009.624999999874</v>
      </c>
      <c r="G1665" s="17">
        <v>3.59</v>
      </c>
      <c r="H1665" s="1">
        <f>B1665*$E$1867/E1665</f>
        <v>1567.8068269248588</v>
      </c>
      <c r="I1665" s="1">
        <f>C1665*$E$1867/E1665</f>
        <v>37.984194793992913</v>
      </c>
      <c r="J1665" s="26">
        <f t="shared" si="126"/>
        <v>791217.22404576431</v>
      </c>
      <c r="K1665" s="1">
        <f>D1665*$E$1867/E1665</f>
        <v>16.867487509691092</v>
      </c>
      <c r="L1665" s="26">
        <f t="shared" si="124"/>
        <v>8512.4304951658578</v>
      </c>
      <c r="M1665" s="10">
        <f t="shared" si="127"/>
        <v>18.094069801576087</v>
      </c>
      <c r="N1665" s="4">
        <f t="shared" si="128"/>
        <v>19.979249781377391</v>
      </c>
      <c r="O1665" s="36">
        <f>1/M1665-(G1665/100-(((E1665/E1545)^(1/10))-1))</f>
        <v>4.5288721336082263E-2</v>
      </c>
      <c r="P1665" s="48">
        <v>0.17</v>
      </c>
      <c r="R1665" s="30"/>
      <c r="S1665" s="30"/>
    </row>
    <row r="1666" spans="1:19" ht="13" x14ac:dyDescent="0.3">
      <c r="A1666" s="52" t="s">
        <v>1682</v>
      </c>
      <c r="B1666" s="6">
        <v>1044.55</v>
      </c>
      <c r="C1666" s="1">
        <v>23.9</v>
      </c>
      <c r="D1666" s="6">
        <v>12.54</v>
      </c>
      <c r="E1666" s="6">
        <v>215.96899999999999</v>
      </c>
      <c r="F1666" s="1">
        <f t="shared" si="125"/>
        <v>2009.7083333332073</v>
      </c>
      <c r="G1666" s="17">
        <v>3.4</v>
      </c>
      <c r="H1666" s="1">
        <f>B1666*$E$1867/E1666</f>
        <v>1620.8579929874195</v>
      </c>
      <c r="I1666" s="1">
        <f>C1666*$E$1867/E1666</f>
        <v>37.086310882580371</v>
      </c>
      <c r="J1666" s="26">
        <f t="shared" si="126"/>
        <v>819549.97072758724</v>
      </c>
      <c r="K1666" s="1">
        <f>D1666*$E$1867/E1666</f>
        <v>19.458675249688611</v>
      </c>
      <c r="L1666" s="26">
        <f t="shared" si="124"/>
        <v>9838.8364682628344</v>
      </c>
      <c r="M1666" s="10">
        <f t="shared" si="127"/>
        <v>18.831902264840085</v>
      </c>
      <c r="N1666" s="4">
        <f t="shared" si="128"/>
        <v>20.817180576489978</v>
      </c>
      <c r="O1666" s="36">
        <f>1/M1666-(G1666/100-(((E1666/E1546)^(1/10))-1))</f>
        <v>4.4597619535910009E-2</v>
      </c>
      <c r="P1666" s="48">
        <v>0.12</v>
      </c>
      <c r="R1666" s="30"/>
      <c r="S1666" s="30"/>
    </row>
    <row r="1667" spans="1:19" ht="13" x14ac:dyDescent="0.3">
      <c r="A1667" s="52" t="s">
        <v>1683</v>
      </c>
      <c r="B1667" s="6">
        <v>1067.6600000000001</v>
      </c>
      <c r="C1667" s="1">
        <f>C1666*2/3+C1669/3</f>
        <v>23.403333333333332</v>
      </c>
      <c r="D1667" s="6">
        <f>D1666*2/3+D1669/3</f>
        <v>25.349999999999998</v>
      </c>
      <c r="E1667" s="6">
        <v>216.17699999999999</v>
      </c>
      <c r="F1667" s="1">
        <f t="shared" si="125"/>
        <v>2009.7916666665406</v>
      </c>
      <c r="G1667" s="17">
        <v>3.39</v>
      </c>
      <c r="H1667" s="1">
        <f>B1667*$E$1867/E1667</f>
        <v>1655.1243861049049</v>
      </c>
      <c r="I1667" s="1">
        <f>C1667*$E$1867/E1667</f>
        <v>36.280677103330447</v>
      </c>
      <c r="J1667" s="26">
        <f t="shared" si="126"/>
        <v>838404.70112146693</v>
      </c>
      <c r="K1667" s="1">
        <f>D1667*$E$1867/E1667</f>
        <v>39.298468789464188</v>
      </c>
      <c r="L1667" s="26">
        <f t="shared" ref="L1667:L1730" si="129">K1667*(J1667/H1667)</f>
        <v>19906.673635267016</v>
      </c>
      <c r="M1667" s="10">
        <f t="shared" si="127"/>
        <v>19.358008443486842</v>
      </c>
      <c r="N1667" s="4">
        <f t="shared" si="128"/>
        <v>21.420018718305094</v>
      </c>
      <c r="O1667" s="36">
        <f>1/M1667-(G1667/100-(((E1667/E1547)^(1/10))-1))</f>
        <v>4.3170097780186531E-2</v>
      </c>
      <c r="P1667" s="48">
        <v>7.0000000000000007E-2</v>
      </c>
      <c r="R1667" s="30"/>
      <c r="S1667" s="30"/>
    </row>
    <row r="1668" spans="1:19" ht="13" x14ac:dyDescent="0.3">
      <c r="A1668" s="52" t="s">
        <v>1684</v>
      </c>
      <c r="B1668" s="6">
        <v>1088.07</v>
      </c>
      <c r="C1668" s="1">
        <f>C1666/3+C1669*2/3</f>
        <v>22.906666666666666</v>
      </c>
      <c r="D1668" s="6">
        <f>D1666/3+D1669*2/3</f>
        <v>38.159999999999997</v>
      </c>
      <c r="E1668" s="6">
        <v>216.33</v>
      </c>
      <c r="F1668" s="1">
        <f t="shared" ref="F1668:F1731" si="130">F1667+1/12</f>
        <v>2009.8749999998738</v>
      </c>
      <c r="G1668" s="17">
        <v>3.4</v>
      </c>
      <c r="H1668" s="1">
        <f>B1668*$E$1867/E1668</f>
        <v>1685.5717226806264</v>
      </c>
      <c r="I1668" s="1">
        <f>C1668*$E$1867/E1668</f>
        <v>35.485611765974816</v>
      </c>
      <c r="J1668" s="26">
        <f t="shared" ref="J1668:J1731" si="131">J1667*((H1668+(I1668/12))/H1667)</f>
        <v>855325.76498071279</v>
      </c>
      <c r="K1668" s="1">
        <f>D1668*$E$1867/E1668</f>
        <v>59.115146026903332</v>
      </c>
      <c r="L1668" s="26">
        <f t="shared" si="129"/>
        <v>29997.363397266719</v>
      </c>
      <c r="M1668" s="10">
        <f t="shared" si="127"/>
        <v>19.812761079966055</v>
      </c>
      <c r="N1668" s="4">
        <f t="shared" si="128"/>
        <v>21.938367056892982</v>
      </c>
      <c r="O1668" s="36">
        <f>1/M1668-(G1668/100-(((E1668/E1548)^(1/10))-1))</f>
        <v>4.1896014709401859E-2</v>
      </c>
      <c r="P1668" s="48">
        <v>0.05</v>
      </c>
      <c r="R1668" s="30"/>
      <c r="S1668" s="30"/>
    </row>
    <row r="1669" spans="1:19" ht="13" x14ac:dyDescent="0.3">
      <c r="A1669" s="52" t="s">
        <v>1685</v>
      </c>
      <c r="B1669" s="6">
        <v>1110.3800000000001</v>
      </c>
      <c r="C1669" s="1">
        <v>22.41</v>
      </c>
      <c r="D1669" s="6">
        <v>50.97</v>
      </c>
      <c r="E1669" s="6">
        <v>215.94900000000001</v>
      </c>
      <c r="F1669" s="1">
        <f t="shared" si="130"/>
        <v>2009.9583333332071</v>
      </c>
      <c r="G1669" s="17">
        <v>3.59</v>
      </c>
      <c r="H1669" s="1">
        <f>B1669*$E$1867/E1669</f>
        <v>1723.1678548870336</v>
      </c>
      <c r="I1669" s="1">
        <f>C1669*$E$1867/E1669</f>
        <v>34.777456031285162</v>
      </c>
      <c r="J1669" s="26">
        <f t="shared" si="131"/>
        <v>875874.15098077501</v>
      </c>
      <c r="K1669" s="1">
        <f>D1669*$E$1867/E1669</f>
        <v>79.098926100607088</v>
      </c>
      <c r="L1669" s="26">
        <f t="shared" si="129"/>
        <v>40205.430100947509</v>
      </c>
      <c r="M1669" s="10">
        <f t="shared" si="127"/>
        <v>20.322376500216546</v>
      </c>
      <c r="N1669" s="4">
        <f t="shared" si="128"/>
        <v>22.511278992034395</v>
      </c>
      <c r="O1669" s="36">
        <f>1/M1669-(G1669/100-(((E1669/E1549)^(1/10))-1))</f>
        <v>3.8549596504990999E-2</v>
      </c>
      <c r="P1669" s="48">
        <v>0.05</v>
      </c>
      <c r="R1669" s="30"/>
      <c r="S1669" s="30"/>
    </row>
    <row r="1670" spans="1:19" ht="13" x14ac:dyDescent="0.3">
      <c r="A1670" s="52" t="s">
        <v>1686</v>
      </c>
      <c r="B1670" s="6">
        <v>1123.58</v>
      </c>
      <c r="C1670" s="1">
        <f>C1669*2/3+C1672/3</f>
        <v>22.24</v>
      </c>
      <c r="D1670" s="6">
        <f>D1669*2/3+D1672/3</f>
        <v>54.289999999999992</v>
      </c>
      <c r="E1670" s="6">
        <v>216.68700000000001</v>
      </c>
      <c r="F1670" s="1">
        <f t="shared" si="130"/>
        <v>2010.0416666665403</v>
      </c>
      <c r="G1670" s="17">
        <v>3.73</v>
      </c>
      <c r="H1670" s="1">
        <f>B1670*$E$1867/E1670</f>
        <v>1737.7139763576031</v>
      </c>
      <c r="I1670" s="1">
        <f>C1670*$E$1867/E1670</f>
        <v>34.396090028474241</v>
      </c>
      <c r="J1670" s="26">
        <f t="shared" si="131"/>
        <v>884724.78360820049</v>
      </c>
      <c r="K1670" s="1">
        <f>D1670*$E$1867/E1670</f>
        <v>83.964196386954427</v>
      </c>
      <c r="L1670" s="26">
        <f t="shared" si="129"/>
        <v>42748.810500444291</v>
      </c>
      <c r="M1670" s="10">
        <f t="shared" si="127"/>
        <v>20.527859801454422</v>
      </c>
      <c r="N1670" s="4">
        <f t="shared" si="128"/>
        <v>22.741430277197463</v>
      </c>
      <c r="O1670" s="36">
        <f>1/M1670-(G1670/100-(((E1670/E1550)^(1/10))-1))</f>
        <v>3.6702678750251252E-2</v>
      </c>
      <c r="P1670" s="48">
        <v>0.06</v>
      </c>
      <c r="R1670" s="30"/>
      <c r="S1670" s="30"/>
    </row>
    <row r="1671" spans="1:19" ht="13" x14ac:dyDescent="0.3">
      <c r="A1671" s="52" t="s">
        <v>1687</v>
      </c>
      <c r="B1671" s="6">
        <v>1089.1600000000001</v>
      </c>
      <c r="C1671" s="1">
        <f>C1669/3+C1672*2/3</f>
        <v>22.07</v>
      </c>
      <c r="D1671" s="6">
        <f>D1669/3+D1672*2/3</f>
        <v>57.61</v>
      </c>
      <c r="E1671" s="6">
        <v>216.74100000000001</v>
      </c>
      <c r="F1671" s="1">
        <f t="shared" si="130"/>
        <v>2010.1249999998736</v>
      </c>
      <c r="G1671" s="17">
        <v>3.69</v>
      </c>
      <c r="H1671" s="1">
        <f>B1671*$E$1867/E1671</f>
        <v>1684.0607789481455</v>
      </c>
      <c r="I1671" s="1">
        <f>C1671*$E$1867/E1671</f>
        <v>34.12466615684157</v>
      </c>
      <c r="J1671" s="26">
        <f t="shared" si="131"/>
        <v>858856.08335634135</v>
      </c>
      <c r="K1671" s="1">
        <f>D1671*$E$1867/E1671</f>
        <v>89.076665939992878</v>
      </c>
      <c r="L1671" s="26">
        <f t="shared" si="129"/>
        <v>45428.310773585894</v>
      </c>
      <c r="M1671" s="10">
        <f t="shared" si="127"/>
        <v>19.92053930660045</v>
      </c>
      <c r="N1671" s="4">
        <f t="shared" si="128"/>
        <v>22.070377804640184</v>
      </c>
      <c r="O1671" s="36">
        <f>1/M1671-(G1671/100-(((E1671/E1551)^(1/10))-1))</f>
        <v>3.8007944073646049E-2</v>
      </c>
      <c r="P1671" s="48">
        <v>0.11</v>
      </c>
      <c r="R1671" s="30"/>
      <c r="S1671" s="30"/>
    </row>
    <row r="1672" spans="1:19" ht="13" x14ac:dyDescent="0.3">
      <c r="A1672" s="52" t="s">
        <v>1688</v>
      </c>
      <c r="B1672" s="6">
        <v>1152.05</v>
      </c>
      <c r="C1672" s="1">
        <v>21.9</v>
      </c>
      <c r="D1672" s="6">
        <v>60.93</v>
      </c>
      <c r="E1672" s="6">
        <v>217.631</v>
      </c>
      <c r="F1672" s="1">
        <f t="shared" si="130"/>
        <v>2010.2083333332068</v>
      </c>
      <c r="G1672" s="17">
        <v>3.73</v>
      </c>
      <c r="H1672" s="1">
        <f>B1672*$E$1867/E1672</f>
        <v>1774.0167727139055</v>
      </c>
      <c r="I1672" s="1">
        <f>C1672*$E$1867/E1672</f>
        <v>33.723334336560505</v>
      </c>
      <c r="J1672" s="26">
        <f t="shared" si="131"/>
        <v>906166.06035552011</v>
      </c>
      <c r="K1672" s="1">
        <f>D1672*$E$1867/E1672</f>
        <v>93.824783613088215</v>
      </c>
      <c r="L1672" s="26">
        <f t="shared" si="129"/>
        <v>47925.609181426022</v>
      </c>
      <c r="M1672" s="10">
        <f t="shared" si="127"/>
        <v>21.004601209715368</v>
      </c>
      <c r="N1672" s="4">
        <f t="shared" si="128"/>
        <v>23.269199472972971</v>
      </c>
      <c r="O1672" s="36">
        <f>1/M1672-(G1672/100-(((E1672/E1552)^(1/10))-1))</f>
        <v>3.4595708150527073E-2</v>
      </c>
      <c r="P1672" s="48">
        <v>0.15</v>
      </c>
      <c r="R1672" s="30"/>
      <c r="S1672" s="30"/>
    </row>
    <row r="1673" spans="1:19" ht="13" x14ac:dyDescent="0.3">
      <c r="A1673" s="52" t="s">
        <v>1689</v>
      </c>
      <c r="B1673" s="6">
        <v>1197.32</v>
      </c>
      <c r="C1673" s="1">
        <f>C1672*2/3+C1675/3</f>
        <v>21.946666666666665</v>
      </c>
      <c r="D1673" s="6">
        <f>D1672*2/3+D1675/3</f>
        <v>62.986666666666665</v>
      </c>
      <c r="E1673" s="6">
        <v>218.00899999999999</v>
      </c>
      <c r="F1673" s="1">
        <f t="shared" si="130"/>
        <v>2010.2916666665401</v>
      </c>
      <c r="G1673" s="17">
        <v>3.85</v>
      </c>
      <c r="H1673" s="1">
        <f>B1673*$E$1867/E1673</f>
        <v>1840.5302731997303</v>
      </c>
      <c r="I1673" s="1">
        <f>C1673*$E$1867/E1673</f>
        <v>33.736598733691423</v>
      </c>
      <c r="J1673" s="26">
        <f t="shared" si="131"/>
        <v>941577.14424470149</v>
      </c>
      <c r="K1673" s="1">
        <f>D1673*$E$1867/E1673</f>
        <v>96.82362844347405</v>
      </c>
      <c r="L1673" s="26">
        <f t="shared" si="129"/>
        <v>49532.961719083396</v>
      </c>
      <c r="M1673" s="10">
        <f t="shared" si="127"/>
        <v>21.80484559962516</v>
      </c>
      <c r="N1673" s="4">
        <f t="shared" si="128"/>
        <v>24.150482266532851</v>
      </c>
      <c r="O1673" s="36">
        <f>1/M1673-(G1673/100-(((E1673/E1553)^(1/10))-1))</f>
        <v>3.1766404576117527E-2</v>
      </c>
      <c r="P1673" s="48">
        <v>0.16</v>
      </c>
      <c r="R1673" s="30"/>
      <c r="S1673" s="30"/>
    </row>
    <row r="1674" spans="1:19" ht="13" x14ac:dyDescent="0.3">
      <c r="A1674" s="52" t="s">
        <v>1690</v>
      </c>
      <c r="B1674" s="6">
        <v>1125.06</v>
      </c>
      <c r="C1674" s="1">
        <f>C1672/3+C1675*2/3</f>
        <v>21.993333333333332</v>
      </c>
      <c r="D1674" s="6">
        <f>D1672/3+D1675*2/3</f>
        <v>65.043333333333322</v>
      </c>
      <c r="E1674" s="6">
        <v>218.178</v>
      </c>
      <c r="F1674" s="1">
        <f t="shared" si="130"/>
        <v>2010.3749999998734</v>
      </c>
      <c r="G1674" s="17">
        <v>3.42</v>
      </c>
      <c r="H1674" s="1">
        <f>B1674*$E$1867/E1674</f>
        <v>1728.1119717157549</v>
      </c>
      <c r="I1674" s="1">
        <f>C1674*$E$1867/E1674</f>
        <v>33.78214729104981</v>
      </c>
      <c r="J1674" s="26">
        <f t="shared" si="131"/>
        <v>885506.45818911132</v>
      </c>
      <c r="K1674" s="1">
        <f>D1674*$E$1867/E1674</f>
        <v>99.907705378941344</v>
      </c>
      <c r="L1674" s="26">
        <f t="shared" si="129"/>
        <v>51193.97341369684</v>
      </c>
      <c r="M1674" s="10">
        <f t="shared" si="127"/>
        <v>20.480068638423411</v>
      </c>
      <c r="N1674" s="4">
        <f t="shared" si="128"/>
        <v>22.679628014583443</v>
      </c>
      <c r="O1674" s="36">
        <f>1/M1674-(G1674/100-(((E1674/E1554)^(1/10))-1))</f>
        <v>3.8992847915187659E-2</v>
      </c>
      <c r="P1674" s="48">
        <v>0.16</v>
      </c>
      <c r="R1674" s="30"/>
      <c r="S1674" s="30"/>
    </row>
    <row r="1675" spans="1:19" ht="13" x14ac:dyDescent="0.3">
      <c r="A1675" s="52" t="s">
        <v>1691</v>
      </c>
      <c r="B1675" s="6">
        <v>1083.3599999999999</v>
      </c>
      <c r="C1675" s="1">
        <v>22.04</v>
      </c>
      <c r="D1675" s="6">
        <v>67.099999999999994</v>
      </c>
      <c r="E1675" s="6">
        <v>217.965</v>
      </c>
      <c r="F1675" s="1">
        <f t="shared" si="130"/>
        <v>2010.4583333332066</v>
      </c>
      <c r="G1675" s="17">
        <v>3.2</v>
      </c>
      <c r="H1675" s="1">
        <f>B1675*$E$1867/E1675</f>
        <v>1665.6861920033032</v>
      </c>
      <c r="I1675" s="1">
        <f>C1675*$E$1867/E1675</f>
        <v>33.886910788429333</v>
      </c>
      <c r="J1675" s="26">
        <f t="shared" si="131"/>
        <v>854965.70498903724</v>
      </c>
      <c r="K1675" s="1">
        <f>D1675*$E$1867/E1675</f>
        <v>103.16750063083521</v>
      </c>
      <c r="L1675" s="26">
        <f t="shared" si="129"/>
        <v>52953.956953149827</v>
      </c>
      <c r="M1675" s="10">
        <f t="shared" si="127"/>
        <v>19.742039853739463</v>
      </c>
      <c r="N1675" s="4">
        <f t="shared" si="128"/>
        <v>21.859418086479792</v>
      </c>
      <c r="O1675" s="36">
        <f>1/M1675-(G1675/100-(((E1675/E1555)^(1/10))-1))</f>
        <v>4.2382194886901606E-2</v>
      </c>
      <c r="P1675" s="48">
        <v>0.12</v>
      </c>
      <c r="R1675" s="30"/>
      <c r="S1675" s="30"/>
    </row>
    <row r="1676" spans="1:19" ht="13" x14ac:dyDescent="0.3">
      <c r="A1676" s="52" t="s">
        <v>1692</v>
      </c>
      <c r="B1676" s="6">
        <v>1079.8</v>
      </c>
      <c r="C1676" s="1">
        <f>C1675*2/3+C1678/3</f>
        <v>22.143333333333334</v>
      </c>
      <c r="D1676" s="6">
        <f>D1675*2/3+D1678/3</f>
        <v>68.686666666666667</v>
      </c>
      <c r="E1676" s="6">
        <v>218.011</v>
      </c>
      <c r="F1676" s="1">
        <f t="shared" si="130"/>
        <v>2010.5416666665399</v>
      </c>
      <c r="G1676" s="17">
        <v>3.01</v>
      </c>
      <c r="H1676" s="1">
        <f>B1676*$E$1867/E1676</f>
        <v>1659.8623232313964</v>
      </c>
      <c r="I1676" s="1">
        <f>C1676*$E$1867/E1676</f>
        <v>34.038604103309773</v>
      </c>
      <c r="J1676" s="26">
        <f t="shared" si="131"/>
        <v>853432.37006691156</v>
      </c>
      <c r="K1676" s="1">
        <f>D1676*$E$1867/E1676</f>
        <v>105.58474727574908</v>
      </c>
      <c r="L1676" s="26">
        <f t="shared" si="129"/>
        <v>54287.298319438116</v>
      </c>
      <c r="M1676" s="10">
        <f t="shared" si="127"/>
        <v>19.668660470717711</v>
      </c>
      <c r="N1676" s="4">
        <f t="shared" si="128"/>
        <v>21.774656015068217</v>
      </c>
      <c r="O1676" s="36">
        <f>1/M1676-(G1676/100-(((E1676/E1556)^(1/10))-1))</f>
        <v>4.4255547690110739E-2</v>
      </c>
      <c r="P1676" s="48">
        <v>0.16</v>
      </c>
      <c r="R1676" s="30"/>
      <c r="S1676" s="30"/>
    </row>
    <row r="1677" spans="1:19" ht="13" x14ac:dyDescent="0.3">
      <c r="A1677" s="52" t="s">
        <v>1693</v>
      </c>
      <c r="B1677" s="6">
        <v>1087.28</v>
      </c>
      <c r="C1677" s="1">
        <f>C1675/3+C1678*2/3</f>
        <v>22.246666666666666</v>
      </c>
      <c r="D1677" s="6">
        <f>D1675/3+D1678*2/3</f>
        <v>70.273333333333326</v>
      </c>
      <c r="E1677" s="6">
        <v>218.31200000000001</v>
      </c>
      <c r="F1677" s="1">
        <f t="shared" si="130"/>
        <v>2010.6249999998731</v>
      </c>
      <c r="G1677" s="17">
        <v>2.7</v>
      </c>
      <c r="H1677" s="1">
        <f>B1677*$E$1867/E1677</f>
        <v>1669.0561298508555</v>
      </c>
      <c r="I1677" s="1">
        <f>C1677*$E$1867/E1677</f>
        <v>34.15029741073937</v>
      </c>
      <c r="J1677" s="26">
        <f t="shared" si="131"/>
        <v>859622.66637493507</v>
      </c>
      <c r="K1677" s="1">
        <f>D1677*$E$1867/E1677</f>
        <v>107.87482319646497</v>
      </c>
      <c r="L1677" s="26">
        <f t="shared" si="129"/>
        <v>55559.331703935131</v>
      </c>
      <c r="M1677" s="10">
        <f t="shared" si="127"/>
        <v>19.770299174358588</v>
      </c>
      <c r="N1677" s="4">
        <f t="shared" si="128"/>
        <v>21.882717641224708</v>
      </c>
      <c r="O1677" s="36">
        <f>1/M1677-(G1677/100-(((E1677/E1557)^(1/10))-1))</f>
        <v>4.7235393545863216E-2</v>
      </c>
      <c r="P1677" s="48">
        <v>0.16</v>
      </c>
      <c r="R1677" s="30"/>
      <c r="S1677" s="30"/>
    </row>
    <row r="1678" spans="1:19" ht="13" x14ac:dyDescent="0.3">
      <c r="A1678" s="52" t="s">
        <v>1694</v>
      </c>
      <c r="B1678" s="6">
        <v>1122.08</v>
      </c>
      <c r="C1678" s="1">
        <v>22.35</v>
      </c>
      <c r="D1678" s="6">
        <v>71.86</v>
      </c>
      <c r="E1678" s="6">
        <v>218.43899999999999</v>
      </c>
      <c r="F1678" s="1">
        <f t="shared" si="130"/>
        <v>2010.7083333332064</v>
      </c>
      <c r="G1678" s="17">
        <v>2.65</v>
      </c>
      <c r="H1678" s="1">
        <f>B1678*$E$1867/E1678</f>
        <v>1721.475288387147</v>
      </c>
      <c r="I1678" s="1">
        <f>C1678*$E$1867/E1678</f>
        <v>34.288974667985116</v>
      </c>
      <c r="J1678" s="26">
        <f t="shared" si="131"/>
        <v>888092.04754165665</v>
      </c>
      <c r="K1678" s="1">
        <f>D1678*$E$1867/E1678</f>
        <v>110.24634092355303</v>
      </c>
      <c r="L1678" s="26">
        <f t="shared" si="129"/>
        <v>56874.995130778072</v>
      </c>
      <c r="M1678" s="10">
        <f t="shared" si="127"/>
        <v>20.381395233204039</v>
      </c>
      <c r="N1678" s="4">
        <f t="shared" si="128"/>
        <v>22.552614727121682</v>
      </c>
      <c r="O1678" s="36">
        <f>1/M1678-(G1678/100-(((E1678/E1558)^(1/10))-1))</f>
        <v>4.5746695534279846E-2</v>
      </c>
      <c r="P1678" s="48">
        <v>0.15</v>
      </c>
      <c r="R1678" s="30"/>
      <c r="S1678" s="30"/>
    </row>
    <row r="1679" spans="1:19" ht="13" x14ac:dyDescent="0.3">
      <c r="A1679" s="52" t="s">
        <v>1695</v>
      </c>
      <c r="B1679" s="6">
        <v>1171.58</v>
      </c>
      <c r="C1679" s="1">
        <f>C1678*2/3+C1681/3</f>
        <v>22.476666666666667</v>
      </c>
      <c r="D1679" s="6">
        <f>D1678*2/3+D1681/3</f>
        <v>73.69</v>
      </c>
      <c r="E1679" s="6">
        <v>218.71100000000001</v>
      </c>
      <c r="F1679" s="1">
        <f t="shared" si="130"/>
        <v>2010.7916666665396</v>
      </c>
      <c r="G1679" s="17">
        <v>2.54</v>
      </c>
      <c r="H1679" s="1">
        <f>B1679*$E$1867/E1679</f>
        <v>1795.1819542455567</v>
      </c>
      <c r="I1679" s="1">
        <f>C1679*$E$1867/E1679</f>
        <v>34.44041925569968</v>
      </c>
      <c r="J1679" s="26">
        <f t="shared" si="131"/>
        <v>927597.20887799049</v>
      </c>
      <c r="K1679" s="1">
        <f>D1679*$E$1867/E1679</f>
        <v>112.91329504460222</v>
      </c>
      <c r="L1679" s="26">
        <f t="shared" si="129"/>
        <v>58343.978492479488</v>
      </c>
      <c r="M1679" s="10">
        <f t="shared" si="127"/>
        <v>21.240127651759426</v>
      </c>
      <c r="N1679" s="4">
        <f t="shared" si="128"/>
        <v>23.493816810047175</v>
      </c>
      <c r="O1679" s="36">
        <f>1/M1679-(G1679/100-(((E1679/E1559)^(1/10))-1))</f>
        <v>4.4813802887339063E-2</v>
      </c>
      <c r="P1679" s="48">
        <v>0.13</v>
      </c>
      <c r="R1679" s="30"/>
      <c r="S1679" s="30"/>
    </row>
    <row r="1680" spans="1:19" ht="13" x14ac:dyDescent="0.3">
      <c r="A1680" s="52" t="s">
        <v>1696</v>
      </c>
      <c r="B1680" s="6">
        <v>1198.8900000000001</v>
      </c>
      <c r="C1680" s="1">
        <f>C1678/3+C1681*2/3</f>
        <v>22.603333333333335</v>
      </c>
      <c r="D1680" s="6">
        <f>D1678/3+D1681*2/3</f>
        <v>75.52</v>
      </c>
      <c r="E1680" s="6">
        <v>218.803</v>
      </c>
      <c r="F1680" s="1">
        <f t="shared" si="130"/>
        <v>2010.8749999998729</v>
      </c>
      <c r="G1680" s="17">
        <v>2.76</v>
      </c>
      <c r="H1680" s="1">
        <f>B1680*$E$1867/E1680</f>
        <v>1836.2559515751614</v>
      </c>
      <c r="I1680" s="1">
        <f>C1680*$E$1867/E1680</f>
        <v>34.619944581046269</v>
      </c>
      <c r="J1680" s="26">
        <f t="shared" si="131"/>
        <v>950311.47405189637</v>
      </c>
      <c r="K1680" s="1">
        <f>D1680*$E$1867/E1680</f>
        <v>115.66870143462384</v>
      </c>
      <c r="L1680" s="26">
        <f t="shared" si="129"/>
        <v>59861.640784725219</v>
      </c>
      <c r="M1680" s="10">
        <f t="shared" si="127"/>
        <v>21.700723827760619</v>
      </c>
      <c r="N1680" s="4">
        <f t="shared" si="128"/>
        <v>23.993185849903494</v>
      </c>
      <c r="O1680" s="36">
        <f>1/M1680-(G1680/100-(((E1680/E1560)^(1/10))-1))</f>
        <v>4.1598763705560919E-2</v>
      </c>
      <c r="P1680" s="48">
        <v>0.14000000000000001</v>
      </c>
      <c r="R1680" s="30"/>
      <c r="S1680" s="30"/>
    </row>
    <row r="1681" spans="1:19" ht="13" x14ac:dyDescent="0.3">
      <c r="A1681" s="52" t="s">
        <v>1697</v>
      </c>
      <c r="B1681" s="6">
        <v>1241.53</v>
      </c>
      <c r="C1681" s="1">
        <v>22.73</v>
      </c>
      <c r="D1681" s="6">
        <v>77.349999999999994</v>
      </c>
      <c r="E1681" s="6">
        <v>219.179</v>
      </c>
      <c r="F1681" s="1">
        <f t="shared" si="130"/>
        <v>2010.9583333332062</v>
      </c>
      <c r="G1681" s="17">
        <v>3.29</v>
      </c>
      <c r="H1681" s="1">
        <f>B1681*$E$1867/E1681</f>
        <v>1898.3025364314099</v>
      </c>
      <c r="I1681" s="1">
        <f>C1681*$E$1867/E1681</f>
        <v>34.754227971201622</v>
      </c>
      <c r="J1681" s="26">
        <f t="shared" si="131"/>
        <v>983921.09145268658</v>
      </c>
      <c r="K1681" s="1">
        <f>D1681*$E$1867/E1681</f>
        <v>118.26834727551453</v>
      </c>
      <c r="L1681" s="26">
        <f t="shared" si="129"/>
        <v>61300.408708501054</v>
      </c>
      <c r="M1681" s="10">
        <f t="shared" si="127"/>
        <v>22.396379773044213</v>
      </c>
      <c r="N1681" s="4">
        <f t="shared" si="128"/>
        <v>24.75055377797062</v>
      </c>
      <c r="O1681" s="36">
        <f>1/M1681-(G1681/100-(((E1681/E1561)^(1/10))-1))</f>
        <v>3.5101900448263765E-2</v>
      </c>
      <c r="P1681" s="48">
        <v>0.14000000000000001</v>
      </c>
      <c r="R1681" s="30"/>
      <c r="S1681" s="30"/>
    </row>
    <row r="1682" spans="1:19" ht="13" x14ac:dyDescent="0.3">
      <c r="A1682" s="52" t="s">
        <v>1698</v>
      </c>
      <c r="B1682" s="6">
        <v>1282.6199999999999</v>
      </c>
      <c r="C1682" s="1">
        <f>C1681*2/3+C1684/3</f>
        <v>22.963333333333335</v>
      </c>
      <c r="D1682" s="6">
        <f>D1681*2/3+D1684/3</f>
        <v>78.67</v>
      </c>
      <c r="E1682" s="6">
        <v>220.22300000000001</v>
      </c>
      <c r="F1682" s="1">
        <f t="shared" si="130"/>
        <v>2011.0416666665394</v>
      </c>
      <c r="G1682" s="17">
        <v>3.39</v>
      </c>
      <c r="H1682" s="1">
        <f>B1682*$E$1867/E1682</f>
        <v>1951.8322253125239</v>
      </c>
      <c r="I1682" s="1">
        <f>C1682*$E$1867/E1682</f>
        <v>34.944546319715322</v>
      </c>
      <c r="J1682" s="26">
        <f t="shared" si="131"/>
        <v>1013175.760746002</v>
      </c>
      <c r="K1682" s="1">
        <f>D1682*$E$1867/E1682</f>
        <v>119.71639391662087</v>
      </c>
      <c r="L1682" s="26">
        <f t="shared" si="129"/>
        <v>62143.532065528358</v>
      </c>
      <c r="M1682" s="10">
        <f t="shared" si="127"/>
        <v>22.97829943055498</v>
      </c>
      <c r="N1682" s="4">
        <f t="shared" si="128"/>
        <v>25.38055144371663</v>
      </c>
      <c r="O1682" s="36">
        <f>1/M1682-(G1682/100-(((E1682/E1562)^(1/10))-1))</f>
        <v>3.2812539448880601E-2</v>
      </c>
      <c r="P1682" s="48">
        <v>0.15</v>
      </c>
      <c r="R1682" s="30"/>
      <c r="S1682" s="30"/>
    </row>
    <row r="1683" spans="1:19" ht="13" x14ac:dyDescent="0.3">
      <c r="A1683" s="52" t="s">
        <v>1699</v>
      </c>
      <c r="B1683" s="6">
        <v>1321.12</v>
      </c>
      <c r="C1683" s="1">
        <f>C1681/3+C1684*2/3</f>
        <v>23.196666666666665</v>
      </c>
      <c r="D1683" s="6">
        <f>D1681/3+D1684*2/3</f>
        <v>79.990000000000009</v>
      </c>
      <c r="E1683" s="6">
        <v>221.309</v>
      </c>
      <c r="F1683" s="1">
        <f t="shared" si="130"/>
        <v>2011.1249999998727</v>
      </c>
      <c r="G1683" s="17">
        <v>3.58</v>
      </c>
      <c r="H1683" s="1">
        <f>B1683*$E$1867/E1683</f>
        <v>2000.5542941317342</v>
      </c>
      <c r="I1683" s="1">
        <f>C1683*$E$1867/E1683</f>
        <v>35.126401166845149</v>
      </c>
      <c r="J1683" s="26">
        <f t="shared" si="131"/>
        <v>1039986.3578084711</v>
      </c>
      <c r="K1683" s="1">
        <f>D1683*$E$1867/E1683</f>
        <v>121.1277839920654</v>
      </c>
      <c r="L1683" s="26">
        <f t="shared" si="129"/>
        <v>62968.170008098903</v>
      </c>
      <c r="M1683" s="10">
        <f t="shared" si="127"/>
        <v>23.489828703298528</v>
      </c>
      <c r="N1683" s="4">
        <f t="shared" si="128"/>
        <v>25.931891523572457</v>
      </c>
      <c r="O1683" s="36">
        <f>1/M1683-(G1683/100-(((E1683/E1563)^(1/10))-1))</f>
        <v>3.00599455536531E-2</v>
      </c>
      <c r="P1683" s="48">
        <v>0.13</v>
      </c>
      <c r="R1683" s="30"/>
      <c r="S1683" s="30"/>
    </row>
    <row r="1684" spans="1:19" ht="13" x14ac:dyDescent="0.3">
      <c r="A1684" s="52" t="s">
        <v>1700</v>
      </c>
      <c r="B1684" s="6">
        <v>1304.49</v>
      </c>
      <c r="C1684" s="1">
        <v>23.43</v>
      </c>
      <c r="D1684" s="6">
        <v>81.31</v>
      </c>
      <c r="E1684" s="6">
        <v>223.46700000000001</v>
      </c>
      <c r="F1684" s="1">
        <f t="shared" si="130"/>
        <v>2011.2083333332059</v>
      </c>
      <c r="G1684" s="17">
        <v>3.41</v>
      </c>
      <c r="H1684" s="1">
        <f>B1684*$E$1867/E1684</f>
        <v>1956.2957276577749</v>
      </c>
      <c r="I1684" s="1">
        <f>C1684*$E$1867/E1684</f>
        <v>35.137110210903622</v>
      </c>
      <c r="J1684" s="26">
        <f t="shared" si="131"/>
        <v>1018500.7479440046</v>
      </c>
      <c r="K1684" s="1">
        <f>D1684*$E$1867/E1684</f>
        <v>121.93761977159939</v>
      </c>
      <c r="L1684" s="26">
        <f t="shared" si="129"/>
        <v>63484.040364684297</v>
      </c>
      <c r="M1684" s="10">
        <f t="shared" si="127"/>
        <v>22.899336430143645</v>
      </c>
      <c r="N1684" s="4">
        <f t="shared" si="128"/>
        <v>25.267990036105854</v>
      </c>
      <c r="O1684" s="36">
        <f>1/M1684-(G1684/100-(((E1684/E1564)^(1/10))-1))</f>
        <v>3.361841514661041E-2</v>
      </c>
      <c r="P1684" s="48">
        <v>0.1</v>
      </c>
      <c r="R1684" s="30"/>
      <c r="S1684" s="30"/>
    </row>
    <row r="1685" spans="1:19" ht="13" x14ac:dyDescent="0.3">
      <c r="A1685" s="52" t="s">
        <v>1701</v>
      </c>
      <c r="B1685" s="6">
        <v>1331.51</v>
      </c>
      <c r="C1685" s="1">
        <f>C1684*2/3+C1687/3</f>
        <v>23.733333333333334</v>
      </c>
      <c r="D1685" s="6">
        <f>D1684*2/3+D1687/3</f>
        <v>82.163333333333341</v>
      </c>
      <c r="E1685" s="6">
        <v>224.90600000000001</v>
      </c>
      <c r="F1685" s="1">
        <f t="shared" si="130"/>
        <v>2011.2916666665392</v>
      </c>
      <c r="G1685" s="17">
        <v>3.46</v>
      </c>
      <c r="H1685" s="1">
        <f>B1685*$E$1867/E1685</f>
        <v>1984.0405397254851</v>
      </c>
      <c r="I1685" s="1">
        <f>C1685*$E$1867/E1685</f>
        <v>35.364282263108443</v>
      </c>
      <c r="J1685" s="26">
        <f t="shared" si="131"/>
        <v>1034479.7520699529</v>
      </c>
      <c r="K1685" s="1">
        <f>D1685*$E$1867/E1685</f>
        <v>122.42895976170786</v>
      </c>
      <c r="L1685" s="26">
        <f t="shared" si="129"/>
        <v>63834.522231081675</v>
      </c>
      <c r="M1685" s="10">
        <f t="shared" si="127"/>
        <v>23.143929447285949</v>
      </c>
      <c r="N1685" s="4">
        <f t="shared" si="128"/>
        <v>25.526061033561664</v>
      </c>
      <c r="O1685" s="36">
        <f>1/M1685-(G1685/100-(((E1685/E1565)^(1/10))-1))</f>
        <v>3.29082239694833E-2</v>
      </c>
      <c r="P1685" s="48">
        <v>0.06</v>
      </c>
      <c r="R1685" s="30"/>
      <c r="S1685" s="30"/>
    </row>
    <row r="1686" spans="1:19" ht="13" x14ac:dyDescent="0.3">
      <c r="A1686" s="52" t="s">
        <v>1702</v>
      </c>
      <c r="B1686" s="6">
        <v>1338.31</v>
      </c>
      <c r="C1686" s="1">
        <f>C1684/3+C1687*2/3</f>
        <v>24.036666666666665</v>
      </c>
      <c r="D1686" s="6">
        <f>D1684/3+D1687*2/3</f>
        <v>83.016666666666666</v>
      </c>
      <c r="E1686" s="6">
        <v>225.964</v>
      </c>
      <c r="F1686" s="1">
        <f t="shared" si="130"/>
        <v>2011.3749999998724</v>
      </c>
      <c r="G1686" s="17">
        <v>3.17</v>
      </c>
      <c r="H1686" s="1">
        <f>B1686*$E$1867/E1686</f>
        <v>1984.8359620448389</v>
      </c>
      <c r="I1686" s="1">
        <f>C1686*$E$1867/E1686</f>
        <v>35.648572010733268</v>
      </c>
      <c r="J1686" s="26">
        <f t="shared" si="131"/>
        <v>1036443.4176471682</v>
      </c>
      <c r="K1686" s="1">
        <f>D1686*$E$1867/E1686</f>
        <v>123.12129883890059</v>
      </c>
      <c r="L1686" s="26">
        <f t="shared" si="129"/>
        <v>64291.589931836235</v>
      </c>
      <c r="M1686" s="10">
        <f t="shared" si="127"/>
        <v>23.059491506095338</v>
      </c>
      <c r="N1686" s="4">
        <f t="shared" si="128"/>
        <v>25.422751410495909</v>
      </c>
      <c r="O1686" s="36">
        <f>1/M1686-(G1686/100-(((E1686/E1566)^(1/10))-1))</f>
        <v>3.5984982522714579E-2</v>
      </c>
      <c r="P1686" s="48">
        <v>0.04</v>
      </c>
      <c r="R1686" s="30"/>
      <c r="S1686" s="30"/>
    </row>
    <row r="1687" spans="1:19" ht="13" x14ac:dyDescent="0.3">
      <c r="A1687" s="52" t="s">
        <v>1703</v>
      </c>
      <c r="B1687" s="6">
        <v>1287.29</v>
      </c>
      <c r="C1687" s="1">
        <v>24.34</v>
      </c>
      <c r="D1687" s="6">
        <v>83.87</v>
      </c>
      <c r="E1687" s="6">
        <v>225.72200000000001</v>
      </c>
      <c r="F1687" s="1">
        <f t="shared" si="130"/>
        <v>2011.4583333332057</v>
      </c>
      <c r="G1687" s="17">
        <v>3</v>
      </c>
      <c r="H1687" s="1">
        <f>B1687*$E$1867/E1687</f>
        <v>1911.2154910575841</v>
      </c>
      <c r="I1687" s="1">
        <f>C1687*$E$1867/E1687</f>
        <v>36.1371447399899</v>
      </c>
      <c r="J1687" s="26">
        <f t="shared" si="131"/>
        <v>999572.72481659485</v>
      </c>
      <c r="K1687" s="1">
        <f>D1687*$E$1867/E1687</f>
        <v>124.5202271710334</v>
      </c>
      <c r="L1687" s="26">
        <f t="shared" si="129"/>
        <v>65124.536375150754</v>
      </c>
      <c r="M1687" s="10">
        <f t="shared" si="127"/>
        <v>22.100831286611001</v>
      </c>
      <c r="N1687" s="4">
        <f t="shared" si="128"/>
        <v>24.359226657703804</v>
      </c>
      <c r="O1687" s="36">
        <f>1/M1687-(G1687/100-(((E1687/E1567)^(1/10))-1))</f>
        <v>3.9283553984869629E-2</v>
      </c>
      <c r="P1687" s="48">
        <v>0.04</v>
      </c>
      <c r="R1687" s="30"/>
      <c r="S1687" s="30"/>
    </row>
    <row r="1688" spans="1:19" ht="13" x14ac:dyDescent="0.3">
      <c r="A1688" s="52" t="s">
        <v>1704</v>
      </c>
      <c r="B1688" s="6">
        <v>1325.19</v>
      </c>
      <c r="C1688" s="1">
        <f>C1687*2/3+C1690/3</f>
        <v>24.619999999999997</v>
      </c>
      <c r="D1688" s="6">
        <f>D1687*2/3+D1690/3</f>
        <v>84.906666666666666</v>
      </c>
      <c r="E1688" s="6">
        <v>225.922</v>
      </c>
      <c r="F1688" s="1">
        <f t="shared" si="130"/>
        <v>2011.541666666539</v>
      </c>
      <c r="G1688" s="17">
        <v>3</v>
      </c>
      <c r="H1688" s="1">
        <f>B1688*$E$1867/E1688</f>
        <v>1965.7431770588964</v>
      </c>
      <c r="I1688" s="1">
        <f>C1688*$E$1867/E1688</f>
        <v>36.520496697975403</v>
      </c>
      <c r="J1688" s="26">
        <f t="shared" si="131"/>
        <v>1029682.6011282237</v>
      </c>
      <c r="K1688" s="1">
        <f>D1688*$E$1867/E1688</f>
        <v>125.94775140682772</v>
      </c>
      <c r="L1688" s="26">
        <f t="shared" si="129"/>
        <v>65973.118863302894</v>
      </c>
      <c r="M1688" s="10">
        <f t="shared" si="127"/>
        <v>22.610981701156629</v>
      </c>
      <c r="N1688" s="4">
        <f t="shared" si="128"/>
        <v>24.915089078411928</v>
      </c>
      <c r="O1688" s="36">
        <f>1/M1688-(G1688/100-(((E1688/E1568)^(1/10))-1))</f>
        <v>3.8641504124610905E-2</v>
      </c>
      <c r="P1688" s="48">
        <v>0.04</v>
      </c>
      <c r="R1688" s="30"/>
      <c r="S1688" s="30"/>
    </row>
    <row r="1689" spans="1:19" ht="13" x14ac:dyDescent="0.3">
      <c r="A1689" s="52" t="s">
        <v>1705</v>
      </c>
      <c r="B1689" s="6">
        <v>1185.31</v>
      </c>
      <c r="C1689" s="1">
        <f>C1687/3+C1690*2/3</f>
        <v>24.9</v>
      </c>
      <c r="D1689" s="6">
        <f>D1687/3+D1690*2/3</f>
        <v>85.943333333333342</v>
      </c>
      <c r="E1689" s="6">
        <v>226.54499999999999</v>
      </c>
      <c r="F1689" s="1">
        <f t="shared" si="130"/>
        <v>2011.6249999998722</v>
      </c>
      <c r="G1689" s="17">
        <v>2.2999999999999998</v>
      </c>
      <c r="H1689" s="1">
        <f>B1689*$E$1867/E1689</f>
        <v>1753.4145978834226</v>
      </c>
      <c r="I1689" s="1">
        <f>C1689*$E$1867/E1689</f>
        <v>36.834265708799578</v>
      </c>
      <c r="J1689" s="26">
        <f t="shared" si="131"/>
        <v>920069.90468339261</v>
      </c>
      <c r="K1689" s="1">
        <f>D1689*$E$1867/E1689</f>
        <v>127.1349227269049</v>
      </c>
      <c r="L1689" s="26">
        <f t="shared" si="129"/>
        <v>66711.556055523921</v>
      </c>
      <c r="M1689" s="10">
        <f t="shared" si="127"/>
        <v>20.049852721660496</v>
      </c>
      <c r="N1689" s="4">
        <f t="shared" si="128"/>
        <v>22.092618712120771</v>
      </c>
      <c r="O1689" s="36">
        <f>1/M1689-(G1689/100-(((E1689/E1569)^(1/10))-1))</f>
        <v>5.1573026527262554E-2</v>
      </c>
      <c r="P1689" s="48">
        <v>0.02</v>
      </c>
      <c r="R1689" s="30"/>
      <c r="S1689" s="30"/>
    </row>
    <row r="1690" spans="1:19" ht="13" x14ac:dyDescent="0.3">
      <c r="A1690" s="52" t="s">
        <v>1706</v>
      </c>
      <c r="B1690" s="6">
        <v>1173.8800000000001</v>
      </c>
      <c r="C1690" s="1">
        <v>25.18</v>
      </c>
      <c r="D1690" s="6">
        <v>86.98</v>
      </c>
      <c r="E1690" s="6">
        <v>226.88900000000001</v>
      </c>
      <c r="F1690" s="1">
        <f t="shared" si="130"/>
        <v>2011.7083333332055</v>
      </c>
      <c r="G1690" s="17">
        <v>1.98</v>
      </c>
      <c r="H1690" s="1">
        <f>B1690*$E$1867/E1690</f>
        <v>1733.873517314634</v>
      </c>
      <c r="I1690" s="1">
        <f>C1690*$E$1867/E1690</f>
        <v>37.191991656713192</v>
      </c>
      <c r="J1690" s="26">
        <f t="shared" si="131"/>
        <v>911442.42007723323</v>
      </c>
      <c r="K1690" s="1">
        <f>D1690*$E$1867/E1690</f>
        <v>128.47336911441278</v>
      </c>
      <c r="L1690" s="26">
        <f t="shared" si="129"/>
        <v>67534.383155278018</v>
      </c>
      <c r="M1690" s="10">
        <f t="shared" si="127"/>
        <v>19.698114568877713</v>
      </c>
      <c r="N1690" s="4">
        <f t="shared" si="128"/>
        <v>21.706400031075059</v>
      </c>
      <c r="O1690" s="36">
        <f>1/M1690-(G1690/100-(((E1690/E1570)^(1/10))-1))</f>
        <v>5.5358354551440607E-2</v>
      </c>
      <c r="P1690" s="48">
        <v>0.01</v>
      </c>
      <c r="R1690" s="30"/>
      <c r="S1690" s="30"/>
    </row>
    <row r="1691" spans="1:19" ht="13" x14ac:dyDescent="0.3">
      <c r="A1691" s="52" t="s">
        <v>1707</v>
      </c>
      <c r="B1691" s="6">
        <v>1207.22</v>
      </c>
      <c r="C1691" s="1">
        <f>C1690*2/3+C1693/3</f>
        <v>25.596666666666664</v>
      </c>
      <c r="D1691" s="6">
        <f>D1690*2/3+D1693/3</f>
        <v>86.97</v>
      </c>
      <c r="E1691" s="6">
        <v>226.42099999999999</v>
      </c>
      <c r="F1691" s="1">
        <f t="shared" si="130"/>
        <v>2011.7916666665387</v>
      </c>
      <c r="G1691" s="17">
        <v>2.15</v>
      </c>
      <c r="H1691" s="1">
        <f>B1691*$E$1867/E1691</f>
        <v>1786.8038048811727</v>
      </c>
      <c r="I1691" s="1">
        <f>C1691*$E$1867/E1691</f>
        <v>37.885572962902437</v>
      </c>
      <c r="J1691" s="26">
        <f t="shared" si="131"/>
        <v>940925.80054115562</v>
      </c>
      <c r="K1691" s="1">
        <f>D1691*$E$1867/E1691</f>
        <v>128.72411566285811</v>
      </c>
      <c r="L1691" s="26">
        <f t="shared" si="129"/>
        <v>67785.753112990409</v>
      </c>
      <c r="M1691" s="10">
        <f t="shared" si="127"/>
        <v>20.155824786688758</v>
      </c>
      <c r="N1691" s="4">
        <f t="shared" si="128"/>
        <v>22.21266816349393</v>
      </c>
      <c r="O1691" s="36">
        <f>1/M1691-(G1691/100-(((E1691/E1571)^(1/10))-1))</f>
        <v>5.2639316240052025E-2</v>
      </c>
      <c r="P1691" s="48">
        <v>0.02</v>
      </c>
      <c r="R1691" s="30"/>
      <c r="S1691" s="30"/>
    </row>
    <row r="1692" spans="1:19" ht="13" x14ac:dyDescent="0.3">
      <c r="A1692" s="52" t="s">
        <v>1708</v>
      </c>
      <c r="B1692" s="6">
        <v>1226.42</v>
      </c>
      <c r="C1692" s="1">
        <f>C1690/3+C1693*2/3</f>
        <v>26.013333333333335</v>
      </c>
      <c r="D1692" s="6">
        <f>D1690/3+D1693*2/3</f>
        <v>86.960000000000008</v>
      </c>
      <c r="E1692" s="6">
        <v>226.23</v>
      </c>
      <c r="F1692" s="1">
        <f t="shared" si="130"/>
        <v>2011.874999999872</v>
      </c>
      <c r="G1692" s="17">
        <v>2.0099999999999998</v>
      </c>
      <c r="H1692" s="1">
        <f>B1692*$E$1867/E1692</f>
        <v>1816.7542284621845</v>
      </c>
      <c r="I1692" s="1">
        <f>C1692*$E$1867/E1692</f>
        <v>38.534786883555086</v>
      </c>
      <c r="J1692" s="26">
        <f t="shared" si="131"/>
        <v>958388.63415819604</v>
      </c>
      <c r="K1692" s="1">
        <f>D1692*$E$1867/E1692</f>
        <v>128.81798055076692</v>
      </c>
      <c r="L1692" s="26">
        <f t="shared" si="129"/>
        <v>67955.085228874872</v>
      </c>
      <c r="M1692" s="10">
        <f t="shared" si="127"/>
        <v>20.345246797645821</v>
      </c>
      <c r="N1692" s="4">
        <f t="shared" si="128"/>
        <v>22.423888769998186</v>
      </c>
      <c r="O1692" s="36">
        <f>1/M1692-(G1692/100-(((E1692/E1572)^(1/10))-1))</f>
        <v>5.3664048821724597E-2</v>
      </c>
      <c r="P1692" s="48">
        <v>0.01</v>
      </c>
      <c r="R1692" s="30"/>
      <c r="S1692" s="30"/>
    </row>
    <row r="1693" spans="1:19" ht="13" x14ac:dyDescent="0.3">
      <c r="A1693" s="52" t="s">
        <v>1709</v>
      </c>
      <c r="B1693" s="6">
        <v>1243.32</v>
      </c>
      <c r="C1693" s="1">
        <v>26.43</v>
      </c>
      <c r="D1693" s="6">
        <v>86.95</v>
      </c>
      <c r="E1693" s="6">
        <v>225.672</v>
      </c>
      <c r="F1693" s="1">
        <f t="shared" si="130"/>
        <v>2011.9583333332052</v>
      </c>
      <c r="G1693" s="17">
        <v>1.98</v>
      </c>
      <c r="H1693" s="1">
        <f>B1693*$E$1867/E1693</f>
        <v>1846.3430369297032</v>
      </c>
      <c r="I1693" s="1">
        <f>C1693*$E$1867/E1693</f>
        <v>39.248822882324788</v>
      </c>
      <c r="J1693" s="26">
        <f t="shared" si="131"/>
        <v>975722.96189483942</v>
      </c>
      <c r="K1693" s="1">
        <f>D1693*$E$1867/E1693</f>
        <v>129.12164773432238</v>
      </c>
      <c r="L1693" s="26">
        <f t="shared" si="129"/>
        <v>68235.942104008864</v>
      </c>
      <c r="M1693" s="10">
        <f t="shared" si="127"/>
        <v>20.523575499431701</v>
      </c>
      <c r="N1693" s="4">
        <f t="shared" si="128"/>
        <v>22.623608815264809</v>
      </c>
      <c r="O1693" s="36">
        <f>1/M1693-(G1693/100-(((E1693/E1573)^(1/10))-1))</f>
        <v>5.3689049554547057E-2</v>
      </c>
      <c r="P1693" s="48">
        <v>0.01</v>
      </c>
      <c r="R1693" s="30"/>
      <c r="S1693" s="30"/>
    </row>
    <row r="1694" spans="1:19" ht="13" x14ac:dyDescent="0.3">
      <c r="A1694" s="52" t="s">
        <v>1710</v>
      </c>
      <c r="B1694" s="6">
        <v>1300.58</v>
      </c>
      <c r="C1694" s="1">
        <f>C1693*2/3+C1696/3</f>
        <v>26.736666666666668</v>
      </c>
      <c r="D1694" s="6">
        <f>D1693*2/3+D1696/3</f>
        <v>87.48</v>
      </c>
      <c r="E1694" s="6">
        <v>226.66499999999999</v>
      </c>
      <c r="F1694" s="1">
        <f t="shared" si="130"/>
        <v>2012.0416666665385</v>
      </c>
      <c r="G1694" s="17">
        <v>1.97</v>
      </c>
      <c r="H1694" s="1">
        <f>B1694*$E$1867/E1694</f>
        <v>1922.9135404451501</v>
      </c>
      <c r="I1694" s="1">
        <f>C1694*$E$1867/E1694</f>
        <v>39.530285226361961</v>
      </c>
      <c r="J1694" s="26">
        <f t="shared" si="131"/>
        <v>1017928.4536014379</v>
      </c>
      <c r="K1694" s="1">
        <f>D1694*$E$1867/E1694</f>
        <v>129.33958427635497</v>
      </c>
      <c r="L1694" s="26">
        <f t="shared" si="129"/>
        <v>68468.207354452476</v>
      </c>
      <c r="M1694" s="10">
        <f t="shared" si="127"/>
        <v>21.213008091803456</v>
      </c>
      <c r="N1694" s="4">
        <f t="shared" si="128"/>
        <v>23.38604601373142</v>
      </c>
      <c r="O1694" s="36">
        <f>1/M1694-(G1694/100-(((E1694/E1574)^(1/10))-1))</f>
        <v>5.2423716122966424E-2</v>
      </c>
      <c r="P1694" s="48">
        <v>0.03</v>
      </c>
      <c r="R1694" s="30"/>
      <c r="S1694" s="30"/>
    </row>
    <row r="1695" spans="1:19" ht="13" x14ac:dyDescent="0.3">
      <c r="A1695" s="52" t="s">
        <v>1711</v>
      </c>
      <c r="B1695" s="6">
        <v>1352.49</v>
      </c>
      <c r="C1695" s="1">
        <f>C1693/3+C1696*2/3</f>
        <v>27.043333333333337</v>
      </c>
      <c r="D1695" s="6">
        <f>D1693/3+D1696*2/3</f>
        <v>88.01</v>
      </c>
      <c r="E1695" s="6">
        <v>227.66300000000001</v>
      </c>
      <c r="F1695" s="1">
        <f t="shared" si="130"/>
        <v>2012.1249999998718</v>
      </c>
      <c r="G1695" s="17">
        <v>1.97</v>
      </c>
      <c r="H1695" s="1">
        <f>B1695*$E$1867/E1695</f>
        <v>1990.8968491696057</v>
      </c>
      <c r="I1695" s="1">
        <f>C1695*$E$1867/E1695</f>
        <v>39.808417899116968</v>
      </c>
      <c r="J1695" s="26">
        <f t="shared" si="131"/>
        <v>1055672.7339517423</v>
      </c>
      <c r="K1695" s="1">
        <f>D1695*$E$1867/E1695</f>
        <v>129.55277428699438</v>
      </c>
      <c r="L1695" s="26">
        <f t="shared" si="129"/>
        <v>68695.33772160449</v>
      </c>
      <c r="M1695" s="10">
        <f t="shared" si="127"/>
        <v>21.797435963717533</v>
      </c>
      <c r="N1695" s="4">
        <f t="shared" si="128"/>
        <v>24.031932260644215</v>
      </c>
      <c r="O1695" s="36">
        <f>1/M1695-(G1695/100-(((E1695/E1575)^(1/10))-1))</f>
        <v>5.1205760095649283E-2</v>
      </c>
      <c r="P1695" s="48">
        <v>0.09</v>
      </c>
      <c r="R1695" s="30"/>
      <c r="S1695" s="30"/>
    </row>
    <row r="1696" spans="1:19" ht="13" x14ac:dyDescent="0.3">
      <c r="A1696" s="52" t="s">
        <v>1712</v>
      </c>
      <c r="B1696" s="6">
        <v>1389.24</v>
      </c>
      <c r="C1696" s="1">
        <v>27.35</v>
      </c>
      <c r="D1696" s="6">
        <v>88.54</v>
      </c>
      <c r="E1696" s="6">
        <v>229.392</v>
      </c>
      <c r="F1696" s="1">
        <f t="shared" si="130"/>
        <v>2012.208333333205</v>
      </c>
      <c r="G1696" s="17">
        <v>2.17</v>
      </c>
      <c r="H1696" s="1">
        <f>B1696*$E$1867/E1696</f>
        <v>2029.5799431104833</v>
      </c>
      <c r="I1696" s="1">
        <f>C1696*$E$1867/E1696</f>
        <v>39.95638726503104</v>
      </c>
      <c r="J1696" s="26">
        <f t="shared" si="131"/>
        <v>1077950.0106166217</v>
      </c>
      <c r="K1696" s="1">
        <f>D1696*$E$1867/E1696</f>
        <v>129.35058604920835</v>
      </c>
      <c r="L1696" s="26">
        <f t="shared" si="129"/>
        <v>68700.652111942996</v>
      </c>
      <c r="M1696" s="10">
        <f t="shared" si="127"/>
        <v>22.053943972904708</v>
      </c>
      <c r="N1696" s="4">
        <f t="shared" si="128"/>
        <v>24.315942005487809</v>
      </c>
      <c r="O1696" s="36">
        <f>1/M1696-(G1696/100-(((E1696/E1576)^(1/10))-1))</f>
        <v>4.8872819302674703E-2</v>
      </c>
      <c r="P1696" s="48">
        <v>0.08</v>
      </c>
      <c r="R1696" s="30"/>
      <c r="S1696" s="30"/>
    </row>
    <row r="1697" spans="1:19" ht="13" x14ac:dyDescent="0.3">
      <c r="A1697" s="52" t="s">
        <v>1713</v>
      </c>
      <c r="B1697" s="6">
        <v>1386.43</v>
      </c>
      <c r="C1697" s="1">
        <f>C1696*2/3+C1699/3</f>
        <v>27.673333333333332</v>
      </c>
      <c r="D1697" s="6">
        <f>D1696*2/3+D1699/3</f>
        <v>88.333333333333343</v>
      </c>
      <c r="E1697" s="6">
        <v>230.08500000000001</v>
      </c>
      <c r="F1697" s="1">
        <f t="shared" si="130"/>
        <v>2012.2916666665383</v>
      </c>
      <c r="G1697" s="17">
        <v>2.0499999999999998</v>
      </c>
      <c r="H1697" s="1">
        <f>B1697*$E$1867/E1697</f>
        <v>2019.3741458917357</v>
      </c>
      <c r="I1697" s="1">
        <f>C1697*$E$1867/E1697</f>
        <v>40.306985469138212</v>
      </c>
      <c r="J1697" s="26">
        <f t="shared" si="131"/>
        <v>1074313.4964235467</v>
      </c>
      <c r="K1697" s="1">
        <f>D1697*$E$1867/E1697</f>
        <v>128.65997529898371</v>
      </c>
      <c r="L1697" s="26">
        <f t="shared" si="129"/>
        <v>68447.517858153646</v>
      </c>
      <c r="M1697" s="10">
        <f t="shared" si="127"/>
        <v>21.779246906824898</v>
      </c>
      <c r="N1697" s="4">
        <f t="shared" si="128"/>
        <v>24.015130965765504</v>
      </c>
      <c r="O1697" s="36">
        <f>1/M1697-(G1697/100-(((E1697/E1577)^(1/10))-1))</f>
        <v>5.0382220122844441E-2</v>
      </c>
      <c r="P1697" s="48">
        <v>0.08</v>
      </c>
      <c r="R1697" s="30"/>
      <c r="S1697" s="30"/>
    </row>
    <row r="1698" spans="1:19" ht="13" x14ac:dyDescent="0.3">
      <c r="A1698" s="52" t="s">
        <v>1714</v>
      </c>
      <c r="B1698" s="6">
        <v>1341.27</v>
      </c>
      <c r="C1698" s="1">
        <f>C1696/3+C1699*2/3</f>
        <v>27.996666666666666</v>
      </c>
      <c r="D1698" s="6">
        <f>D1696/3+D1699*2/3</f>
        <v>88.126666666666665</v>
      </c>
      <c r="E1698" s="6">
        <v>229.815</v>
      </c>
      <c r="F1698" s="1">
        <f t="shared" si="130"/>
        <v>2012.3749999998715</v>
      </c>
      <c r="G1698" s="17">
        <v>1.8</v>
      </c>
      <c r="H1698" s="1">
        <f>B1698*$E$1867/E1698</f>
        <v>1955.8925399451734</v>
      </c>
      <c r="I1698" s="1">
        <f>C1698*$E$1867/E1698</f>
        <v>40.825837807946975</v>
      </c>
      <c r="J1698" s="26">
        <f t="shared" si="131"/>
        <v>1042351.0356147427</v>
      </c>
      <c r="K1698" s="1">
        <f>D1698*$E$1867/E1698</f>
        <v>128.50976306304347</v>
      </c>
      <c r="L1698" s="26">
        <f t="shared" si="129"/>
        <v>68486.525654995057</v>
      </c>
      <c r="M1698" s="10">
        <f t="shared" si="127"/>
        <v>20.941467419743478</v>
      </c>
      <c r="N1698" s="4">
        <f t="shared" si="128"/>
        <v>23.095237989596882</v>
      </c>
      <c r="O1698" s="36">
        <f>1/M1698-(G1698/100-(((E1698/E1578)^(1/10))-1))</f>
        <v>5.4598754439490103E-2</v>
      </c>
      <c r="P1698" s="48">
        <v>0.09</v>
      </c>
      <c r="R1698" s="30"/>
      <c r="S1698" s="30"/>
    </row>
    <row r="1699" spans="1:19" ht="13" x14ac:dyDescent="0.3">
      <c r="A1699" s="52" t="s">
        <v>1715</v>
      </c>
      <c r="B1699" s="6">
        <v>1323.48</v>
      </c>
      <c r="C1699" s="1">
        <v>28.32</v>
      </c>
      <c r="D1699" s="6">
        <v>87.92</v>
      </c>
      <c r="E1699" s="6">
        <v>229.47800000000001</v>
      </c>
      <c r="F1699" s="1">
        <f t="shared" si="130"/>
        <v>2012.4583333332048</v>
      </c>
      <c r="G1699" s="17">
        <v>1.62</v>
      </c>
      <c r="H1699" s="1">
        <f>B1699*$E$1867/E1699</f>
        <v>1932.7846933910876</v>
      </c>
      <c r="I1699" s="1">
        <f>C1699*$E$1867/E1699</f>
        <v>41.357982377395651</v>
      </c>
      <c r="J1699" s="26">
        <f t="shared" si="131"/>
        <v>1031872.9413153742</v>
      </c>
      <c r="K1699" s="1">
        <f>D1699*$E$1867/E1699</f>
        <v>128.39667410383566</v>
      </c>
      <c r="L1699" s="26">
        <f t="shared" si="129"/>
        <v>68548.273491437503</v>
      </c>
      <c r="M1699" s="10">
        <f t="shared" si="127"/>
        <v>20.547504086856094</v>
      </c>
      <c r="N1699" s="4">
        <f t="shared" si="128"/>
        <v>22.665536337915764</v>
      </c>
      <c r="O1699" s="36">
        <f>1/M1699-(G1699/100-(((E1699/E1579)^(1/10))-1))</f>
        <v>5.710696444269775E-2</v>
      </c>
      <c r="P1699" s="48">
        <v>0.09</v>
      </c>
      <c r="R1699" s="30"/>
      <c r="S1699" s="30"/>
    </row>
    <row r="1700" spans="1:19" ht="13" x14ac:dyDescent="0.3">
      <c r="A1700" s="52" t="s">
        <v>1716</v>
      </c>
      <c r="B1700" s="6">
        <v>1359.78</v>
      </c>
      <c r="C1700" s="1">
        <f>C1699*2/3+C1702/3</f>
        <v>28.743333333333332</v>
      </c>
      <c r="D1700" s="6">
        <f>D1699*2/3+D1702/3</f>
        <v>87.446666666666673</v>
      </c>
      <c r="E1700" s="6">
        <v>229.10400000000001</v>
      </c>
      <c r="F1700" s="1">
        <f t="shared" si="130"/>
        <v>2012.541666666538</v>
      </c>
      <c r="G1700" s="17">
        <v>1.53</v>
      </c>
      <c r="H1700" s="1">
        <f>B1700*$E$1867/E1700</f>
        <v>1989.0382203933582</v>
      </c>
      <c r="I1700" s="1">
        <f>C1700*$E$1867/E1700</f>
        <v>42.044734134570618</v>
      </c>
      <c r="J1700" s="26">
        <f t="shared" si="131"/>
        <v>1063776.0780354463</v>
      </c>
      <c r="K1700" s="1">
        <f>D1700*$E$1867/E1700</f>
        <v>127.91389948815095</v>
      </c>
      <c r="L1700" s="26">
        <f t="shared" si="129"/>
        <v>68410.825356998685</v>
      </c>
      <c r="M1700" s="10">
        <f t="shared" si="127"/>
        <v>20.999341293380567</v>
      </c>
      <c r="N1700" s="4">
        <f t="shared" si="128"/>
        <v>23.16828960367117</v>
      </c>
      <c r="O1700" s="36">
        <f>1/M1700-(G1700/100-(((E1700/E1580)^(1/10))-1))</f>
        <v>5.6678853537401978E-2</v>
      </c>
      <c r="P1700" s="48">
        <v>0.1</v>
      </c>
      <c r="R1700" s="30"/>
      <c r="S1700" s="30"/>
    </row>
    <row r="1701" spans="1:19" ht="13" x14ac:dyDescent="0.3">
      <c r="A1701" s="52" t="s">
        <v>1717</v>
      </c>
      <c r="B1701" s="6">
        <v>1403.45</v>
      </c>
      <c r="C1701" s="1">
        <f>C1699/3+C1702*2/3</f>
        <v>29.166666666666664</v>
      </c>
      <c r="D1701" s="6">
        <f>D1699/3+D1702*2/3</f>
        <v>86.973333333333329</v>
      </c>
      <c r="E1701" s="6">
        <v>230.37899999999999</v>
      </c>
      <c r="F1701" s="1">
        <f t="shared" si="130"/>
        <v>2012.6249999998713</v>
      </c>
      <c r="G1701" s="17">
        <v>1.68</v>
      </c>
      <c r="H1701" s="1">
        <f>B1701*$E$1867/E1701</f>
        <v>2041.5555763003572</v>
      </c>
      <c r="I1701" s="1">
        <f>C1701*$E$1867/E1701</f>
        <v>42.42785348635654</v>
      </c>
      <c r="J1701" s="26">
        <f t="shared" si="131"/>
        <v>1093754.3111915251</v>
      </c>
      <c r="K1701" s="1">
        <f>D1701*$E$1867/E1701</f>
        <v>126.51743464754456</v>
      </c>
      <c r="L1701" s="26">
        <f t="shared" si="129"/>
        <v>67781.152368827476</v>
      </c>
      <c r="M1701" s="10">
        <f t="shared" si="127"/>
        <v>21.41042845344294</v>
      </c>
      <c r="N1701" s="4">
        <f t="shared" si="128"/>
        <v>23.625464836831135</v>
      </c>
      <c r="O1701" s="36">
        <f>1/M1701-(G1701/100-(((E1701/E1581)^(1/10))-1))</f>
        <v>5.449234426452057E-2</v>
      </c>
      <c r="P1701" s="48">
        <v>0.1</v>
      </c>
      <c r="R1701" s="30"/>
      <c r="S1701" s="30"/>
    </row>
    <row r="1702" spans="1:19" ht="13" x14ac:dyDescent="0.3">
      <c r="A1702" s="52" t="s">
        <v>1718</v>
      </c>
      <c r="B1702" s="6">
        <v>1443.42</v>
      </c>
      <c r="C1702" s="1">
        <v>29.59</v>
      </c>
      <c r="D1702" s="6">
        <v>86.5</v>
      </c>
      <c r="E1702" s="6">
        <v>231.40700000000001</v>
      </c>
      <c r="F1702" s="1">
        <f t="shared" si="130"/>
        <v>2012.7083333332046</v>
      </c>
      <c r="G1702" s="17">
        <v>1.72</v>
      </c>
      <c r="H1702" s="1">
        <f>B1702*$E$1867/E1702</f>
        <v>2090.3710274754008</v>
      </c>
      <c r="I1702" s="1">
        <f>C1702*$E$1867/E1702</f>
        <v>42.852446760469647</v>
      </c>
      <c r="J1702" s="26">
        <f t="shared" si="131"/>
        <v>1121820.1391348806</v>
      </c>
      <c r="K1702" s="1">
        <f>D1702*$E$1867/E1702</f>
        <v>125.26991026632729</v>
      </c>
      <c r="L1702" s="26">
        <f t="shared" si="129"/>
        <v>67227.447336996265</v>
      </c>
      <c r="M1702" s="10">
        <f t="shared" si="127"/>
        <v>21.783690301727685</v>
      </c>
      <c r="N1702" s="4">
        <f t="shared" si="128"/>
        <v>24.040589108752918</v>
      </c>
      <c r="O1702" s="36">
        <f>1/M1702-(G1702/100-(((E1702/E1582)^(1/10))-1))</f>
        <v>5.3578290187035277E-2</v>
      </c>
      <c r="P1702" s="48">
        <v>0.11</v>
      </c>
      <c r="R1702" s="30"/>
      <c r="S1702" s="30"/>
    </row>
    <row r="1703" spans="1:19" ht="13" x14ac:dyDescent="0.3">
      <c r="A1703" s="52" t="s">
        <v>1719</v>
      </c>
      <c r="B1703" s="8">
        <v>1437.82</v>
      </c>
      <c r="C1703" s="1">
        <f>C1702*2/3+C1705/3</f>
        <v>30.143333333333331</v>
      </c>
      <c r="D1703" s="6">
        <f>D1702*2/3+D1705/3</f>
        <v>86.50333333333333</v>
      </c>
      <c r="E1703" s="6">
        <v>231.31700000000001</v>
      </c>
      <c r="F1703" s="2">
        <f t="shared" si="130"/>
        <v>2012.7916666665378</v>
      </c>
      <c r="G1703" s="17">
        <v>1.75</v>
      </c>
      <c r="H1703" s="1">
        <f>B1703*$E$1867/E1703</f>
        <v>2083.0712267364697</v>
      </c>
      <c r="I1703" s="1">
        <f>C1703*$E$1867/E1703</f>
        <v>43.670772659020592</v>
      </c>
      <c r="J1703" s="26">
        <f t="shared" si="131"/>
        <v>1119855.6549652012</v>
      </c>
      <c r="K1703" s="1">
        <f>D1703*$E$1867/E1703</f>
        <v>125.32347907489145</v>
      </c>
      <c r="L1703" s="26">
        <f t="shared" si="129"/>
        <v>67373.69559936093</v>
      </c>
      <c r="M1703" s="10">
        <f t="shared" si="127"/>
        <v>21.577109654528787</v>
      </c>
      <c r="N1703" s="4">
        <f t="shared" si="128"/>
        <v>23.816813659366247</v>
      </c>
      <c r="O1703" s="36">
        <f>1/M1703-(G1703/100-(((E1703/E1583)^(1/10))-1))</f>
        <v>5.3508222372874677E-2</v>
      </c>
      <c r="P1703" s="48">
        <v>0.1</v>
      </c>
      <c r="R1703" s="30"/>
      <c r="S1703" s="30"/>
    </row>
    <row r="1704" spans="1:19" ht="13" x14ac:dyDescent="0.3">
      <c r="A1704" s="52" t="s">
        <v>1720</v>
      </c>
      <c r="B1704" s="8">
        <v>1394.51</v>
      </c>
      <c r="C1704" s="1">
        <f>C1702/3+C1705*2/3</f>
        <v>30.696666666666665</v>
      </c>
      <c r="D1704" s="6">
        <f>D1702/3+D1705*2/3</f>
        <v>86.506666666666675</v>
      </c>
      <c r="E1704" s="6">
        <v>230.221</v>
      </c>
      <c r="F1704" s="2">
        <f t="shared" si="130"/>
        <v>2012.8749999998711</v>
      </c>
      <c r="G1704" s="17">
        <v>1.65</v>
      </c>
      <c r="H1704" s="1">
        <f>B1704*$E$1867/E1704</f>
        <v>2029.9430216074988</v>
      </c>
      <c r="I1704" s="1">
        <f>C1704*$E$1867/E1704</f>
        <v>44.684143022718743</v>
      </c>
      <c r="J1704" s="26">
        <f t="shared" si="131"/>
        <v>1093295.8629999647</v>
      </c>
      <c r="K1704" s="1">
        <f>D1704*$E$1867/E1704</f>
        <v>125.92495164790934</v>
      </c>
      <c r="L1704" s="26">
        <f t="shared" si="129"/>
        <v>67821.228093440441</v>
      </c>
      <c r="M1704" s="10">
        <f t="shared" si="127"/>
        <v>20.898162059573696</v>
      </c>
      <c r="N1704" s="4">
        <f t="shared" si="128"/>
        <v>23.073935342391618</v>
      </c>
      <c r="O1704" s="36">
        <f>1/M1704-(G1704/100-(((E1704/E1584)^(1/10))-1))</f>
        <v>5.5527377657510549E-2</v>
      </c>
      <c r="P1704" s="48">
        <v>0.09</v>
      </c>
      <c r="R1704" s="30"/>
      <c r="S1704" s="30"/>
    </row>
    <row r="1705" spans="1:19" ht="13" x14ac:dyDescent="0.3">
      <c r="A1705" s="52" t="s">
        <v>1721</v>
      </c>
      <c r="B1705" s="6">
        <v>1422.29</v>
      </c>
      <c r="C1705" s="1">
        <v>31.25</v>
      </c>
      <c r="D1705" s="6">
        <v>86.51</v>
      </c>
      <c r="E1705" s="6">
        <v>229.601</v>
      </c>
      <c r="F1705" s="2">
        <f t="shared" si="130"/>
        <v>2012.9583333332043</v>
      </c>
      <c r="G1705" s="17">
        <v>1.72</v>
      </c>
      <c r="H1705" s="1">
        <f>B1705*$E$1867/E1705</f>
        <v>2075.9721944699718</v>
      </c>
      <c r="I1705" s="1">
        <f>C1705*$E$1867/E1705</f>
        <v>45.612449695341049</v>
      </c>
      <c r="J1705" s="26">
        <f t="shared" si="131"/>
        <v>1120133.6423041401</v>
      </c>
      <c r="K1705" s="1">
        <f>D1705*$E$1867/E1705</f>
        <v>126.26985674060654</v>
      </c>
      <c r="L1705" s="26">
        <f t="shared" si="129"/>
        <v>68131.507214232799</v>
      </c>
      <c r="M1705" s="10">
        <f t="shared" si="127"/>
        <v>21.238261139845612</v>
      </c>
      <c r="N1705" s="4">
        <f t="shared" si="128"/>
        <v>23.456313867189625</v>
      </c>
      <c r="O1705" s="36">
        <f>1/M1705-(G1705/100-(((E1705/E1585)^(1/10))-1))</f>
        <v>5.4011137971734798E-2</v>
      </c>
      <c r="P1705" s="48">
        <v>7.0000000000000007E-2</v>
      </c>
      <c r="R1705" s="30"/>
      <c r="S1705" s="30"/>
    </row>
    <row r="1706" spans="1:19" ht="13" x14ac:dyDescent="0.3">
      <c r="A1706" s="52" t="s">
        <v>1722</v>
      </c>
      <c r="B1706" s="6">
        <v>1480.4</v>
      </c>
      <c r="C1706" s="1">
        <f>C1705*2/3+C1708/3</f>
        <v>31.536666666666665</v>
      </c>
      <c r="D1706" s="6">
        <f>D1705*2/3+D1708/3</f>
        <v>86.906666666666666</v>
      </c>
      <c r="E1706" s="6">
        <v>230.28</v>
      </c>
      <c r="F1706" s="2">
        <f t="shared" si="130"/>
        <v>2013.0416666665376</v>
      </c>
      <c r="G1706" s="17">
        <v>1.91</v>
      </c>
      <c r="H1706" s="1">
        <f>B1706*$E$1867/E1706</f>
        <v>2154.4181869897516</v>
      </c>
      <c r="I1706" s="1">
        <f>C1706*$E$1867/E1706</f>
        <v>45.89514200466099</v>
      </c>
      <c r="J1706" s="26">
        <f t="shared" si="131"/>
        <v>1164524.4358251896</v>
      </c>
      <c r="K1706" s="1">
        <f>D1706*$E$1867/E1706</f>
        <v>126.47480629378728</v>
      </c>
      <c r="L1706" s="26">
        <f t="shared" si="129"/>
        <v>68363.237617838298</v>
      </c>
      <c r="M1706" s="10">
        <f t="shared" si="127"/>
        <v>21.900475413821813</v>
      </c>
      <c r="N1706" s="4">
        <f t="shared" si="128"/>
        <v>24.193771416596864</v>
      </c>
      <c r="O1706" s="36">
        <f>1/M1706-(G1706/100-(((E1706/E1586)^(1/10))-1))</f>
        <v>5.0537938236435119E-2</v>
      </c>
      <c r="P1706" s="48">
        <v>7.0000000000000007E-2</v>
      </c>
      <c r="R1706" s="30"/>
      <c r="S1706" s="30"/>
    </row>
    <row r="1707" spans="1:19" ht="13" x14ac:dyDescent="0.3">
      <c r="A1707" s="52" t="s">
        <v>1723</v>
      </c>
      <c r="B1707" s="6">
        <v>1512.31</v>
      </c>
      <c r="C1707" s="1">
        <f>C1705/3+C1708*2/3</f>
        <v>31.823333333333331</v>
      </c>
      <c r="D1707" s="6">
        <f>D1705/3+D1708*2/3</f>
        <v>87.303333333333342</v>
      </c>
      <c r="E1707" s="6">
        <v>232.166</v>
      </c>
      <c r="F1707" s="2">
        <f t="shared" si="130"/>
        <v>2013.1249999998709</v>
      </c>
      <c r="G1707" s="17">
        <v>1.98</v>
      </c>
      <c r="H1707" s="1">
        <f>B1707*$E$1867/E1707</f>
        <v>2182.9779848362809</v>
      </c>
      <c r="I1707" s="1">
        <f>C1707*$E$1867/E1707</f>
        <v>45.936108384374393</v>
      </c>
      <c r="J1707" s="26">
        <f t="shared" si="131"/>
        <v>1182030.968568292</v>
      </c>
      <c r="K1707" s="1">
        <f>D1707*$E$1867/E1707</f>
        <v>126.01996592596103</v>
      </c>
      <c r="L1707" s="26">
        <f t="shared" si="129"/>
        <v>68236.832170150607</v>
      </c>
      <c r="M1707" s="10">
        <f t="shared" si="127"/>
        <v>22.052724336861949</v>
      </c>
      <c r="N1707" s="4">
        <f t="shared" si="128"/>
        <v>24.367396962422973</v>
      </c>
      <c r="O1707" s="36">
        <f>1/M1707-(G1707/100-(((E1707/E1587)^(1/10))-1))</f>
        <v>4.9571974966961654E-2</v>
      </c>
      <c r="P1707" s="48">
        <v>0.1</v>
      </c>
      <c r="R1707" s="30"/>
      <c r="S1707" s="30"/>
    </row>
    <row r="1708" spans="1:19" ht="13" x14ac:dyDescent="0.3">
      <c r="A1708" s="52" t="s">
        <v>1724</v>
      </c>
      <c r="B1708" s="6">
        <v>1550.83</v>
      </c>
      <c r="C1708" s="1">
        <v>32.11</v>
      </c>
      <c r="D1708" s="6">
        <v>87.7</v>
      </c>
      <c r="E1708" s="6">
        <v>232.773</v>
      </c>
      <c r="F1708" s="2">
        <f t="shared" si="130"/>
        <v>2013.2083333332041</v>
      </c>
      <c r="G1708" s="17">
        <v>1.96</v>
      </c>
      <c r="H1708" s="1">
        <f>B1708*$E$1867/E1708</f>
        <v>2232.743021989234</v>
      </c>
      <c r="I1708" s="1">
        <f>C1708*$E$1867/E1708</f>
        <v>46.229037635378674</v>
      </c>
      <c r="J1708" s="26">
        <f t="shared" si="131"/>
        <v>1211063.5538797309</v>
      </c>
      <c r="K1708" s="1">
        <f>D1708*$E$1867/E1708</f>
        <v>126.26242916919058</v>
      </c>
      <c r="L1708" s="26">
        <f t="shared" si="129"/>
        <v>68486.084016463705</v>
      </c>
      <c r="M1708" s="10">
        <f t="shared" si="127"/>
        <v>22.419207114602575</v>
      </c>
      <c r="N1708" s="4">
        <f t="shared" si="128"/>
        <v>24.777200805369684</v>
      </c>
      <c r="O1708" s="36">
        <f>1/M1708-(G1708/100-(((E1708/E1588)^(1/10))-1))</f>
        <v>4.8684797595349022E-2</v>
      </c>
      <c r="P1708" s="48">
        <v>0.09</v>
      </c>
      <c r="R1708" s="30"/>
      <c r="S1708" s="30"/>
    </row>
    <row r="1709" spans="1:19" ht="13" x14ac:dyDescent="0.3">
      <c r="A1709" s="52" t="s">
        <v>1725</v>
      </c>
      <c r="B1709" s="6">
        <v>1570.7</v>
      </c>
      <c r="C1709" s="1">
        <f>C1708*2/3+C1711/3</f>
        <v>32.49666666666667</v>
      </c>
      <c r="D1709" s="6">
        <f>D1708*2/3+D1711/3</f>
        <v>88.783333333333331</v>
      </c>
      <c r="E1709" s="6">
        <v>232.53100000000001</v>
      </c>
      <c r="F1709" s="2">
        <f t="shared" si="130"/>
        <v>2013.2916666665374</v>
      </c>
      <c r="G1709" s="17">
        <v>1.76</v>
      </c>
      <c r="H1709" s="1">
        <f>B1709*$E$1867/E1709</f>
        <v>2263.7034639467429</v>
      </c>
      <c r="I1709" s="1">
        <f>C1709*$E$1867/E1709</f>
        <v>46.834415801907419</v>
      </c>
      <c r="J1709" s="26">
        <f t="shared" si="131"/>
        <v>1229973.7838620164</v>
      </c>
      <c r="K1709" s="1">
        <f>D1709*$E$1867/E1709</f>
        <v>127.9551405153148</v>
      </c>
      <c r="L1709" s="26">
        <f t="shared" si="129"/>
        <v>69523.888994641035</v>
      </c>
      <c r="M1709" s="10">
        <f t="shared" si="127"/>
        <v>22.595655396105606</v>
      </c>
      <c r="N1709" s="4">
        <f t="shared" si="128"/>
        <v>24.976932098870439</v>
      </c>
      <c r="O1709" s="36">
        <f>1/M1709-(G1709/100-(((E1709/E1589)^(1/10))-1))</f>
        <v>5.0452547188244698E-2</v>
      </c>
      <c r="P1709" s="48">
        <v>0.06</v>
      </c>
      <c r="R1709" s="30"/>
      <c r="S1709" s="30"/>
    </row>
    <row r="1710" spans="1:19" ht="13" x14ac:dyDescent="0.3">
      <c r="A1710" s="52" t="s">
        <v>1726</v>
      </c>
      <c r="B1710" s="6">
        <v>1639.84</v>
      </c>
      <c r="C1710" s="1">
        <f>C1708/3+C1711*2/3</f>
        <v>32.88333333333334</v>
      </c>
      <c r="D1710" s="6">
        <f>D1708/3+D1711*2/3</f>
        <v>89.866666666666674</v>
      </c>
      <c r="E1710" s="6">
        <v>232.94499999999999</v>
      </c>
      <c r="F1710" s="2">
        <f t="shared" si="130"/>
        <v>2013.3749999998706</v>
      </c>
      <c r="G1710" s="17">
        <v>1.93</v>
      </c>
      <c r="H1710" s="1">
        <f>B1710*$E$1867/E1710</f>
        <v>2359.1482537079569</v>
      </c>
      <c r="I1710" s="1">
        <f>C1710*$E$1867/E1710</f>
        <v>47.307455855101715</v>
      </c>
      <c r="J1710" s="26">
        <f t="shared" si="131"/>
        <v>1283975.3357582912</v>
      </c>
      <c r="K1710" s="1">
        <f>D1710*$E$1867/E1710</f>
        <v>129.28626557055674</v>
      </c>
      <c r="L1710" s="26">
        <f t="shared" si="129"/>
        <v>70364.537702953807</v>
      </c>
      <c r="M1710" s="10">
        <f t="shared" si="127"/>
        <v>23.411841781842408</v>
      </c>
      <c r="N1710" s="4">
        <f t="shared" si="128"/>
        <v>25.881910504712494</v>
      </c>
      <c r="O1710" s="36">
        <f>1/M1710-(G1710/100-(((E1710/E1590)^(1/10))-1))</f>
        <v>4.7559095488884796E-2</v>
      </c>
      <c r="P1710" s="48">
        <v>0.04</v>
      </c>
      <c r="R1710" s="30"/>
      <c r="S1710" s="30"/>
    </row>
    <row r="1711" spans="1:19" ht="13" x14ac:dyDescent="0.3">
      <c r="A1711" s="52" t="s">
        <v>1727</v>
      </c>
      <c r="B1711" s="6">
        <v>1618.77</v>
      </c>
      <c r="C1711" s="1">
        <v>33.270000000000003</v>
      </c>
      <c r="D1711" s="6">
        <v>90.95</v>
      </c>
      <c r="E1711" s="6">
        <v>233.50399999999999</v>
      </c>
      <c r="F1711" s="2">
        <f t="shared" si="130"/>
        <v>2013.4583333332039</v>
      </c>
      <c r="G1711" s="17">
        <v>2.2999999999999998</v>
      </c>
      <c r="H1711" s="1">
        <f>B1711*$E$1867/E1711</f>
        <v>2323.2608475336615</v>
      </c>
      <c r="I1711" s="1">
        <f>C1711*$E$1867/E1711</f>
        <v>47.749148055279576</v>
      </c>
      <c r="J1711" s="26">
        <f t="shared" si="131"/>
        <v>1266609.1174092728</v>
      </c>
      <c r="K1711" s="1">
        <f>D1711*$E$1867/E1711</f>
        <v>130.53156043365425</v>
      </c>
      <c r="L1711" s="26">
        <f t="shared" si="129"/>
        <v>71163.969698211207</v>
      </c>
      <c r="M1711" s="10">
        <f t="shared" si="127"/>
        <v>22.92533317391533</v>
      </c>
      <c r="N1711" s="4">
        <f t="shared" si="128"/>
        <v>25.34721166935164</v>
      </c>
      <c r="O1711" s="36">
        <f>1/M1711-(G1711/100-(((E1711/E1591)^(1/10))-1))</f>
        <v>4.4899452656777153E-2</v>
      </c>
      <c r="P1711" s="48">
        <v>0.05</v>
      </c>
      <c r="R1711" s="30"/>
      <c r="S1711" s="30"/>
    </row>
    <row r="1712" spans="1:19" ht="13" x14ac:dyDescent="0.3">
      <c r="A1712" s="52" t="s">
        <v>1728</v>
      </c>
      <c r="B1712" s="6">
        <v>1668.68</v>
      </c>
      <c r="C1712" s="1">
        <f>C1711*2/3+C1714/3</f>
        <v>33.646666666666668</v>
      </c>
      <c r="D1712" s="6">
        <f>D1711*2/3+D1714/3</f>
        <v>92.09</v>
      </c>
      <c r="E1712" s="6">
        <v>233.596</v>
      </c>
      <c r="F1712" s="2">
        <f t="shared" si="130"/>
        <v>2013.5416666665371</v>
      </c>
      <c r="G1712" s="17">
        <v>2.58</v>
      </c>
      <c r="H1712" s="1">
        <f>B1712*$E$1867/E1712</f>
        <v>2393.9485358054076</v>
      </c>
      <c r="I1712" s="1">
        <f>C1712*$E$1867/E1712</f>
        <v>48.270722008653117</v>
      </c>
      <c r="J1712" s="26">
        <f t="shared" si="131"/>
        <v>1307340.0934154217</v>
      </c>
      <c r="K1712" s="1">
        <f>D1712*$E$1867/E1712</f>
        <v>132.11563670824845</v>
      </c>
      <c r="L1712" s="26">
        <f t="shared" si="129"/>
        <v>72148.613995868713</v>
      </c>
      <c r="M1712" s="10">
        <f t="shared" si="127"/>
        <v>23.492460177159643</v>
      </c>
      <c r="N1712" s="4">
        <f t="shared" si="128"/>
        <v>25.976012306614166</v>
      </c>
      <c r="O1712" s="36">
        <f>1/M1712-(G1712/100-(((E1712/E1592)^(1/10))-1))</f>
        <v>4.0975328731904306E-2</v>
      </c>
      <c r="P1712" s="48">
        <v>0.04</v>
      </c>
      <c r="R1712" s="30"/>
      <c r="S1712" s="30"/>
    </row>
    <row r="1713" spans="1:19" ht="13" x14ac:dyDescent="0.3">
      <c r="A1713" s="52" t="s">
        <v>1729</v>
      </c>
      <c r="B1713" s="6">
        <v>1670.09</v>
      </c>
      <c r="C1713" s="1">
        <f>C1711/3+C1714*2/3</f>
        <v>34.023333333333333</v>
      </c>
      <c r="D1713" s="6">
        <f>D1711/3+D1714*2/3</f>
        <v>93.23</v>
      </c>
      <c r="E1713" s="6">
        <v>233.87700000000001</v>
      </c>
      <c r="F1713" s="2">
        <f t="shared" si="130"/>
        <v>2013.6249999998704</v>
      </c>
      <c r="G1713" s="17">
        <v>2.74</v>
      </c>
      <c r="H1713" s="1">
        <f>B1713*$E$1867/E1713</f>
        <v>2393.092646016923</v>
      </c>
      <c r="I1713" s="1">
        <f>C1713*$E$1867/E1713</f>
        <v>48.75245573171653</v>
      </c>
      <c r="J1713" s="26">
        <f t="shared" si="131"/>
        <v>1309091.3414353672</v>
      </c>
      <c r="K1713" s="1">
        <f>D1713*$E$1867/E1713</f>
        <v>133.59042170670907</v>
      </c>
      <c r="L1713" s="26">
        <f t="shared" si="129"/>
        <v>73077.849554227199</v>
      </c>
      <c r="M1713" s="10">
        <f t="shared" si="127"/>
        <v>23.356649094916104</v>
      </c>
      <c r="N1713" s="4">
        <f t="shared" si="128"/>
        <v>25.827397250944159</v>
      </c>
      <c r="O1713" s="36">
        <f>1/M1713-(G1713/100-(((E1713/E1593)^(1/10))-1))</f>
        <v>3.9356890135809043E-2</v>
      </c>
      <c r="P1713" s="48">
        <v>0.04</v>
      </c>
      <c r="R1713" s="30"/>
      <c r="S1713" s="30"/>
    </row>
    <row r="1714" spans="1:19" ht="13" x14ac:dyDescent="0.3">
      <c r="A1714" s="52" t="s">
        <v>1730</v>
      </c>
      <c r="B1714" s="6">
        <v>1687.17</v>
      </c>
      <c r="C1714" s="1">
        <v>34.4</v>
      </c>
      <c r="D1714" s="6">
        <v>94.37</v>
      </c>
      <c r="E1714" s="6">
        <v>234.149</v>
      </c>
      <c r="F1714" s="2">
        <f t="shared" si="130"/>
        <v>2013.7083333332037</v>
      </c>
      <c r="G1714" s="17">
        <v>2.81</v>
      </c>
      <c r="H1714" s="1">
        <f>B1714*$E$1867/E1714</f>
        <v>2414.7584146953436</v>
      </c>
      <c r="I1714" s="1">
        <f>C1714*$E$1867/E1714</f>
        <v>49.234925624281971</v>
      </c>
      <c r="J1714" s="26">
        <f t="shared" si="131"/>
        <v>1323187.559067332</v>
      </c>
      <c r="K1714" s="1">
        <f>D1714*$E$1867/E1714</f>
        <v>135.06685846405495</v>
      </c>
      <c r="L1714" s="26">
        <f t="shared" si="129"/>
        <v>74011.042129236608</v>
      </c>
      <c r="M1714" s="10">
        <f t="shared" si="127"/>
        <v>23.442287167960608</v>
      </c>
      <c r="N1714" s="4">
        <f t="shared" si="128"/>
        <v>25.923107076121411</v>
      </c>
      <c r="O1714" s="36">
        <f>1/M1714-(G1714/100-(((E1714/E1594)^(1/10))-1))</f>
        <v>3.8287251690726387E-2</v>
      </c>
      <c r="P1714" s="48">
        <v>0.02</v>
      </c>
      <c r="R1714" s="30"/>
      <c r="S1714" s="30"/>
    </row>
    <row r="1715" spans="1:19" ht="13" x14ac:dyDescent="0.3">
      <c r="A1715" s="52" t="s">
        <v>1731</v>
      </c>
      <c r="B1715" s="6">
        <v>1720.03</v>
      </c>
      <c r="C1715" s="1">
        <f>C1714*2/3+C1717/3</f>
        <v>34.596666666666664</v>
      </c>
      <c r="D1715" s="6">
        <f>D1714*2/3+D1717/3</f>
        <v>96.313333333333333</v>
      </c>
      <c r="E1715" s="6">
        <v>233.54599999999999</v>
      </c>
      <c r="F1715" s="2">
        <f t="shared" si="130"/>
        <v>2013.7916666665369</v>
      </c>
      <c r="G1715" s="17">
        <v>2.62</v>
      </c>
      <c r="H1715" s="1">
        <f>B1715*$E$1867/E1715</f>
        <v>2468.1453921604307</v>
      </c>
      <c r="I1715" s="1">
        <f>C1715*$E$1867/E1715</f>
        <v>49.644252377832771</v>
      </c>
      <c r="J1715" s="26">
        <f t="shared" si="131"/>
        <v>1354708.3268158841</v>
      </c>
      <c r="K1715" s="1">
        <f>D1715*$E$1867/E1715</f>
        <v>138.20416496821468</v>
      </c>
      <c r="L1715" s="26">
        <f t="shared" si="129"/>
        <v>75857.09240540021</v>
      </c>
      <c r="M1715" s="10">
        <f t="shared" si="127"/>
        <v>23.834737887631437</v>
      </c>
      <c r="N1715" s="4">
        <f t="shared" si="128"/>
        <v>26.35691895458957</v>
      </c>
      <c r="O1715" s="36">
        <f>1/M1715-(G1715/100-(((E1715/E1595)^(1/10))-1))</f>
        <v>3.9331513230855555E-2</v>
      </c>
      <c r="P1715" s="48">
        <v>0.05</v>
      </c>
      <c r="R1715" s="30"/>
      <c r="S1715" s="30"/>
    </row>
    <row r="1716" spans="1:19" ht="13" x14ac:dyDescent="0.3">
      <c r="A1716" s="52" t="s">
        <v>1732</v>
      </c>
      <c r="B1716" s="6">
        <v>1783.54</v>
      </c>
      <c r="C1716" s="1">
        <f>C1714/3+C1717*2/3</f>
        <v>34.793333333333337</v>
      </c>
      <c r="D1716" s="6">
        <f>D1714/3+D1717*2/3</f>
        <v>98.256666666666661</v>
      </c>
      <c r="E1716" s="6">
        <v>233.06899999999999</v>
      </c>
      <c r="F1716" s="2">
        <f t="shared" si="130"/>
        <v>2013.8749999998702</v>
      </c>
      <c r="G1716" s="17">
        <v>2.72</v>
      </c>
      <c r="H1716" s="1">
        <f>B1716*$E$1867/E1716</f>
        <v>2564.5164667330278</v>
      </c>
      <c r="I1716" s="1">
        <f>C1716*$E$1867/E1716</f>
        <v>50.028637577999085</v>
      </c>
      <c r="J1716" s="26">
        <f t="shared" si="131"/>
        <v>1409892.4940908318</v>
      </c>
      <c r="K1716" s="1">
        <f>D1716*$E$1867/E1716</f>
        <v>141.28129429839805</v>
      </c>
      <c r="L1716" s="26">
        <f t="shared" si="129"/>
        <v>77672.122199512305</v>
      </c>
      <c r="M1716" s="10">
        <f t="shared" si="127"/>
        <v>24.642077092412062</v>
      </c>
      <c r="N1716" s="4">
        <f t="shared" si="128"/>
        <v>27.24631600813289</v>
      </c>
      <c r="O1716" s="36">
        <f>1/M1716-(G1716/100-(((E1716/E1596)^(1/10))-1))</f>
        <v>3.7024686012149387E-2</v>
      </c>
      <c r="P1716" s="48">
        <v>7.0000000000000007E-2</v>
      </c>
      <c r="R1716" s="30"/>
      <c r="S1716" s="30"/>
    </row>
    <row r="1717" spans="1:19" ht="13" x14ac:dyDescent="0.3">
      <c r="A1717" s="52" t="s">
        <v>1733</v>
      </c>
      <c r="B1717" s="6">
        <v>1807.78</v>
      </c>
      <c r="C1717" s="1">
        <v>34.99</v>
      </c>
      <c r="D1717" s="6">
        <v>100.2</v>
      </c>
      <c r="E1717" s="6">
        <v>233.04900000000001</v>
      </c>
      <c r="F1717" s="2">
        <f t="shared" si="130"/>
        <v>2013.9583333332034</v>
      </c>
      <c r="G1717" s="17">
        <v>2.9</v>
      </c>
      <c r="H1717" s="1">
        <f>B1717*$E$1867/E1717</f>
        <v>2599.5937525799291</v>
      </c>
      <c r="I1717" s="1">
        <f>C1717*$E$1867/E1717</f>
        <v>50.315738310398245</v>
      </c>
      <c r="J1717" s="26">
        <f t="shared" si="131"/>
        <v>1431482.0807549783</v>
      </c>
      <c r="K1717" s="1">
        <f>D1717*$E$1867/E1717</f>
        <v>144.0879388025694</v>
      </c>
      <c r="L1717" s="26">
        <f t="shared" si="129"/>
        <v>79342.898190957334</v>
      </c>
      <c r="M1717" s="10">
        <f t="shared" si="127"/>
        <v>24.861869296461943</v>
      </c>
      <c r="N1717" s="4">
        <f t="shared" si="128"/>
        <v>27.483753598662712</v>
      </c>
      <c r="O1717" s="36">
        <f>1/M1717-(G1717/100-(((E1717/E1597)^(1/10))-1))</f>
        <v>3.4968173305041067E-2</v>
      </c>
      <c r="P1717" s="48">
        <v>7.0000000000000007E-2</v>
      </c>
      <c r="R1717" s="30"/>
      <c r="S1717" s="30"/>
    </row>
    <row r="1718" spans="1:19" ht="13" x14ac:dyDescent="0.3">
      <c r="A1718" s="52" t="s">
        <v>1734</v>
      </c>
      <c r="B1718" s="6">
        <v>1822.36</v>
      </c>
      <c r="C1718" s="1">
        <f>C1717*2/3+C1720/3</f>
        <v>35.403333333333336</v>
      </c>
      <c r="D1718" s="6">
        <f>D1717*2/3+D1720/3</f>
        <v>100.41666666666666</v>
      </c>
      <c r="E1718" s="6">
        <v>233.916</v>
      </c>
      <c r="F1718" s="2">
        <f t="shared" si="130"/>
        <v>2014.0416666665367</v>
      </c>
      <c r="G1718" s="17">
        <v>2.86</v>
      </c>
      <c r="H1718" s="1">
        <f>B1718*$E$1867/E1718</f>
        <v>2610.8468449785391</v>
      </c>
      <c r="I1718" s="1">
        <f>C1718*$E$1867/E1718</f>
        <v>50.721416808455459</v>
      </c>
      <c r="J1718" s="26">
        <f t="shared" si="131"/>
        <v>1440006.1690690403</v>
      </c>
      <c r="K1718" s="1">
        <f>D1718*$E$1867/E1718</f>
        <v>143.86429539165053</v>
      </c>
      <c r="L1718" s="26">
        <f t="shared" si="129"/>
        <v>79347.999010815329</v>
      </c>
      <c r="M1718" s="10">
        <f t="shared" si="127"/>
        <v>24.859609093632717</v>
      </c>
      <c r="N1718" s="4">
        <f t="shared" si="128"/>
        <v>27.474102609349316</v>
      </c>
      <c r="O1718" s="36">
        <f>1/M1718-(G1718/100-(((E1718/E1598)^(1/10))-1))</f>
        <v>3.5253275788467701E-2</v>
      </c>
      <c r="P1718" s="48">
        <v>0.04</v>
      </c>
      <c r="R1718" s="30"/>
      <c r="S1718" s="30"/>
    </row>
    <row r="1719" spans="1:19" ht="13" x14ac:dyDescent="0.3">
      <c r="A1719" s="52" t="s">
        <v>1735</v>
      </c>
      <c r="B1719" s="6">
        <v>1817.04</v>
      </c>
      <c r="C1719" s="1">
        <f>C1717/3+C1720*2/3</f>
        <v>35.816666666666663</v>
      </c>
      <c r="D1719" s="6">
        <f>D1717/3+D1720*2/3</f>
        <v>100.63333333333333</v>
      </c>
      <c r="E1719" s="6">
        <v>234.78100000000001</v>
      </c>
      <c r="F1719" s="2">
        <f t="shared" si="130"/>
        <v>2014.1249999998699</v>
      </c>
      <c r="G1719" s="17">
        <v>2.71</v>
      </c>
      <c r="H1719" s="1">
        <f>B1719*$E$1867/E1719</f>
        <v>2593.6340004514841</v>
      </c>
      <c r="I1719" s="1">
        <f>C1719*$E$1867/E1719</f>
        <v>51.124534654990526</v>
      </c>
      <c r="J1719" s="26">
        <f t="shared" si="131"/>
        <v>1432862.2678858307</v>
      </c>
      <c r="K1719" s="1">
        <f>D1719*$E$1867/E1719</f>
        <v>143.6435273368231</v>
      </c>
      <c r="L1719" s="26">
        <f t="shared" si="129"/>
        <v>79356.374226715314</v>
      </c>
      <c r="M1719" s="10">
        <f t="shared" si="127"/>
        <v>24.590930877894134</v>
      </c>
      <c r="N1719" s="4">
        <f t="shared" si="128"/>
        <v>27.170675136889432</v>
      </c>
      <c r="O1719" s="36">
        <f>1/M1719-(G1719/100-(((E1719/E1599)^(1/10))-1))</f>
        <v>3.7019397023219047E-2</v>
      </c>
      <c r="P1719" s="48">
        <v>0.05</v>
      </c>
      <c r="R1719" s="30"/>
      <c r="S1719" s="30"/>
    </row>
    <row r="1720" spans="1:19" ht="13" x14ac:dyDescent="0.3">
      <c r="A1720" s="52" t="s">
        <v>1736</v>
      </c>
      <c r="B1720" s="6">
        <v>1863.52</v>
      </c>
      <c r="C1720" s="1">
        <v>36.229999999999997</v>
      </c>
      <c r="D1720" s="6">
        <v>100.85</v>
      </c>
      <c r="E1720" s="6">
        <v>236.29300000000001</v>
      </c>
      <c r="F1720" s="2">
        <f t="shared" si="130"/>
        <v>2014.2083333332032</v>
      </c>
      <c r="G1720" s="17">
        <v>2.72</v>
      </c>
      <c r="H1720" s="1">
        <f>B1720*$E$1867/E1720</f>
        <v>2642.9585551836062</v>
      </c>
      <c r="I1720" s="1">
        <f>C1720*$E$1867/E1720</f>
        <v>51.383611903441903</v>
      </c>
      <c r="J1720" s="26">
        <f t="shared" si="131"/>
        <v>1462477.3805936764</v>
      </c>
      <c r="K1720" s="1">
        <f>D1720*$E$1867/E1720</f>
        <v>143.03166603538824</v>
      </c>
      <c r="L1720" s="26">
        <f t="shared" si="129"/>
        <v>79146.370220267156</v>
      </c>
      <c r="M1720" s="10">
        <f t="shared" si="127"/>
        <v>24.956039153965392</v>
      </c>
      <c r="N1720" s="4">
        <f t="shared" si="128"/>
        <v>27.566812365082871</v>
      </c>
      <c r="O1720" s="36">
        <f>1/M1720-(G1720/100-(((E1720/E1600)^(1/10))-1))</f>
        <v>3.632398818406106E-2</v>
      </c>
      <c r="P1720" s="48">
        <v>0.05</v>
      </c>
      <c r="R1720" s="30"/>
      <c r="S1720" s="30"/>
    </row>
    <row r="1721" spans="1:19" ht="13" x14ac:dyDescent="0.3">
      <c r="A1721" s="52" t="s">
        <v>1737</v>
      </c>
      <c r="B1721" s="6">
        <v>1864.26</v>
      </c>
      <c r="C1721" s="1">
        <f>C1720*2/3+C1723/3</f>
        <v>36.61333333333333</v>
      </c>
      <c r="D1721" s="6">
        <f>D1720*2/3+D1723/3</f>
        <v>101.60666666666667</v>
      </c>
      <c r="E1721" s="6">
        <v>237.072</v>
      </c>
      <c r="F1721" s="2">
        <f t="shared" si="130"/>
        <v>2014.2916666665365</v>
      </c>
      <c r="G1721" s="17">
        <v>2.71</v>
      </c>
      <c r="H1721" s="1">
        <f>B1721*$E$1867/E1721</f>
        <v>2635.3200654864345</v>
      </c>
      <c r="I1721" s="1">
        <f>C1721*$E$1867/E1721</f>
        <v>51.756649822276209</v>
      </c>
      <c r="J1721" s="26">
        <f t="shared" si="131"/>
        <v>1460637.255535299</v>
      </c>
      <c r="K1721" s="1">
        <f>D1721*$E$1867/E1721</f>
        <v>143.63130006214706</v>
      </c>
      <c r="L1721" s="26">
        <f t="shared" si="129"/>
        <v>79608.253539790545</v>
      </c>
      <c r="M1721" s="10">
        <f t="shared" si="127"/>
        <v>24.786315396962646</v>
      </c>
      <c r="N1721" s="4">
        <f t="shared" si="128"/>
        <v>27.372610571113693</v>
      </c>
      <c r="O1721" s="36">
        <f>1/M1721-(G1721/100-(((E1721/E1601)^(1/10))-1))</f>
        <v>3.6708065945364882E-2</v>
      </c>
      <c r="P1721" s="48">
        <v>0.03</v>
      </c>
      <c r="R1721" s="30"/>
      <c r="S1721" s="30"/>
    </row>
    <row r="1722" spans="1:19" ht="13" x14ac:dyDescent="0.3">
      <c r="A1722" s="52" t="s">
        <v>1738</v>
      </c>
      <c r="B1722" s="6">
        <v>1889.77</v>
      </c>
      <c r="C1722" s="1">
        <f>C1720/3+C1723*2/3</f>
        <v>36.99666666666667</v>
      </c>
      <c r="D1722" s="6">
        <f>D1720/3+D1723*2/3</f>
        <v>102.36333333333334</v>
      </c>
      <c r="E1722" s="6">
        <v>237.9</v>
      </c>
      <c r="F1722" s="2">
        <f t="shared" si="130"/>
        <v>2014.3749999998697</v>
      </c>
      <c r="G1722" s="17">
        <v>2.56</v>
      </c>
      <c r="H1722" s="1">
        <f>B1722*$E$1867/E1722</f>
        <v>2662.0834119062629</v>
      </c>
      <c r="I1722" s="1">
        <f>C1722*$E$1867/E1722</f>
        <v>52.116507632758868</v>
      </c>
      <c r="J1722" s="26">
        <f t="shared" si="131"/>
        <v>1477878.1026143215</v>
      </c>
      <c r="K1722" s="1">
        <f>D1722*$E$1867/E1722</f>
        <v>144.19730001751438</v>
      </c>
      <c r="L1722" s="26">
        <f t="shared" si="129"/>
        <v>80052.349674269368</v>
      </c>
      <c r="M1722" s="10">
        <f t="shared" ref="M1722:M1785" si="132">H1722/AVERAGE(K1602:K1721)</f>
        <v>24.943274109902593</v>
      </c>
      <c r="N1722" s="4">
        <f t="shared" ref="N1722:N1785" si="133">J1722/AVERAGE(L1602:L1721)</f>
        <v>27.538632386895777</v>
      </c>
      <c r="O1722" s="36">
        <f>1/M1722-(G1722/100-(((E1722/E1602)^(1/10))-1))</f>
        <v>3.77139623445997E-2</v>
      </c>
      <c r="P1722" s="48">
        <v>0.03</v>
      </c>
      <c r="R1722" s="30"/>
      <c r="S1722" s="30"/>
    </row>
    <row r="1723" spans="1:19" ht="13" x14ac:dyDescent="0.3">
      <c r="A1723" s="52" t="s">
        <v>1739</v>
      </c>
      <c r="B1723" s="6">
        <v>1947.09</v>
      </c>
      <c r="C1723" s="1">
        <v>37.380000000000003</v>
      </c>
      <c r="D1723" s="6">
        <v>103.12</v>
      </c>
      <c r="E1723" s="6">
        <v>238.34299999999999</v>
      </c>
      <c r="F1723" s="2">
        <f t="shared" si="130"/>
        <v>2014.458333333203</v>
      </c>
      <c r="G1723" s="17">
        <v>2.6</v>
      </c>
      <c r="H1723" s="1">
        <f>B1723*$E$1867/E1723</f>
        <v>2737.7310138015382</v>
      </c>
      <c r="I1723" s="1">
        <f>C1723*$E$1867/E1723</f>
        <v>52.558631237334431</v>
      </c>
      <c r="J1723" s="26">
        <f t="shared" si="131"/>
        <v>1522306.0387731821</v>
      </c>
      <c r="K1723" s="1">
        <f>D1723*$E$1867/E1723</f>
        <v>144.99320634547689</v>
      </c>
      <c r="L1723" s="26">
        <f t="shared" si="129"/>
        <v>80622.980303062795</v>
      </c>
      <c r="M1723" s="10">
        <f t="shared" si="132"/>
        <v>25.558007623511305</v>
      </c>
      <c r="N1723" s="4">
        <f t="shared" si="133"/>
        <v>28.208601072722175</v>
      </c>
      <c r="O1723" s="36">
        <f>1/M1723-(G1723/100-(((E1723/E1603)^(1/10))-1))</f>
        <v>3.6215896801316851E-2</v>
      </c>
      <c r="P1723" s="48">
        <v>0.04</v>
      </c>
      <c r="R1723" s="30"/>
      <c r="S1723" s="30"/>
    </row>
    <row r="1724" spans="1:19" ht="13" x14ac:dyDescent="0.3">
      <c r="A1724" s="52" t="s">
        <v>1740</v>
      </c>
      <c r="B1724" s="6">
        <v>1973.1</v>
      </c>
      <c r="C1724" s="1">
        <f>C1723*2/3+C1726/3</f>
        <v>37.75</v>
      </c>
      <c r="D1724" s="6">
        <f>D1723*2/3+D1726/3</f>
        <v>104.06666666666666</v>
      </c>
      <c r="E1724" s="6">
        <v>238.25</v>
      </c>
      <c r="F1724" s="2">
        <f t="shared" si="130"/>
        <v>2014.5416666665362</v>
      </c>
      <c r="G1724" s="17">
        <v>2.54</v>
      </c>
      <c r="H1724" s="1">
        <f>B1724*$E$1867/E1724</f>
        <v>2775.3856485834208</v>
      </c>
      <c r="I1724" s="1">
        <f>C1724*$E$1867/E1724</f>
        <v>53.099593651626435</v>
      </c>
      <c r="J1724" s="26">
        <f t="shared" si="131"/>
        <v>1545704.258052584</v>
      </c>
      <c r="K1724" s="1">
        <f>D1724*$E$1867/E1724</f>
        <v>146.38139636236446</v>
      </c>
      <c r="L1724" s="26">
        <f t="shared" si="129"/>
        <v>81524.651456087158</v>
      </c>
      <c r="M1724" s="10">
        <f t="shared" si="132"/>
        <v>25.817545976158744</v>
      </c>
      <c r="N1724" s="4">
        <f t="shared" si="133"/>
        <v>28.485636237139385</v>
      </c>
      <c r="O1724" s="36">
        <f>1/M1724-(G1724/100-(((E1724/E1604)^(1/10))-1))</f>
        <v>3.6544567621686556E-2</v>
      </c>
      <c r="P1724" s="48">
        <v>0.03</v>
      </c>
      <c r="R1724" s="30"/>
      <c r="S1724" s="30"/>
    </row>
    <row r="1725" spans="1:19" ht="13" x14ac:dyDescent="0.3">
      <c r="A1725" s="52" t="s">
        <v>1741</v>
      </c>
      <c r="B1725" s="6">
        <v>1961.53</v>
      </c>
      <c r="C1725" s="1">
        <f>C1723/3+C1726*2/3</f>
        <v>38.120000000000005</v>
      </c>
      <c r="D1725" s="6">
        <f>D1723/3+D1726*2/3</f>
        <v>105.01333333333334</v>
      </c>
      <c r="E1725" s="6">
        <v>237.852</v>
      </c>
      <c r="F1725" s="2">
        <f t="shared" si="130"/>
        <v>2014.6249999998695</v>
      </c>
      <c r="G1725" s="17">
        <v>2.42</v>
      </c>
      <c r="H1725" s="1">
        <f>B1725*$E$1867/E1725</f>
        <v>2763.7279973786217</v>
      </c>
      <c r="I1725" s="1">
        <f>C1725*$E$1867/E1725</f>
        <v>53.70976291979887</v>
      </c>
      <c r="J1725" s="26">
        <f t="shared" si="131"/>
        <v>1541704.4546349444</v>
      </c>
      <c r="K1725" s="1">
        <f>D1725*$E$1867/E1725</f>
        <v>147.96015836178239</v>
      </c>
      <c r="L1725" s="26">
        <f t="shared" si="129"/>
        <v>82537.368174875897</v>
      </c>
      <c r="M1725" s="10">
        <f t="shared" si="132"/>
        <v>25.617606421799405</v>
      </c>
      <c r="N1725" s="4">
        <f t="shared" si="133"/>
        <v>28.256055533515148</v>
      </c>
      <c r="O1725" s="36">
        <f>1/M1725-(G1725/100-(((E1725/E1605)^(1/10))-1))</f>
        <v>3.782181591426468E-2</v>
      </c>
      <c r="P1725" s="48">
        <v>0.03</v>
      </c>
      <c r="R1725" s="30"/>
      <c r="S1725" s="30"/>
    </row>
    <row r="1726" spans="1:19" ht="13" x14ac:dyDescent="0.3">
      <c r="A1726" s="52" t="s">
        <v>1742</v>
      </c>
      <c r="B1726" s="6">
        <v>1993.23</v>
      </c>
      <c r="C1726" s="1">
        <v>38.49</v>
      </c>
      <c r="D1726" s="6">
        <v>105.96</v>
      </c>
      <c r="E1726" s="6">
        <v>238.03100000000001</v>
      </c>
      <c r="F1726" s="2">
        <f t="shared" si="130"/>
        <v>2014.7083333332027</v>
      </c>
      <c r="G1726" s="17">
        <v>2.5299999999999998</v>
      </c>
      <c r="H1726" s="1">
        <f>B1726*$E$1867/E1726</f>
        <v>2806.2802830618703</v>
      </c>
      <c r="I1726" s="1">
        <f>C1726*$E$1867/E1726</f>
        <v>54.190298206956236</v>
      </c>
      <c r="J1726" s="26">
        <f t="shared" si="131"/>
        <v>1567960.7168793583</v>
      </c>
      <c r="K1726" s="1">
        <f>D1726*$E$1867/E1726</f>
        <v>149.18170948321855</v>
      </c>
      <c r="L1726" s="26">
        <f t="shared" si="129"/>
        <v>83352.707695818724</v>
      </c>
      <c r="M1726" s="10">
        <f t="shared" si="132"/>
        <v>25.918436892606206</v>
      </c>
      <c r="N1726" s="4">
        <f t="shared" si="133"/>
        <v>28.578155878854169</v>
      </c>
      <c r="O1726" s="36">
        <f>1/M1726-(G1726/100-(((E1726/E1606)^(1/10))-1))</f>
        <v>3.6129997383744894E-2</v>
      </c>
      <c r="P1726" s="48">
        <v>0.02</v>
      </c>
      <c r="R1726" s="30"/>
      <c r="S1726" s="30"/>
    </row>
    <row r="1727" spans="1:19" ht="13" x14ac:dyDescent="0.3">
      <c r="A1727" s="52" t="s">
        <v>1743</v>
      </c>
      <c r="B1727" s="6">
        <v>1937.27</v>
      </c>
      <c r="C1727" s="1">
        <f>C1726*2/3+C1729/3</f>
        <v>38.806666666666665</v>
      </c>
      <c r="D1727" s="6">
        <f>D1726*2/3+D1729/3</f>
        <v>104.74333333333334</v>
      </c>
      <c r="E1727" s="6">
        <v>237.43299999999999</v>
      </c>
      <c r="F1727" s="2">
        <f t="shared" si="130"/>
        <v>2014.791666666536</v>
      </c>
      <c r="G1727" s="17">
        <v>2.2999999999999998</v>
      </c>
      <c r="H1727" s="1">
        <f>B1727*$E$1867/E1727</f>
        <v>2734.363349102694</v>
      </c>
      <c r="I1727" s="1">
        <f>C1727*$E$1867/E1727</f>
        <v>54.773741932811923</v>
      </c>
      <c r="J1727" s="26">
        <f t="shared" si="131"/>
        <v>1530328.6938089794</v>
      </c>
      <c r="K1727" s="1">
        <f>D1727*$E$1867/E1727</f>
        <v>147.84017288736894</v>
      </c>
      <c r="L1727" s="26">
        <f t="shared" si="129"/>
        <v>82741.036863833404</v>
      </c>
      <c r="M1727" s="10">
        <f t="shared" si="132"/>
        <v>25.162748283083261</v>
      </c>
      <c r="N1727" s="4">
        <f t="shared" si="133"/>
        <v>27.73694561828826</v>
      </c>
      <c r="O1727" s="36">
        <f>1/M1727-(G1727/100-(((E1727/E1607)^(1/10))-1))</f>
        <v>3.8794517149685917E-2</v>
      </c>
      <c r="P1727" s="48">
        <v>0.02</v>
      </c>
      <c r="R1727" s="30"/>
      <c r="S1727" s="30"/>
    </row>
    <row r="1728" spans="1:19" ht="13" x14ac:dyDescent="0.3">
      <c r="A1728" s="52" t="s">
        <v>1744</v>
      </c>
      <c r="B1728" s="6">
        <v>2044.57</v>
      </c>
      <c r="C1728" s="1">
        <f>C1726/3+C1729*2/3</f>
        <v>39.123333333333335</v>
      </c>
      <c r="D1728" s="6">
        <f>D1726/3+D1729*2/3</f>
        <v>103.52666666666667</v>
      </c>
      <c r="E1728" s="6">
        <v>236.15100000000001</v>
      </c>
      <c r="F1728" s="2">
        <f t="shared" si="130"/>
        <v>2014.8749999998693</v>
      </c>
      <c r="G1728" s="17">
        <v>2.33</v>
      </c>
      <c r="H1728" s="1">
        <f>B1728*$E$1867/E1728</f>
        <v>2901.478428600768</v>
      </c>
      <c r="I1728" s="1">
        <f>C1728*$E$1867/E1728</f>
        <v>55.520479964796536</v>
      </c>
      <c r="J1728" s="26">
        <f t="shared" si="131"/>
        <v>1626446.6378180175</v>
      </c>
      <c r="K1728" s="1">
        <f>D1728*$E$1867/E1728</f>
        <v>146.91616824969336</v>
      </c>
      <c r="L1728" s="26">
        <f t="shared" si="129"/>
        <v>82355.01788860574</v>
      </c>
      <c r="M1728" s="10">
        <f t="shared" si="132"/>
        <v>26.606817147143431</v>
      </c>
      <c r="N1728" s="4">
        <f t="shared" si="133"/>
        <v>29.318654523381483</v>
      </c>
      <c r="O1728" s="36">
        <f>1/M1728-(G1728/100-(((E1728/E1608)^(1/10))-1))</f>
        <v>3.5730893913858877E-2</v>
      </c>
      <c r="P1728" s="48">
        <v>0.02</v>
      </c>
      <c r="R1728" s="30"/>
      <c r="S1728" s="30"/>
    </row>
    <row r="1729" spans="1:19" ht="13" x14ac:dyDescent="0.3">
      <c r="A1729" s="52" t="s">
        <v>1745</v>
      </c>
      <c r="B1729" s="6">
        <v>2054.27</v>
      </c>
      <c r="C1729" s="1">
        <v>39.44</v>
      </c>
      <c r="D1729" s="6">
        <v>102.31</v>
      </c>
      <c r="E1729" s="6">
        <v>234.81200000000001</v>
      </c>
      <c r="F1729" s="2">
        <f t="shared" si="130"/>
        <v>2014.9583333332025</v>
      </c>
      <c r="G1729" s="17">
        <v>2.21</v>
      </c>
      <c r="H1729" s="1">
        <f>B1729*$E$1867/E1729</f>
        <v>2931.8678232692532</v>
      </c>
      <c r="I1729" s="1">
        <f>C1729*$E$1867/E1729</f>
        <v>56.289030628758319</v>
      </c>
      <c r="J1729" s="26">
        <f t="shared" si="131"/>
        <v>1646111.0912701425</v>
      </c>
      <c r="K1729" s="1">
        <f>D1729*$E$1867/E1729</f>
        <v>146.01751327657871</v>
      </c>
      <c r="L1729" s="26">
        <f t="shared" si="129"/>
        <v>81982.22519330385</v>
      </c>
      <c r="M1729" s="10">
        <f t="shared" si="132"/>
        <v>26.794085482572559</v>
      </c>
      <c r="N1729" s="4">
        <f t="shared" si="133"/>
        <v>29.515332882231405</v>
      </c>
      <c r="O1729" s="36">
        <f>1/M1729-(G1729/100-(((E1729/E1609)^(1/10))-1))</f>
        <v>3.6462452421064523E-2</v>
      </c>
      <c r="P1729" s="48">
        <v>0.03</v>
      </c>
      <c r="R1729" s="30"/>
      <c r="S1729" s="30"/>
    </row>
    <row r="1730" spans="1:19" ht="13" x14ac:dyDescent="0.3">
      <c r="A1730" s="52" t="s">
        <v>1746</v>
      </c>
      <c r="B1730" s="6">
        <v>2028.18</v>
      </c>
      <c r="C1730" s="1">
        <f>C1729*2/3+C1732/3</f>
        <v>39.896666666666668</v>
      </c>
      <c r="D1730" s="6">
        <f>D1729*2/3+D1732/3</f>
        <v>101.28999999999999</v>
      </c>
      <c r="E1730" s="6">
        <v>233.70699999999999</v>
      </c>
      <c r="F1730" s="2">
        <f t="shared" si="130"/>
        <v>2015.0416666665358</v>
      </c>
      <c r="G1730" s="17">
        <v>1.88</v>
      </c>
      <c r="H1730" s="1">
        <f>B1730*$E$1867/E1730</f>
        <v>2908.3182341350494</v>
      </c>
      <c r="I1730" s="1">
        <f>C1730*$E$1867/E1730</f>
        <v>57.210012497842747</v>
      </c>
      <c r="J1730" s="26">
        <f t="shared" si="131"/>
        <v>1635565.7988523692</v>
      </c>
      <c r="K1730" s="1">
        <f>D1730*$E$1867/E1730</f>
        <v>145.24527109799877</v>
      </c>
      <c r="L1730" s="26">
        <f t="shared" si="129"/>
        <v>81682.325910795131</v>
      </c>
      <c r="M1730" s="10">
        <f t="shared" si="132"/>
        <v>26.492295420383126</v>
      </c>
      <c r="N1730" s="4">
        <f t="shared" si="133"/>
        <v>29.174671165351562</v>
      </c>
      <c r="O1730" s="36">
        <f>1/M1730-(G1730/100-(((E1730/E1610)^(1/10))-1))</f>
        <v>3.949169066533733E-2</v>
      </c>
      <c r="P1730" s="48">
        <v>0.03</v>
      </c>
      <c r="R1730" s="30"/>
      <c r="S1730" s="30"/>
    </row>
    <row r="1731" spans="1:19" ht="13" x14ac:dyDescent="0.3">
      <c r="A1731" s="52" t="s">
        <v>1747</v>
      </c>
      <c r="B1731" s="6">
        <v>2082.1999999999998</v>
      </c>
      <c r="C1731" s="1">
        <f>C1729/3+C1732*2/3</f>
        <v>40.353333333333332</v>
      </c>
      <c r="D1731" s="6">
        <f>D1729/3+D1732*2/3</f>
        <v>100.27000000000001</v>
      </c>
      <c r="E1731" s="6">
        <v>234.72200000000001</v>
      </c>
      <c r="F1731" s="2">
        <f t="shared" si="130"/>
        <v>2015.124999999869</v>
      </c>
      <c r="G1731" s="17">
        <v>1.98</v>
      </c>
      <c r="H1731" s="1">
        <f>B1731*$E$1867/E1731</f>
        <v>2972.8691624560115</v>
      </c>
      <c r="I1731" s="1">
        <f>C1731*$E$1867/E1731</f>
        <v>57.614628887222608</v>
      </c>
      <c r="J1731" s="26">
        <f t="shared" si="131"/>
        <v>1674567.7206588378</v>
      </c>
      <c r="K1731" s="1">
        <f>D1731*$E$1867/E1731</f>
        <v>143.16088316178289</v>
      </c>
      <c r="L1731" s="26">
        <f t="shared" ref="L1731:L1789" si="134">K1731*(J1731/H1731)</f>
        <v>80640.142805908021</v>
      </c>
      <c r="M1731" s="10">
        <f t="shared" si="132"/>
        <v>26.995513699383253</v>
      </c>
      <c r="N1731" s="4">
        <f t="shared" si="133"/>
        <v>29.719916695619297</v>
      </c>
      <c r="O1731" s="36">
        <f>1/M1731-(G1731/100-(((E1731/E1611)^(1/10))-1))</f>
        <v>3.7643355355397083E-2</v>
      </c>
      <c r="P1731" s="48">
        <v>0.02</v>
      </c>
      <c r="R1731" s="30"/>
      <c r="S1731" s="30"/>
    </row>
    <row r="1732" spans="1:19" ht="13" x14ac:dyDescent="0.3">
      <c r="A1732" s="52" t="s">
        <v>1748</v>
      </c>
      <c r="B1732" s="6">
        <v>2079.9899999999998</v>
      </c>
      <c r="C1732" s="1">
        <v>40.81</v>
      </c>
      <c r="D1732" s="6">
        <v>99.25</v>
      </c>
      <c r="E1732" s="6">
        <v>236.119</v>
      </c>
      <c r="F1732" s="2">
        <f t="shared" ref="F1732:F1790" si="135">F1731+1/12</f>
        <v>2015.2083333332023</v>
      </c>
      <c r="G1732" s="17">
        <v>2.04</v>
      </c>
      <c r="H1732" s="1">
        <f>B1732*$E$1867/E1732</f>
        <v>2952.1434901363291</v>
      </c>
      <c r="I1732" s="1">
        <f>C1732*$E$1867/E1732</f>
        <v>57.921901467056863</v>
      </c>
      <c r="J1732" s="26">
        <f t="shared" ref="J1732:J1792" si="136">J1731*((H1732+(I1732/12))/H1731)</f>
        <v>1665612.1646428762</v>
      </c>
      <c r="K1732" s="1">
        <f>D1732*$E$1867/E1732</f>
        <v>140.86617791240857</v>
      </c>
      <c r="L1732" s="26">
        <f t="shared" si="134"/>
        <v>79477.308708602199</v>
      </c>
      <c r="M1732" s="10">
        <f t="shared" si="132"/>
        <v>26.728605452928488</v>
      </c>
      <c r="N1732" s="4">
        <f t="shared" si="133"/>
        <v>29.418369171807694</v>
      </c>
      <c r="O1732" s="36">
        <f>1/M1732-(G1732/100-(((E1732/E1612)^(1/10))-1))</f>
        <v>3.7223880316747768E-2</v>
      </c>
      <c r="P1732" s="48">
        <v>0.03</v>
      </c>
      <c r="R1732" s="30"/>
      <c r="S1732" s="30"/>
    </row>
    <row r="1733" spans="1:19" ht="13" x14ac:dyDescent="0.3">
      <c r="A1733" s="52" t="s">
        <v>1749</v>
      </c>
      <c r="B1733" s="6">
        <v>2094.86</v>
      </c>
      <c r="C1733" s="1">
        <f>C1732*2/3+C1735/3</f>
        <v>41.120000000000005</v>
      </c>
      <c r="D1733" s="6">
        <f>D1732*2/3+D1735/3</f>
        <v>97.803333333333342</v>
      </c>
      <c r="E1733" s="6">
        <v>236.59899999999999</v>
      </c>
      <c r="F1733" s="2">
        <f t="shared" si="135"/>
        <v>2015.2916666665355</v>
      </c>
      <c r="G1733" s="17">
        <v>1.94</v>
      </c>
      <c r="H1733" s="1">
        <f>B1733*$E$1867/E1733</f>
        <v>2967.2166036838703</v>
      </c>
      <c r="I1733" s="1">
        <f>C1733*$E$1867/E1733</f>
        <v>58.243484883706195</v>
      </c>
      <c r="J1733" s="26">
        <f t="shared" si="136"/>
        <v>1676854.9162703566</v>
      </c>
      <c r="K1733" s="1">
        <f>D1733*$E$1867/E1733</f>
        <v>138.53129782529373</v>
      </c>
      <c r="L1733" s="26">
        <f t="shared" si="134"/>
        <v>78287.809365603651</v>
      </c>
      <c r="M1733" s="10">
        <f t="shared" si="132"/>
        <v>26.791371680192338</v>
      </c>
      <c r="N1733" s="4">
        <f t="shared" si="133"/>
        <v>29.480373846198784</v>
      </c>
      <c r="O1733" s="36">
        <f>1/M1733-(G1733/100-(((E1733/E1613)^(1/10))-1))</f>
        <v>3.7659701264943529E-2</v>
      </c>
      <c r="P1733" s="48">
        <v>0.02</v>
      </c>
      <c r="R1733" s="30"/>
      <c r="S1733" s="30"/>
    </row>
    <row r="1734" spans="1:19" ht="13" x14ac:dyDescent="0.3">
      <c r="A1734" s="52" t="s">
        <v>1750</v>
      </c>
      <c r="B1734" s="6">
        <v>2111.94</v>
      </c>
      <c r="C1734" s="1">
        <f>C1732/3+C1735*2/3</f>
        <v>41.43</v>
      </c>
      <c r="D1734" s="6">
        <f>D1732/3+D1735*2/3</f>
        <v>96.356666666666669</v>
      </c>
      <c r="E1734" s="6">
        <v>237.80500000000001</v>
      </c>
      <c r="F1734" s="2">
        <f t="shared" si="135"/>
        <v>2015.3749999998688</v>
      </c>
      <c r="G1734" s="17">
        <v>2.2000000000000002</v>
      </c>
      <c r="H1734" s="1">
        <f>B1734*$E$1867/E1734</f>
        <v>2976.2386008914868</v>
      </c>
      <c r="I1734" s="1">
        <f>C1734*$E$1867/E1734</f>
        <v>58.384975536679207</v>
      </c>
      <c r="J1734" s="26">
        <f t="shared" si="136"/>
        <v>1684703.0709288362</v>
      </c>
      <c r="K1734" s="1">
        <f>D1734*$E$1867/E1734</f>
        <v>135.79004649117275</v>
      </c>
      <c r="L1734" s="26">
        <f t="shared" si="134"/>
        <v>76864.102312470786</v>
      </c>
      <c r="M1734" s="10">
        <f t="shared" si="132"/>
        <v>26.806111379650833</v>
      </c>
      <c r="N1734" s="4">
        <f t="shared" si="133"/>
        <v>29.489896186353285</v>
      </c>
      <c r="O1734" s="36">
        <f>1/M1734-(G1734/100-(((E1734/E1614)^(1/10))-1))</f>
        <v>3.566268687821994E-2</v>
      </c>
      <c r="P1734" s="48">
        <v>0.02</v>
      </c>
      <c r="R1734" s="30"/>
      <c r="S1734" s="30"/>
    </row>
    <row r="1735" spans="1:19" ht="13" x14ac:dyDescent="0.3">
      <c r="A1735" s="52" t="s">
        <v>1751</v>
      </c>
      <c r="B1735" s="6">
        <v>2099.29</v>
      </c>
      <c r="C1735" s="1">
        <v>41.74</v>
      </c>
      <c r="D1735" s="6">
        <v>94.91</v>
      </c>
      <c r="E1735" s="6">
        <v>238.63800000000001</v>
      </c>
      <c r="F1735" s="2">
        <f t="shared" si="135"/>
        <v>2015.4583333332021</v>
      </c>
      <c r="G1735" s="17">
        <v>2.36</v>
      </c>
      <c r="H1735" s="1">
        <f>B1735*$E$1867/E1735</f>
        <v>2948.0849071501602</v>
      </c>
      <c r="I1735" s="1">
        <f>C1735*$E$1867/E1735</f>
        <v>58.616515119134419</v>
      </c>
      <c r="J1735" s="26">
        <f t="shared" si="136"/>
        <v>1671531.6373482428</v>
      </c>
      <c r="K1735" s="1">
        <f>D1735*$E$1867/E1735</f>
        <v>133.2844621455929</v>
      </c>
      <c r="L1735" s="26">
        <f t="shared" si="134"/>
        <v>75570.820468216261</v>
      </c>
      <c r="M1735" s="10">
        <f t="shared" si="132"/>
        <v>26.495895292784855</v>
      </c>
      <c r="N1735" s="4">
        <f t="shared" si="133"/>
        <v>29.142936079173268</v>
      </c>
      <c r="O1735" s="36">
        <f>1/M1735-(G1735/100-(((E1735/E1615)^(1/10))-1))</f>
        <v>3.4803820835284577E-2</v>
      </c>
      <c r="P1735" s="48">
        <v>0.02</v>
      </c>
      <c r="R1735" s="30"/>
      <c r="S1735" s="30"/>
    </row>
    <row r="1736" spans="1:19" ht="13" x14ac:dyDescent="0.3">
      <c r="A1736" s="52" t="s">
        <v>1752</v>
      </c>
      <c r="B1736" s="6">
        <v>2094.14</v>
      </c>
      <c r="C1736" s="1">
        <f>C1735*2/3+C1738/3</f>
        <v>41.99666666666667</v>
      </c>
      <c r="D1736" s="6">
        <f>D1735*2/3+D1738/3</f>
        <v>93.493333333333339</v>
      </c>
      <c r="E1736" s="6">
        <v>238.654</v>
      </c>
      <c r="F1736" s="2">
        <f t="shared" si="135"/>
        <v>2015.5416666665353</v>
      </c>
      <c r="G1736" s="17">
        <v>2.3199999999999998</v>
      </c>
      <c r="H1736" s="1">
        <f>B1736*$E$1867/E1736</f>
        <v>2940.6554720851104</v>
      </c>
      <c r="I1736" s="1">
        <f>C1736*$E$1867/E1736</f>
        <v>58.97300449954048</v>
      </c>
      <c r="J1736" s="26">
        <f t="shared" si="136"/>
        <v>1670105.6498590584</v>
      </c>
      <c r="K1736" s="1">
        <f>D1736*$E$1867/E1736</f>
        <v>131.28619971450999</v>
      </c>
      <c r="L1736" s="26">
        <f t="shared" si="134"/>
        <v>74562.228038314657</v>
      </c>
      <c r="M1736" s="10">
        <f t="shared" si="132"/>
        <v>26.381136336399702</v>
      </c>
      <c r="N1736" s="4">
        <f t="shared" si="133"/>
        <v>29.011703864238939</v>
      </c>
      <c r="O1736" s="36">
        <f>1/M1736-(G1736/100-(((E1736/E1616)^(1/10))-1))</f>
        <v>3.4903750808582497E-2</v>
      </c>
      <c r="P1736" s="48">
        <v>0.03</v>
      </c>
      <c r="R1736" s="30"/>
      <c r="S1736" s="30"/>
    </row>
    <row r="1737" spans="1:19" ht="13" x14ac:dyDescent="0.3">
      <c r="A1737" s="52" t="s">
        <v>1753</v>
      </c>
      <c r="B1737" s="6">
        <v>2039.87</v>
      </c>
      <c r="C1737" s="1">
        <f>C1735/3+C1738*2/3</f>
        <v>42.25333333333333</v>
      </c>
      <c r="D1737" s="6">
        <f>D1735/3+D1738*2/3</f>
        <v>92.076666666666668</v>
      </c>
      <c r="E1737" s="6">
        <v>238.316</v>
      </c>
      <c r="F1737" s="2">
        <f t="shared" si="135"/>
        <v>2015.6249999998686</v>
      </c>
      <c r="G1737" s="17">
        <v>2.17</v>
      </c>
      <c r="H1737" s="1">
        <f>B1737*$E$1867/E1737</f>
        <v>2868.5104806957988</v>
      </c>
      <c r="I1737" s="1">
        <f>C1737*$E$1867/E1737</f>
        <v>59.4175753900983</v>
      </c>
      <c r="J1737" s="26">
        <f t="shared" si="136"/>
        <v>1631943.9917649338</v>
      </c>
      <c r="K1737" s="1">
        <f>D1737*$E$1867/E1737</f>
        <v>129.4802528400667</v>
      </c>
      <c r="L1737" s="26">
        <f t="shared" si="134"/>
        <v>73663.499609489445</v>
      </c>
      <c r="M1737" s="10">
        <f t="shared" si="132"/>
        <v>25.693658417057708</v>
      </c>
      <c r="N1737" s="4">
        <f t="shared" si="133"/>
        <v>28.252525181771944</v>
      </c>
      <c r="O1737" s="36">
        <f>1/M1737-(G1737/100-(((E1737/E1617)^(1/10))-1))</f>
        <v>3.6752837833655225E-2</v>
      </c>
      <c r="P1737" s="48">
        <v>7.0000000000000007E-2</v>
      </c>
      <c r="R1737" s="30"/>
      <c r="S1737" s="30"/>
    </row>
    <row r="1738" spans="1:19" ht="13" x14ac:dyDescent="0.3">
      <c r="A1738" s="52" t="s">
        <v>1754</v>
      </c>
      <c r="B1738" s="6">
        <v>1944.41</v>
      </c>
      <c r="C1738" s="1">
        <v>42.51</v>
      </c>
      <c r="D1738" s="6">
        <v>90.66</v>
      </c>
      <c r="E1738" s="6">
        <v>237.94499999999999</v>
      </c>
      <c r="F1738" s="2">
        <f t="shared" si="135"/>
        <v>2015.7083333332018</v>
      </c>
      <c r="G1738" s="17">
        <v>2.17</v>
      </c>
      <c r="H1738" s="1">
        <f>B1738*$E$1867/E1738</f>
        <v>2738.5357429342916</v>
      </c>
      <c r="I1738" s="1">
        <f>C1738*$E$1867/E1738</f>
        <v>59.871711435415747</v>
      </c>
      <c r="J1738" s="26">
        <f t="shared" si="136"/>
        <v>1560837.6735447438</v>
      </c>
      <c r="K1738" s="1">
        <f>D1738*$E$1867/E1738</f>
        <v>127.68688211561495</v>
      </c>
      <c r="L1738" s="26">
        <f t="shared" si="134"/>
        <v>72775.568673050671</v>
      </c>
      <c r="M1738" s="10">
        <f t="shared" si="132"/>
        <v>24.496752170486442</v>
      </c>
      <c r="N1738" s="4">
        <f t="shared" si="133"/>
        <v>26.936105268538284</v>
      </c>
      <c r="O1738" s="36">
        <f>1/M1738-(G1738/100-(((E1738/E1618)^(1/10))-1))</f>
        <v>3.7258269041931774E-2</v>
      </c>
      <c r="P1738" s="48">
        <v>0.02</v>
      </c>
      <c r="R1738" s="30"/>
      <c r="S1738" s="30"/>
    </row>
    <row r="1739" spans="1:19" ht="13" x14ac:dyDescent="0.3">
      <c r="A1739" s="52" t="s">
        <v>1755</v>
      </c>
      <c r="B1739" s="6">
        <v>2024.81</v>
      </c>
      <c r="C1739" s="1">
        <f>C1738*2/3+C1741/3</f>
        <v>42.803333333333335</v>
      </c>
      <c r="D1739" s="6">
        <f>D1738*2/3+D1741/3</f>
        <v>89.283333333333331</v>
      </c>
      <c r="E1739" s="6">
        <v>237.83799999999999</v>
      </c>
      <c r="F1739" s="2">
        <f t="shared" si="135"/>
        <v>2015.7916666665351</v>
      </c>
      <c r="G1739" s="17">
        <v>2.0699999999999998</v>
      </c>
      <c r="H1739" s="1">
        <f>B1739*$E$1867/E1739</f>
        <v>2853.0552622057871</v>
      </c>
      <c r="I1739" s="1">
        <f>C1739*$E$1867/E1739</f>
        <v>60.311967743450026</v>
      </c>
      <c r="J1739" s="26">
        <f t="shared" si="136"/>
        <v>1628973.0435022989</v>
      </c>
      <c r="K1739" s="1">
        <f>D1739*$E$1867/E1739</f>
        <v>125.80453671897118</v>
      </c>
      <c r="L1739" s="26">
        <f t="shared" si="134"/>
        <v>71829.032469234269</v>
      </c>
      <c r="M1739" s="10">
        <f t="shared" si="132"/>
        <v>25.491441046066754</v>
      </c>
      <c r="N1739" s="4">
        <f t="shared" si="133"/>
        <v>28.02809026145157</v>
      </c>
      <c r="O1739" s="36">
        <f>1/M1739-(G1739/100-(((E1739/E1619)^(1/10))-1))</f>
        <v>3.6414970181741099E-2</v>
      </c>
      <c r="P1739" s="48">
        <v>0.02</v>
      </c>
      <c r="R1739" s="30"/>
      <c r="S1739" s="30"/>
    </row>
    <row r="1740" spans="1:19" ht="13" x14ac:dyDescent="0.3">
      <c r="A1740" s="52" t="s">
        <v>1756</v>
      </c>
      <c r="B1740" s="6">
        <v>2080.62</v>
      </c>
      <c r="C1740" s="1">
        <f>C1738/3+C1741*2/3</f>
        <v>43.096666666666664</v>
      </c>
      <c r="D1740" s="6">
        <f>D1738/3+D1741*2/3</f>
        <v>87.906666666666666</v>
      </c>
      <c r="E1740" s="6">
        <v>237.33600000000001</v>
      </c>
      <c r="F1740" s="2">
        <f t="shared" si="135"/>
        <v>2015.8749999998684</v>
      </c>
      <c r="G1740" s="17">
        <v>2.2599999999999998</v>
      </c>
      <c r="H1740" s="1">
        <f>B1740*$E$1867/E1740</f>
        <v>2937.8952103979168</v>
      </c>
      <c r="I1740" s="1">
        <f>C1740*$E$1867/E1740</f>
        <v>60.853731380124934</v>
      </c>
      <c r="J1740" s="26">
        <f t="shared" si="136"/>
        <v>1680308.4480042218</v>
      </c>
      <c r="K1740" s="1">
        <f>D1740*$E$1867/E1740</f>
        <v>124.12673864619497</v>
      </c>
      <c r="L1740" s="26">
        <f t="shared" si="134"/>
        <v>70993.412846118503</v>
      </c>
      <c r="M1740" s="10">
        <f t="shared" si="132"/>
        <v>26.225851890971938</v>
      </c>
      <c r="N1740" s="4">
        <f t="shared" si="133"/>
        <v>28.832783137035261</v>
      </c>
      <c r="O1740" s="36">
        <f>1/M1740-(G1740/100-(((E1740/E1620)^(1/10))-1))</f>
        <v>3.4022422553502657E-2</v>
      </c>
      <c r="P1740" s="48">
        <v>0.12</v>
      </c>
      <c r="R1740" s="30"/>
      <c r="S1740" s="30"/>
    </row>
    <row r="1741" spans="1:19" ht="13" x14ac:dyDescent="0.3">
      <c r="A1741" s="52" t="s">
        <v>1757</v>
      </c>
      <c r="B1741" s="6">
        <v>2054.08</v>
      </c>
      <c r="C1741" s="1">
        <v>43.39</v>
      </c>
      <c r="D1741" s="6">
        <v>86.53</v>
      </c>
      <c r="E1741" s="6">
        <v>236.52500000000001</v>
      </c>
      <c r="F1741" s="2">
        <f t="shared" si="135"/>
        <v>2015.9583333332016</v>
      </c>
      <c r="G1741" s="17">
        <v>2.2400000000000002</v>
      </c>
      <c r="H1741" s="1">
        <f>B1741*$E$1867/E1741</f>
        <v>2910.3649657330088</v>
      </c>
      <c r="I1741" s="1">
        <f>C1741*$E$1867/E1741</f>
        <v>61.478002737554164</v>
      </c>
      <c r="J1741" s="26">
        <f t="shared" si="136"/>
        <v>1667492.877884855</v>
      </c>
      <c r="K1741" s="1">
        <f>D1741*$E$1867/E1741</f>
        <v>122.60178789768523</v>
      </c>
      <c r="L1741" s="26">
        <f t="shared" si="134"/>
        <v>70244.663656418692</v>
      </c>
      <c r="M1741" s="10">
        <f t="shared" si="132"/>
        <v>25.965424037124173</v>
      </c>
      <c r="N1741" s="4">
        <f t="shared" si="133"/>
        <v>28.544376783609195</v>
      </c>
      <c r="O1741" s="36">
        <f>1/M1741-(G1741/100-(((E1741/E1621)^(1/10))-1))</f>
        <v>3.4669421198152708E-2</v>
      </c>
      <c r="P1741" s="48">
        <v>0.23</v>
      </c>
      <c r="R1741" s="30"/>
      <c r="S1741" s="30"/>
    </row>
    <row r="1742" spans="1:19" ht="13" x14ac:dyDescent="0.3">
      <c r="A1742" s="52" t="s">
        <v>1758</v>
      </c>
      <c r="B1742" s="6">
        <v>1918.6</v>
      </c>
      <c r="C1742" s="1">
        <f>C1741*2/3+C1744/3</f>
        <v>43.553333333333335</v>
      </c>
      <c r="D1742" s="6">
        <f>D1741*2/3+D1744/3</f>
        <v>86.5</v>
      </c>
      <c r="E1742" s="6">
        <v>236.916</v>
      </c>
      <c r="F1742" s="2">
        <f t="shared" si="135"/>
        <v>2016.0416666665349</v>
      </c>
      <c r="G1742" s="17">
        <v>2.09</v>
      </c>
      <c r="H1742" s="1">
        <f>B1742*$E$1867/E1742</f>
        <v>2713.9209873963764</v>
      </c>
      <c r="I1742" s="1">
        <f>C1742*$E$1867/E1742</f>
        <v>61.607581259461867</v>
      </c>
      <c r="J1742" s="26">
        <f t="shared" si="136"/>
        <v>1557881.8537391142</v>
      </c>
      <c r="K1742" s="1">
        <f>D1742*$E$1867/E1742</f>
        <v>122.3570131396782</v>
      </c>
      <c r="L1742" s="26">
        <f t="shared" si="134"/>
        <v>70237.037604729179</v>
      </c>
      <c r="M1742" s="10">
        <f t="shared" si="132"/>
        <v>24.206167203878476</v>
      </c>
      <c r="N1742" s="4">
        <f t="shared" si="133"/>
        <v>26.611684960823318</v>
      </c>
      <c r="O1742" s="36">
        <f>1/M1742-(G1742/100-(((E1742/E1622)^(1/10))-1))</f>
        <v>3.8363476058954779E-2</v>
      </c>
      <c r="P1742" s="48">
        <v>0.26</v>
      </c>
      <c r="R1742" s="30"/>
      <c r="S1742" s="30"/>
    </row>
    <row r="1743" spans="1:19" ht="13" x14ac:dyDescent="0.3">
      <c r="A1743" s="52" t="s">
        <v>1759</v>
      </c>
      <c r="B1743" s="6">
        <v>1904.42</v>
      </c>
      <c r="C1743" s="1">
        <f>C1741/3+C1744*2/3</f>
        <v>43.716666666666669</v>
      </c>
      <c r="D1743" s="6">
        <f>D1741/3+D1744*2/3</f>
        <v>86.47</v>
      </c>
      <c r="E1743" s="6">
        <v>237.11099999999999</v>
      </c>
      <c r="F1743" s="2">
        <f t="shared" si="135"/>
        <v>2016.1249999998681</v>
      </c>
      <c r="G1743" s="17">
        <v>1.78</v>
      </c>
      <c r="H1743" s="1">
        <f>B1743*$E$1867/E1743</f>
        <v>2691.647492545686</v>
      </c>
      <c r="I1743" s="1">
        <f>C1743*$E$1867/E1743</f>
        <v>61.787765417181546</v>
      </c>
      <c r="J1743" s="26">
        <f t="shared" si="136"/>
        <v>1548051.8069689269</v>
      </c>
      <c r="K1743" s="1">
        <f>D1743*$E$1867/E1743</f>
        <v>122.21398571765967</v>
      </c>
      <c r="L1743" s="26">
        <f t="shared" si="134"/>
        <v>70289.13776824603</v>
      </c>
      <c r="M1743" s="10">
        <f t="shared" si="132"/>
        <v>24.002606777289767</v>
      </c>
      <c r="N1743" s="4">
        <f t="shared" si="133"/>
        <v>26.389562040454319</v>
      </c>
      <c r="O1743" s="36">
        <f>1/M1743-(G1743/100-(((E1743/E1623)^(1/10))-1))</f>
        <v>4.1692460653196012E-2</v>
      </c>
      <c r="P1743" s="48">
        <v>0.31</v>
      </c>
      <c r="R1743" s="30"/>
      <c r="S1743" s="30"/>
    </row>
    <row r="1744" spans="1:19" ht="13" x14ac:dyDescent="0.3">
      <c r="A1744" s="52" t="s">
        <v>1760</v>
      </c>
      <c r="B1744" s="6">
        <v>2021.95</v>
      </c>
      <c r="C1744" s="1">
        <v>43.88</v>
      </c>
      <c r="D1744" s="6">
        <v>86.44</v>
      </c>
      <c r="E1744" s="6">
        <v>238.13200000000001</v>
      </c>
      <c r="F1744" s="2">
        <f t="shared" si="135"/>
        <v>2016.2083333332014</v>
      </c>
      <c r="G1744" s="17">
        <v>1.89</v>
      </c>
      <c r="H1744" s="1">
        <f>B1744*$E$1867/E1744</f>
        <v>2845.5079503699631</v>
      </c>
      <c r="I1744" s="1">
        <f>C1744*$E$1867/E1744</f>
        <v>61.752708455814428</v>
      </c>
      <c r="J1744" s="26">
        <f t="shared" si="136"/>
        <v>1639501.4958416913</v>
      </c>
      <c r="K1744" s="1">
        <f>D1744*$E$1867/E1744</f>
        <v>121.6477693464129</v>
      </c>
      <c r="L1744" s="26">
        <f t="shared" si="134"/>
        <v>70090.016716810889</v>
      </c>
      <c r="M1744" s="10">
        <f t="shared" si="132"/>
        <v>25.372298620187919</v>
      </c>
      <c r="N1744" s="4">
        <f t="shared" si="133"/>
        <v>27.893951322288952</v>
      </c>
      <c r="O1744" s="36">
        <f>1/M1744-(G1744/100-(((E1744/E1624)^(1/10))-1))</f>
        <v>3.8218811175538887E-2</v>
      </c>
      <c r="P1744" s="48">
        <v>0.28999999999999998</v>
      </c>
      <c r="R1744" s="30"/>
      <c r="S1744" s="30"/>
    </row>
    <row r="1745" spans="1:19" ht="13" x14ac:dyDescent="0.3">
      <c r="A1745" s="52" t="s">
        <v>1761</v>
      </c>
      <c r="B1745" s="6">
        <v>2075.54</v>
      </c>
      <c r="C1745" s="1">
        <f>C1744*2/3+C1747/3</f>
        <v>44.073333333333338</v>
      </c>
      <c r="D1745" s="6">
        <f>D1744*2/3+D1747/3</f>
        <v>86.6</v>
      </c>
      <c r="E1745" s="6">
        <v>239.261</v>
      </c>
      <c r="F1745" s="2">
        <f t="shared" si="135"/>
        <v>2016.2916666665346</v>
      </c>
      <c r="G1745" s="17">
        <v>1.81</v>
      </c>
      <c r="H1745" s="1">
        <f>B1745*$E$1867/E1745</f>
        <v>2907.1426658962387</v>
      </c>
      <c r="I1745" s="1">
        <f>C1745*$E$1867/E1745</f>
        <v>61.73211201017579</v>
      </c>
      <c r="J1745" s="26">
        <f t="shared" si="136"/>
        <v>1677977.7073684889</v>
      </c>
      <c r="K1745" s="1">
        <f>D1745*$E$1867/E1745</f>
        <v>121.29785736079009</v>
      </c>
      <c r="L1745" s="26">
        <f t="shared" si="134"/>
        <v>70012.078523233053</v>
      </c>
      <c r="M1745" s="10">
        <f t="shared" si="132"/>
        <v>25.92233754367388</v>
      </c>
      <c r="N1745" s="4">
        <f t="shared" si="133"/>
        <v>28.495838319794867</v>
      </c>
      <c r="O1745" s="36">
        <f>1/M1745-(G1745/100-(((E1745/E1625)^(1/10))-1))</f>
        <v>3.7801695835920898E-2</v>
      </c>
      <c r="P1745" s="48">
        <v>0.23</v>
      </c>
      <c r="R1745" s="30"/>
      <c r="S1745" s="30"/>
    </row>
    <row r="1746" spans="1:19" ht="13" x14ac:dyDescent="0.3">
      <c r="A1746" s="52" t="s">
        <v>1762</v>
      </c>
      <c r="B1746" s="6">
        <v>2065.5500000000002</v>
      </c>
      <c r="C1746" s="1">
        <f>C1744/3+C1747*2/3</f>
        <v>44.266666666666666</v>
      </c>
      <c r="D1746" s="6">
        <f>D1744/3+D1747*2/3</f>
        <v>86.759999999999991</v>
      </c>
      <c r="E1746" s="6">
        <v>240.22900000000001</v>
      </c>
      <c r="F1746" s="2">
        <f t="shared" si="135"/>
        <v>2016.3749999998679</v>
      </c>
      <c r="G1746" s="17">
        <v>1.81</v>
      </c>
      <c r="H1746" s="1">
        <f>B1746*$E$1867/E1746</f>
        <v>2881.4920768828911</v>
      </c>
      <c r="I1746" s="1">
        <f>C1746*$E$1867/E1746</f>
        <v>61.753067836661401</v>
      </c>
      <c r="J1746" s="26">
        <f t="shared" si="136"/>
        <v>1666142.6865593649</v>
      </c>
      <c r="K1746" s="1">
        <f>D1746*$E$1867/E1746</f>
        <v>121.03229289552883</v>
      </c>
      <c r="L1746" s="26">
        <f t="shared" si="134"/>
        <v>69983.558609518266</v>
      </c>
      <c r="M1746" s="10">
        <f t="shared" si="132"/>
        <v>25.694709923449974</v>
      </c>
      <c r="N1746" s="4">
        <f t="shared" si="133"/>
        <v>28.243292837964674</v>
      </c>
      <c r="O1746" s="36">
        <f>1/M1746-(G1746/100-(((E1746/E1626)^(1/10))-1))</f>
        <v>3.8050579748610744E-2</v>
      </c>
      <c r="P1746" s="48">
        <v>0.27</v>
      </c>
      <c r="R1746" s="30"/>
      <c r="S1746" s="30"/>
    </row>
    <row r="1747" spans="1:19" ht="13" x14ac:dyDescent="0.3">
      <c r="A1747" s="52" t="s">
        <v>1763</v>
      </c>
      <c r="B1747" s="6">
        <v>2083.89</v>
      </c>
      <c r="C1747" s="1">
        <v>44.46</v>
      </c>
      <c r="D1747" s="6">
        <v>86.92</v>
      </c>
      <c r="E1747" s="6">
        <v>241.018</v>
      </c>
      <c r="F1747" s="2">
        <f t="shared" si="135"/>
        <v>2016.4583333332012</v>
      </c>
      <c r="G1747" s="17">
        <v>1.64</v>
      </c>
      <c r="H1747" s="1">
        <f>B1747*$E$1867/E1747</f>
        <v>2897.5601707030178</v>
      </c>
      <c r="I1747" s="1">
        <f>C1747*$E$1867/E1747</f>
        <v>61.819733858052096</v>
      </c>
      <c r="J1747" s="26">
        <f t="shared" si="136"/>
        <v>1678412.4103169674</v>
      </c>
      <c r="K1747" s="1">
        <f>D1747*$E$1867/E1747</f>
        <v>120.85855301263805</v>
      </c>
      <c r="L1747" s="26">
        <f t="shared" si="134"/>
        <v>70007.345255628083</v>
      </c>
      <c r="M1747" s="10">
        <f t="shared" si="132"/>
        <v>25.840372927670515</v>
      </c>
      <c r="N1747" s="4">
        <f t="shared" si="133"/>
        <v>28.400742884581803</v>
      </c>
      <c r="O1747" s="36">
        <f>1/M1747-(G1747/100-(((E1747/E1627)^(1/10))-1))</f>
        <v>3.9664015774759066E-2</v>
      </c>
      <c r="P1747" s="48">
        <v>0.27</v>
      </c>
      <c r="R1747" s="30"/>
      <c r="S1747" s="30"/>
    </row>
    <row r="1748" spans="1:19" ht="13" x14ac:dyDescent="0.3">
      <c r="A1748" s="52" t="s">
        <v>1764</v>
      </c>
      <c r="B1748" s="6">
        <v>2148.9</v>
      </c>
      <c r="C1748" s="1">
        <f>C1747*2/3+C1750/3</f>
        <v>44.65</v>
      </c>
      <c r="D1748" s="6">
        <f>D1747*2/3+D1750/3</f>
        <v>87.643333333333331</v>
      </c>
      <c r="E1748" s="6">
        <v>240.62799999999999</v>
      </c>
      <c r="F1748" s="2">
        <f t="shared" si="135"/>
        <v>2016.5416666665344</v>
      </c>
      <c r="G1748" s="17">
        <v>1.5</v>
      </c>
      <c r="H1748" s="1">
        <f>B1748*$E$1867/E1748</f>
        <v>2992.7965561987803</v>
      </c>
      <c r="I1748" s="1">
        <f>C1748*$E$1867/E1748</f>
        <v>62.184543829063955</v>
      </c>
      <c r="J1748" s="26">
        <f t="shared" si="136"/>
        <v>1736579.8099824968</v>
      </c>
      <c r="K1748" s="1">
        <f>D1748*$E$1867/E1748</f>
        <v>122.06182985424252</v>
      </c>
      <c r="L1748" s="26">
        <f t="shared" si="134"/>
        <v>70826.768647323101</v>
      </c>
      <c r="M1748" s="10">
        <f t="shared" si="132"/>
        <v>26.694003256096298</v>
      </c>
      <c r="N1748" s="4">
        <f t="shared" si="133"/>
        <v>29.334649115975498</v>
      </c>
      <c r="O1748" s="36">
        <f>1/M1748-(G1748/100-(((E1748/E1628)^(1/10))-1))</f>
        <v>3.9361427411852348E-2</v>
      </c>
      <c r="P1748" s="48">
        <v>0.3</v>
      </c>
      <c r="R1748" s="30"/>
      <c r="S1748" s="30"/>
    </row>
    <row r="1749" spans="1:19" ht="13" x14ac:dyDescent="0.3">
      <c r="A1749" s="52" t="s">
        <v>1765</v>
      </c>
      <c r="B1749" s="6">
        <v>2170.9499999999998</v>
      </c>
      <c r="C1749" s="1">
        <f>C1747/3+C1750*2/3</f>
        <v>44.84</v>
      </c>
      <c r="D1749" s="6">
        <f>D1747/3+D1750*2/3</f>
        <v>88.366666666666674</v>
      </c>
      <c r="E1749" s="6">
        <v>240.84899999999999</v>
      </c>
      <c r="F1749" s="2">
        <f t="shared" si="135"/>
        <v>2016.6249999998677</v>
      </c>
      <c r="G1749" s="17">
        <v>1.56</v>
      </c>
      <c r="H1749" s="1">
        <f>B1749*$E$1867/E1749</f>
        <v>3020.7315018434788</v>
      </c>
      <c r="I1749" s="1">
        <f>C1749*$E$1867/E1749</f>
        <v>62.391856349829155</v>
      </c>
      <c r="J1749" s="26">
        <f t="shared" si="136"/>
        <v>1755806.0747895939</v>
      </c>
      <c r="K1749" s="1">
        <f>D1749*$E$1867/E1749</f>
        <v>122.95629734121104</v>
      </c>
      <c r="L1749" s="26">
        <f t="shared" si="134"/>
        <v>71468.587550261625</v>
      </c>
      <c r="M1749" s="10">
        <f t="shared" si="132"/>
        <v>26.948872433723864</v>
      </c>
      <c r="N1749" s="4">
        <f t="shared" si="133"/>
        <v>29.60932774413779</v>
      </c>
      <c r="O1749" s="36">
        <f>1/M1749-(G1749/100-(((E1749/E1629)^(1/10))-1))</f>
        <v>3.8300806050264369E-2</v>
      </c>
      <c r="P1749" s="48">
        <v>0.3</v>
      </c>
      <c r="R1749" s="30"/>
      <c r="S1749" s="30"/>
    </row>
    <row r="1750" spans="1:19" ht="13" x14ac:dyDescent="0.3">
      <c r="A1750" s="52" t="s">
        <v>1766</v>
      </c>
      <c r="B1750" s="6">
        <v>2157.69</v>
      </c>
      <c r="C1750" s="1">
        <v>45.03</v>
      </c>
      <c r="D1750" s="6">
        <v>89.09</v>
      </c>
      <c r="E1750" s="6">
        <v>241.428</v>
      </c>
      <c r="F1750" s="2">
        <f t="shared" si="135"/>
        <v>2016.7083333332009</v>
      </c>
      <c r="G1750" s="17">
        <v>1.63</v>
      </c>
      <c r="H1750" s="1">
        <f>B1750*$E$1867/E1750</f>
        <v>2995.0809378883146</v>
      </c>
      <c r="I1750" s="1">
        <f>C1750*$E$1867/E1750</f>
        <v>62.505964542223765</v>
      </c>
      <c r="J1750" s="26">
        <f t="shared" si="136"/>
        <v>1743924.2772941196</v>
      </c>
      <c r="K1750" s="1">
        <f>D1750*$E$1867/E1750</f>
        <v>123.66547592864126</v>
      </c>
      <c r="L1750" s="26">
        <f t="shared" si="134"/>
        <v>72005.808927201375</v>
      </c>
      <c r="M1750" s="10">
        <f t="shared" si="132"/>
        <v>26.727873346478539</v>
      </c>
      <c r="N1750" s="4">
        <f t="shared" si="133"/>
        <v>29.360965010602932</v>
      </c>
      <c r="O1750" s="36">
        <f>1/M1750-(G1750/100-(((E1750/E1630)^(1/10))-1))</f>
        <v>3.8651942503325015E-2</v>
      </c>
      <c r="P1750" s="48">
        <v>0.28999999999999998</v>
      </c>
      <c r="R1750" s="30"/>
      <c r="S1750" s="30"/>
    </row>
    <row r="1751" spans="1:19" ht="13" x14ac:dyDescent="0.3">
      <c r="A1751" s="52" t="s">
        <v>1767</v>
      </c>
      <c r="B1751" s="6">
        <v>2143.02</v>
      </c>
      <c r="C1751" s="1">
        <f>C1750*2/3+C1753/3</f>
        <v>45.25333333333333</v>
      </c>
      <c r="D1751" s="6">
        <f>D1750*2/3+D1753/3</f>
        <v>90.91</v>
      </c>
      <c r="E1751" s="6">
        <v>241.72900000000001</v>
      </c>
      <c r="F1751" s="2">
        <f t="shared" si="135"/>
        <v>2016.7916666665342</v>
      </c>
      <c r="G1751" s="17">
        <v>1.76</v>
      </c>
      <c r="H1751" s="1">
        <f>B1751*$E$1867/E1751</f>
        <v>2971.0134624103848</v>
      </c>
      <c r="I1751" s="1">
        <f>C1751*$E$1867/E1751</f>
        <v>62.737754455057789</v>
      </c>
      <c r="J1751" s="26">
        <f t="shared" si="136"/>
        <v>1732954.83627765</v>
      </c>
      <c r="K1751" s="1">
        <f>D1751*$E$1867/E1751</f>
        <v>126.03467716947489</v>
      </c>
      <c r="L1751" s="26">
        <f t="shared" si="134"/>
        <v>73514.44417970955</v>
      </c>
      <c r="M1751" s="10">
        <f t="shared" si="132"/>
        <v>26.525143085070596</v>
      </c>
      <c r="N1751" s="4">
        <f t="shared" si="133"/>
        <v>29.132461051587665</v>
      </c>
      <c r="O1751" s="36">
        <f>1/M1751-(G1751/100-(((E1751/E1631)^(1/10))-1))</f>
        <v>3.8318053948397796E-2</v>
      </c>
      <c r="P1751" s="48">
        <v>0.33</v>
      </c>
      <c r="R1751" s="30"/>
      <c r="S1751" s="30"/>
    </row>
    <row r="1752" spans="1:19" ht="13" x14ac:dyDescent="0.3">
      <c r="A1752" s="52" t="s">
        <v>1768</v>
      </c>
      <c r="B1752" s="6">
        <v>2164.9899999999998</v>
      </c>
      <c r="C1752" s="1">
        <f>C1750/3+C1753*2/3</f>
        <v>45.476666666666667</v>
      </c>
      <c r="D1752" s="6">
        <f>D1750/3+D1753*2/3</f>
        <v>92.73</v>
      </c>
      <c r="E1752" s="6">
        <v>241.35300000000001</v>
      </c>
      <c r="F1752" s="2">
        <f t="shared" si="135"/>
        <v>2016.8749999998674</v>
      </c>
      <c r="G1752" s="17">
        <v>2.14</v>
      </c>
      <c r="H1752" s="1">
        <f>B1752*$E$1867/E1752</f>
        <v>3006.1479036825726</v>
      </c>
      <c r="I1752" s="1">
        <f>C1752*$E$1867/E1752</f>
        <v>63.145597054245577</v>
      </c>
      <c r="J1752" s="26">
        <f t="shared" si="136"/>
        <v>1756517.6507152149</v>
      </c>
      <c r="K1752" s="1">
        <f>D1752*$E$1867/E1752</f>
        <v>128.75814442952853</v>
      </c>
      <c r="L1752" s="26">
        <f t="shared" si="134"/>
        <v>75234.473023349696</v>
      </c>
      <c r="M1752" s="10">
        <f t="shared" si="132"/>
        <v>26.850953531056266</v>
      </c>
      <c r="N1752" s="4">
        <f t="shared" si="133"/>
        <v>29.482997451792816</v>
      </c>
      <c r="O1752" s="36">
        <f>1/M1752-(G1752/100-(((E1752/E1632)^(1/10))-1))</f>
        <v>3.4053579702832931E-2</v>
      </c>
      <c r="P1752" s="48">
        <v>0.45</v>
      </c>
      <c r="R1752" s="30"/>
      <c r="S1752" s="30"/>
    </row>
    <row r="1753" spans="1:19" ht="13" x14ac:dyDescent="0.3">
      <c r="A1753" s="52" t="s">
        <v>1769</v>
      </c>
      <c r="B1753" s="6">
        <v>2246.63</v>
      </c>
      <c r="C1753" s="1">
        <v>45.7</v>
      </c>
      <c r="D1753" s="6">
        <v>94.55</v>
      </c>
      <c r="E1753" s="6">
        <v>241.43199999999999</v>
      </c>
      <c r="F1753" s="2">
        <f t="shared" si="135"/>
        <v>2016.9583333332007</v>
      </c>
      <c r="G1753" s="17">
        <v>2.4900000000000002</v>
      </c>
      <c r="H1753" s="1">
        <f>B1753*$E$1867/E1753</f>
        <v>3118.4865320566455</v>
      </c>
      <c r="I1753" s="1">
        <f>C1753*$E$1867/E1753</f>
        <v>63.434937891414563</v>
      </c>
      <c r="J1753" s="26">
        <f t="shared" si="136"/>
        <v>1825246.8591759675</v>
      </c>
      <c r="K1753" s="1">
        <f>D1753*$E$1867/E1753</f>
        <v>131.24230585630735</v>
      </c>
      <c r="L1753" s="26">
        <f t="shared" si="134"/>
        <v>76815.982398119726</v>
      </c>
      <c r="M1753" s="10">
        <f t="shared" si="132"/>
        <v>27.865098223923532</v>
      </c>
      <c r="N1753" s="4">
        <f t="shared" si="133"/>
        <v>30.586141859448876</v>
      </c>
      <c r="O1753" s="36">
        <f>1/M1753-(G1753/100-(((E1753/E1633)^(1/10))-1))</f>
        <v>2.9079989463697938E-2</v>
      </c>
      <c r="P1753" s="48">
        <v>0.51</v>
      </c>
      <c r="R1753" s="30"/>
      <c r="S1753" s="30"/>
    </row>
    <row r="1754" spans="1:19" ht="13" x14ac:dyDescent="0.3">
      <c r="A1754" s="52" t="s">
        <v>1770</v>
      </c>
      <c r="B1754" s="6">
        <v>2275.12</v>
      </c>
      <c r="C1754" s="1">
        <f>C1753*2/3+C1756/3</f>
        <v>45.926666666666669</v>
      </c>
      <c r="D1754" s="6">
        <f>D1753*2/3+D1756/3</f>
        <v>96.463333333333338</v>
      </c>
      <c r="E1754" s="6">
        <v>242.839</v>
      </c>
      <c r="F1754" s="2">
        <f t="shared" si="135"/>
        <v>2017.041666666534</v>
      </c>
      <c r="G1754" s="17">
        <v>2.4300000000000002</v>
      </c>
      <c r="H1754" s="1">
        <f>B1754*$E$1867/E1754</f>
        <v>3139.7352104892539</v>
      </c>
      <c r="I1754" s="1">
        <f>C1754*$E$1867/E1754</f>
        <v>63.380205190819161</v>
      </c>
      <c r="J1754" s="26">
        <f t="shared" si="136"/>
        <v>1840775.0520278043</v>
      </c>
      <c r="K1754" s="1">
        <f>D1754*$E$1867/E1754</f>
        <v>133.12235143105789</v>
      </c>
      <c r="L1754" s="26">
        <f t="shared" si="134"/>
        <v>78047.44252410515</v>
      </c>
      <c r="M1754" s="10">
        <f t="shared" si="132"/>
        <v>28.063573742124465</v>
      </c>
      <c r="N1754" s="4">
        <f t="shared" si="133"/>
        <v>30.792138471115784</v>
      </c>
      <c r="O1754" s="36">
        <f>1/M1754-(G1754/100-(((E1754/E1634)^(1/10))-1))</f>
        <v>2.9707513831380636E-2</v>
      </c>
      <c r="P1754" s="48">
        <v>0.51</v>
      </c>
      <c r="R1754" s="30"/>
      <c r="S1754" s="30"/>
    </row>
    <row r="1755" spans="1:19" ht="13" x14ac:dyDescent="0.3">
      <c r="A1755" s="52" t="s">
        <v>1771</v>
      </c>
      <c r="B1755" s="6">
        <v>2329.91</v>
      </c>
      <c r="C1755" s="1">
        <f>C1753/3+C1756*2/3</f>
        <v>46.153333333333336</v>
      </c>
      <c r="D1755" s="6">
        <f>D1753/3+D1756*2/3</f>
        <v>98.376666666666665</v>
      </c>
      <c r="E1755" s="6">
        <v>243.60300000000001</v>
      </c>
      <c r="F1755" s="2">
        <f t="shared" si="135"/>
        <v>2017.1249999998672</v>
      </c>
      <c r="G1755" s="17">
        <v>2.42</v>
      </c>
      <c r="H1755" s="1">
        <f>B1755*$E$1867/E1755</f>
        <v>3205.2629533605905</v>
      </c>
      <c r="I1755" s="1">
        <f>C1755*$E$1867/E1755</f>
        <v>63.493254892865309</v>
      </c>
      <c r="J1755" s="26">
        <f t="shared" si="136"/>
        <v>1882294.9761143869</v>
      </c>
      <c r="K1755" s="1">
        <f>D1755*$E$1867/E1755</f>
        <v>135.33702380854641</v>
      </c>
      <c r="L1755" s="26">
        <f t="shared" si="134"/>
        <v>79476.849077237464</v>
      </c>
      <c r="M1755" s="10">
        <f t="shared" si="132"/>
        <v>28.655106525184127</v>
      </c>
      <c r="N1755" s="4">
        <f t="shared" si="133"/>
        <v>31.427485362109682</v>
      </c>
      <c r="O1755" s="36">
        <f>1/M1755-(G1755/100-(((E1755/E1635)^(1/10))-1))</f>
        <v>2.8848426114245401E-2</v>
      </c>
      <c r="P1755" s="48">
        <v>0.52</v>
      </c>
      <c r="R1755" s="30"/>
      <c r="S1755" s="30"/>
    </row>
    <row r="1756" spans="1:19" ht="13" x14ac:dyDescent="0.3">
      <c r="A1756" s="52" t="s">
        <v>1772</v>
      </c>
      <c r="B1756" s="6">
        <v>2366.8200000000002</v>
      </c>
      <c r="C1756" s="1">
        <v>46.38</v>
      </c>
      <c r="D1756" s="6">
        <v>100.29</v>
      </c>
      <c r="E1756" s="6">
        <v>243.80099999999999</v>
      </c>
      <c r="F1756" s="2">
        <f t="shared" si="135"/>
        <v>2017.2083333332005</v>
      </c>
      <c r="G1756" s="17">
        <v>2.48</v>
      </c>
      <c r="H1756" s="1">
        <f>B1756*$E$1867/E1756</f>
        <v>3253.3957785447969</v>
      </c>
      <c r="I1756" s="1">
        <f>C1756*$E$1867/E1756</f>
        <v>63.753262271278629</v>
      </c>
      <c r="J1756" s="26">
        <f t="shared" si="136"/>
        <v>1913680.9747884194</v>
      </c>
      <c r="K1756" s="1">
        <f>D1756*$E$1867/E1756</f>
        <v>137.85715121143883</v>
      </c>
      <c r="L1756" s="26">
        <f t="shared" si="134"/>
        <v>81088.999147180846</v>
      </c>
      <c r="M1756" s="10">
        <f t="shared" si="132"/>
        <v>29.086921742464646</v>
      </c>
      <c r="N1756" s="4">
        <f t="shared" si="133"/>
        <v>31.886026295005653</v>
      </c>
      <c r="O1756" s="36">
        <f>1/M1756-(G1756/100-(((E1756/E1636)^(1/10))-1))</f>
        <v>2.6890511033075323E-2</v>
      </c>
      <c r="P1756" s="48">
        <v>0.74</v>
      </c>
      <c r="R1756" s="30"/>
      <c r="S1756" s="30"/>
    </row>
    <row r="1757" spans="1:19" ht="13" x14ac:dyDescent="0.3">
      <c r="A1757" s="52" t="s">
        <v>1773</v>
      </c>
      <c r="B1757" s="6">
        <v>2359.31</v>
      </c>
      <c r="C1757" s="1">
        <f>C1756*2/3+C1759/3</f>
        <v>46.660000000000004</v>
      </c>
      <c r="D1757" s="6">
        <f>D1756*2/3+D1759/3</f>
        <v>101.53333333333333</v>
      </c>
      <c r="E1757" s="6">
        <v>244.524</v>
      </c>
      <c r="F1757" s="2">
        <f t="shared" si="135"/>
        <v>2017.2916666665337</v>
      </c>
      <c r="G1757" s="17">
        <v>2.2999999999999998</v>
      </c>
      <c r="H1757" s="1">
        <f>B1757*$E$1867/E1757</f>
        <v>3233.4836399596766</v>
      </c>
      <c r="I1757" s="1">
        <f>C1757*$E$1867/E1757</f>
        <v>63.948504707104419</v>
      </c>
      <c r="J1757" s="26">
        <f t="shared" si="136"/>
        <v>1905103.0469015872</v>
      </c>
      <c r="K1757" s="1">
        <f>D1757*$E$1867/E1757</f>
        <v>139.15355432050296</v>
      </c>
      <c r="L1757" s="26">
        <f t="shared" si="134"/>
        <v>81986.45480899408</v>
      </c>
      <c r="M1757" s="10">
        <f t="shared" si="132"/>
        <v>28.904245956275162</v>
      </c>
      <c r="N1757" s="4">
        <f t="shared" si="133"/>
        <v>31.670821333081481</v>
      </c>
      <c r="O1757" s="36">
        <f>1/M1757-(G1757/100-(((E1757/E1637)^(1/10))-1))</f>
        <v>2.8550370848229596E-2</v>
      </c>
      <c r="P1757" s="48">
        <v>0.8</v>
      </c>
      <c r="R1757" s="30"/>
      <c r="S1757" s="30"/>
    </row>
    <row r="1758" spans="1:19" ht="13" x14ac:dyDescent="0.3">
      <c r="A1758" s="52" t="s">
        <v>1774</v>
      </c>
      <c r="B1758" s="6">
        <v>2395.35</v>
      </c>
      <c r="C1758" s="1">
        <f>C1756/3+C1759*2/3</f>
        <v>46.94</v>
      </c>
      <c r="D1758" s="6">
        <f>D1756/3+D1759*2/3</f>
        <v>102.77666666666667</v>
      </c>
      <c r="E1758" s="6">
        <v>244.733</v>
      </c>
      <c r="F1758" s="2">
        <f t="shared" si="135"/>
        <v>2017.374999999867</v>
      </c>
      <c r="G1758" s="17">
        <v>2.2999999999999998</v>
      </c>
      <c r="H1758" s="1">
        <f>B1758*$E$1867/E1758</f>
        <v>3280.0736622666332</v>
      </c>
      <c r="I1758" s="1">
        <f>C1758*$E$1867/E1758</f>
        <v>64.2773113352102</v>
      </c>
      <c r="J1758" s="26">
        <f t="shared" si="136"/>
        <v>1935708.8515416591</v>
      </c>
      <c r="K1758" s="1">
        <f>D1758*$E$1867/E1758</f>
        <v>140.73727740367394</v>
      </c>
      <c r="L1758" s="26">
        <f t="shared" si="134"/>
        <v>83054.96207176958</v>
      </c>
      <c r="M1758" s="10">
        <f t="shared" si="132"/>
        <v>29.313344980271435</v>
      </c>
      <c r="N1758" s="4">
        <f t="shared" si="133"/>
        <v>32.103121568918979</v>
      </c>
      <c r="O1758" s="36">
        <f>1/M1758-(G1758/100-(((E1758/E1638)^(1/10))-1))</f>
        <v>2.7535015841958346E-2</v>
      </c>
      <c r="P1758" s="48">
        <v>0.89</v>
      </c>
      <c r="R1758" s="30"/>
      <c r="S1758" s="30"/>
    </row>
    <row r="1759" spans="1:19" ht="13" x14ac:dyDescent="0.3">
      <c r="A1759" s="52" t="s">
        <v>1775</v>
      </c>
      <c r="B1759" s="6">
        <v>2433.9899999999998</v>
      </c>
      <c r="C1759" s="1">
        <v>47.22</v>
      </c>
      <c r="D1759" s="6">
        <v>104.02</v>
      </c>
      <c r="E1759" s="6">
        <v>244.95500000000001</v>
      </c>
      <c r="F1759" s="2">
        <f t="shared" si="135"/>
        <v>2017.4583333332002</v>
      </c>
      <c r="G1759" s="17">
        <v>2.19</v>
      </c>
      <c r="H1759" s="1">
        <f>B1759*$E$1867/E1759</f>
        <v>3329.9647169786281</v>
      </c>
      <c r="I1759" s="1">
        <f>C1759*$E$1867/E1759</f>
        <v>64.602128166397904</v>
      </c>
      <c r="J1759" s="26">
        <f t="shared" si="136"/>
        <v>1968328.6877137215</v>
      </c>
      <c r="K1759" s="1">
        <f>D1759*$E$1867/E1759</f>
        <v>142.31074485109508</v>
      </c>
      <c r="L1759" s="26">
        <f t="shared" si="134"/>
        <v>84119.306199278275</v>
      </c>
      <c r="M1759" s="10">
        <f t="shared" si="132"/>
        <v>29.748503240632751</v>
      </c>
      <c r="N1759" s="4">
        <f t="shared" si="133"/>
        <v>32.562583794402144</v>
      </c>
      <c r="O1759" s="36">
        <f>1/M1759-(G1759/100-(((E1759/E1639)^(1/10))-1))</f>
        <v>2.8031372275517278E-2</v>
      </c>
      <c r="P1759" s="48">
        <v>0.98</v>
      </c>
      <c r="R1759" s="30"/>
      <c r="S1759" s="30"/>
    </row>
    <row r="1760" spans="1:19" ht="13" x14ac:dyDescent="0.3">
      <c r="A1760" s="52" t="s">
        <v>1776</v>
      </c>
      <c r="B1760" s="6">
        <v>2454.1</v>
      </c>
      <c r="C1760" s="1">
        <f>C1759*2/3+C1762/3</f>
        <v>47.536666666666669</v>
      </c>
      <c r="D1760" s="6">
        <f>D1759*2/3+D1762/3</f>
        <v>105.03999999999999</v>
      </c>
      <c r="E1760" s="6">
        <v>244.786</v>
      </c>
      <c r="F1760" s="2">
        <f t="shared" si="135"/>
        <v>2017.5416666665335</v>
      </c>
      <c r="G1760" s="17">
        <v>2.3199999999999998</v>
      </c>
      <c r="H1760" s="1">
        <f>B1760*$E$1867/E1760</f>
        <v>3359.7953968976985</v>
      </c>
      <c r="I1760" s="1">
        <f>C1760*$E$1867/E1760</f>
        <v>65.080263172049598</v>
      </c>
      <c r="J1760" s="26">
        <f t="shared" si="136"/>
        <v>1989167.2054479667</v>
      </c>
      <c r="K1760" s="1">
        <f>D1760*$E$1867/E1760</f>
        <v>143.80543111125635</v>
      </c>
      <c r="L1760" s="26">
        <f t="shared" si="134"/>
        <v>85140.020072635351</v>
      </c>
      <c r="M1760" s="10">
        <f t="shared" si="132"/>
        <v>30.002220744018562</v>
      </c>
      <c r="N1760" s="4">
        <f t="shared" si="133"/>
        <v>32.82244083848849</v>
      </c>
      <c r="O1760" s="36">
        <f>1/M1760-(G1760/100-(((E1760/E1640)^(1/10))-1))</f>
        <v>2.6402816566006154E-2</v>
      </c>
      <c r="P1760" s="48">
        <v>1.07</v>
      </c>
      <c r="R1760" s="30"/>
      <c r="S1760" s="30"/>
    </row>
    <row r="1761" spans="1:19" ht="13" x14ac:dyDescent="0.3">
      <c r="A1761" s="52" t="s">
        <v>1777</v>
      </c>
      <c r="B1761" s="6">
        <v>2456.2199999999998</v>
      </c>
      <c r="C1761" s="1">
        <f>C1759/3+C1762*2/3</f>
        <v>47.853333333333339</v>
      </c>
      <c r="D1761" s="6">
        <f>D1759/3+D1762*2/3</f>
        <v>106.06</v>
      </c>
      <c r="E1761" s="6">
        <v>245.51900000000001</v>
      </c>
      <c r="F1761" s="2">
        <f t="shared" si="135"/>
        <v>2017.6249999998668</v>
      </c>
      <c r="G1761" s="17">
        <v>2.21</v>
      </c>
      <c r="H1761" s="1">
        <f>B1761*$E$1867/E1761</f>
        <v>3352.6584156623312</v>
      </c>
      <c r="I1761" s="1">
        <f>C1761*$E$1867/E1761</f>
        <v>65.318204687485149</v>
      </c>
      <c r="J1761" s="26">
        <f t="shared" si="136"/>
        <v>1988164.3924595693</v>
      </c>
      <c r="K1761" s="1">
        <f>D1761*$E$1867/E1761</f>
        <v>144.76836422028438</v>
      </c>
      <c r="L1761" s="26">
        <f t="shared" si="134"/>
        <v>85849.27875526702</v>
      </c>
      <c r="M1761" s="10">
        <f t="shared" si="132"/>
        <v>29.914959397497487</v>
      </c>
      <c r="N1761" s="4">
        <f t="shared" si="133"/>
        <v>32.710126862242035</v>
      </c>
      <c r="O1761" s="36">
        <f>1/M1761-(G1761/100-(((E1761/E1641)^(1/10))-1))</f>
        <v>2.8090568896086642E-2</v>
      </c>
      <c r="P1761" s="48">
        <v>1.01</v>
      </c>
      <c r="R1761" s="30"/>
      <c r="S1761" s="30"/>
    </row>
    <row r="1762" spans="1:19" ht="13" x14ac:dyDescent="0.3">
      <c r="A1762" s="52" t="s">
        <v>1778</v>
      </c>
      <c r="B1762" s="6">
        <v>2492.84</v>
      </c>
      <c r="C1762" s="1">
        <v>48.17</v>
      </c>
      <c r="D1762" s="6">
        <v>107.08</v>
      </c>
      <c r="E1762" s="6">
        <v>246.81899999999999</v>
      </c>
      <c r="F1762" s="2">
        <f t="shared" si="135"/>
        <v>2017.7083333332</v>
      </c>
      <c r="G1762" s="17">
        <v>2.2000000000000002</v>
      </c>
      <c r="H1762" s="1">
        <f>B1762*$E$1867/E1762</f>
        <v>3384.7217119022444</v>
      </c>
      <c r="I1762" s="1">
        <f>C1762*$E$1867/E1762</f>
        <v>65.404135388685646</v>
      </c>
      <c r="J1762" s="26">
        <f t="shared" si="136"/>
        <v>2010410.4061400176</v>
      </c>
      <c r="K1762" s="1">
        <f>D1762*$E$1867/E1762</f>
        <v>145.39079961429226</v>
      </c>
      <c r="L1762" s="26">
        <f t="shared" si="134"/>
        <v>86357.225609936097</v>
      </c>
      <c r="M1762" s="10">
        <f t="shared" si="132"/>
        <v>30.168114410678903</v>
      </c>
      <c r="N1762" s="4">
        <f t="shared" si="133"/>
        <v>32.970280770701336</v>
      </c>
      <c r="O1762" s="36">
        <f>1/M1762-(G1762/100-(((E1762/E1642)^(1/10))-1))</f>
        <v>2.8167211336622037E-2</v>
      </c>
      <c r="P1762" s="48">
        <v>1.03</v>
      </c>
      <c r="R1762" s="30"/>
      <c r="S1762" s="30"/>
    </row>
    <row r="1763" spans="1:19" ht="13" x14ac:dyDescent="0.3">
      <c r="A1763" s="52" t="s">
        <v>1779</v>
      </c>
      <c r="B1763" s="6">
        <v>2557</v>
      </c>
      <c r="C1763" s="1">
        <f>C1762*2/3+C1765/3</f>
        <v>48.423333333333332</v>
      </c>
      <c r="D1763" s="6">
        <f>D1762*2/3+D1765/3</f>
        <v>108.01333333333334</v>
      </c>
      <c r="E1763" s="6">
        <v>246.66300000000001</v>
      </c>
      <c r="F1763" s="2">
        <f t="shared" si="135"/>
        <v>2017.7916666665333</v>
      </c>
      <c r="G1763" s="17">
        <v>2.36</v>
      </c>
      <c r="H1763" s="1">
        <f>B1763*$E$1867/E1763</f>
        <v>3474.0324420363004</v>
      </c>
      <c r="I1763" s="1">
        <f>C1763*$E$1867/E1763</f>
        <v>65.789687505489937</v>
      </c>
      <c r="J1763" s="26">
        <f t="shared" si="136"/>
        <v>2066714.3685217609</v>
      </c>
      <c r="K1763" s="1">
        <f>D1763*$E$1867/E1763</f>
        <v>146.75081117422016</v>
      </c>
      <c r="L1763" s="26">
        <f t="shared" si="134"/>
        <v>87302.584275295463</v>
      </c>
      <c r="M1763" s="10">
        <f t="shared" si="132"/>
        <v>30.920393290333838</v>
      </c>
      <c r="N1763" s="4">
        <f t="shared" si="133"/>
        <v>33.775350452959316</v>
      </c>
      <c r="O1763" s="36">
        <f>1/M1763-(G1763/100-(((E1763/E1643)^(1/10))-1))</f>
        <v>2.5479157179329279E-2</v>
      </c>
      <c r="P1763" s="48">
        <v>1.07</v>
      </c>
      <c r="R1763" s="30"/>
      <c r="S1763" s="30"/>
    </row>
    <row r="1764" spans="1:19" ht="13" x14ac:dyDescent="0.3">
      <c r="A1764" s="52" t="s">
        <v>1780</v>
      </c>
      <c r="B1764" s="6">
        <v>2593.61</v>
      </c>
      <c r="C1764" s="1">
        <f>C1762/3+C1765*2/3</f>
        <v>48.676666666666662</v>
      </c>
      <c r="D1764" s="6">
        <f>D1762/3+D1765*2/3</f>
        <v>108.94666666666666</v>
      </c>
      <c r="E1764" s="6">
        <v>246.66900000000001</v>
      </c>
      <c r="F1764" s="2">
        <f t="shared" si="135"/>
        <v>2017.8749999998665</v>
      </c>
      <c r="G1764" s="17">
        <v>2.35</v>
      </c>
      <c r="H1764" s="1">
        <f>B1764*$E$1867/E1764</f>
        <v>3523.6863961523336</v>
      </c>
      <c r="I1764" s="1">
        <f>C1764*$E$1867/E1764</f>
        <v>66.132266664369382</v>
      </c>
      <c r="J1764" s="26">
        <f t="shared" si="136"/>
        <v>2099532.2109395517</v>
      </c>
      <c r="K1764" s="1">
        <f>D1764*$E$1867/E1764</f>
        <v>148.0152710852735</v>
      </c>
      <c r="L1764" s="26">
        <f t="shared" si="134"/>
        <v>88192.53316464735</v>
      </c>
      <c r="M1764" s="10">
        <f t="shared" si="132"/>
        <v>31.298913333880265</v>
      </c>
      <c r="N1764" s="4">
        <f t="shared" si="133"/>
        <v>34.172935972227094</v>
      </c>
      <c r="O1764" s="36">
        <f>1/M1764-(G1764/100-(((E1764/E1644)^(1/10))-1))</f>
        <v>2.4588565855586081E-2</v>
      </c>
      <c r="P1764" s="48">
        <v>1.23</v>
      </c>
      <c r="R1764" s="30"/>
      <c r="S1764" s="30"/>
    </row>
    <row r="1765" spans="1:19" ht="13" x14ac:dyDescent="0.3">
      <c r="A1765" s="52" t="s">
        <v>1781</v>
      </c>
      <c r="B1765" s="6">
        <v>2664.34</v>
      </c>
      <c r="C1765" s="1">
        <v>48.93</v>
      </c>
      <c r="D1765" s="6">
        <v>109.88</v>
      </c>
      <c r="E1765" s="6">
        <v>246.524</v>
      </c>
      <c r="F1765" s="2">
        <f t="shared" si="135"/>
        <v>2017.9583333331998</v>
      </c>
      <c r="G1765" s="17">
        <v>2.4</v>
      </c>
      <c r="H1765" s="1">
        <f>B1765*$E$1867/E1765</f>
        <v>3621.9094635207935</v>
      </c>
      <c r="I1765" s="1">
        <f>C1765*$E$1867/E1765</f>
        <v>66.515546082734332</v>
      </c>
      <c r="J1765" s="26">
        <f t="shared" si="136"/>
        <v>2161359.5408809078</v>
      </c>
      <c r="K1765" s="1">
        <f>D1765*$E$1867/E1765</f>
        <v>149.3711057341273</v>
      </c>
      <c r="L1765" s="26">
        <f t="shared" si="134"/>
        <v>89136.591558132262</v>
      </c>
      <c r="M1765" s="10">
        <f t="shared" si="132"/>
        <v>32.086132007705999</v>
      </c>
      <c r="N1765" s="4">
        <f t="shared" si="133"/>
        <v>35.017141106605777</v>
      </c>
      <c r="O1765" s="36">
        <f>1/M1765-(G1765/100-(((E1765/E1645)^(1/10))-1))</f>
        <v>2.3313129772496808E-2</v>
      </c>
      <c r="P1765" s="48">
        <v>1.32</v>
      </c>
      <c r="R1765" s="30"/>
      <c r="S1765" s="30"/>
    </row>
    <row r="1766" spans="1:19" ht="13" x14ac:dyDescent="0.3">
      <c r="A1766" s="52" t="s">
        <v>1782</v>
      </c>
      <c r="B1766" s="6">
        <v>2789.8</v>
      </c>
      <c r="C1766" s="1">
        <f>C1765*2/3+C1768/3</f>
        <v>49.286666666666662</v>
      </c>
      <c r="D1766" s="6">
        <f>D1765*2/3+D1768/3</f>
        <v>111.73333333333332</v>
      </c>
      <c r="E1766" s="6">
        <v>247.86699999999999</v>
      </c>
      <c r="F1766" s="2">
        <f t="shared" si="135"/>
        <v>2018.041666666533</v>
      </c>
      <c r="G1766" s="17">
        <v>2.58</v>
      </c>
      <c r="H1766" s="1">
        <f>B1766*$E$1867/E1766</f>
        <v>3771.9116399117274</v>
      </c>
      <c r="I1766" s="1">
        <f>C1766*$E$1867/E1766</f>
        <v>66.637376045755715</v>
      </c>
      <c r="J1766" s="26">
        <f t="shared" si="136"/>
        <v>2254186.5195385325</v>
      </c>
      <c r="K1766" s="1">
        <f>D1766*$E$1867/E1766</f>
        <v>151.06755343255321</v>
      </c>
      <c r="L1766" s="26">
        <f t="shared" si="134"/>
        <v>90281.659539431261</v>
      </c>
      <c r="M1766" s="10">
        <f t="shared" si="132"/>
        <v>33.307343828030668</v>
      </c>
      <c r="N1766" s="4">
        <f t="shared" si="133"/>
        <v>36.333940411695849</v>
      </c>
      <c r="O1766" s="36">
        <f>1/M1766-(G1766/100-(((E1766/E1646)^(1/10))-1))</f>
        <v>2.0418663333554896E-2</v>
      </c>
      <c r="P1766" s="48">
        <v>1.41</v>
      </c>
      <c r="R1766" s="30"/>
      <c r="S1766" s="30"/>
    </row>
    <row r="1767" spans="1:19" ht="13" x14ac:dyDescent="0.3">
      <c r="A1767" s="52" t="s">
        <v>1783</v>
      </c>
      <c r="B1767" s="6">
        <v>2705.16</v>
      </c>
      <c r="C1767" s="1">
        <f>C1765/3+C1768*2/3</f>
        <v>49.643333333333331</v>
      </c>
      <c r="D1767" s="6">
        <f>D1765/3+D1768*2/3</f>
        <v>113.58666666666666</v>
      </c>
      <c r="E1767" s="6">
        <v>248.99100000000001</v>
      </c>
      <c r="F1767" s="2">
        <f t="shared" si="135"/>
        <v>2018.1249999998663</v>
      </c>
      <c r="G1767" s="17">
        <v>2.86</v>
      </c>
      <c r="H1767" s="1">
        <f>B1767*$E$1867/E1767</f>
        <v>3640.9646183596992</v>
      </c>
      <c r="I1767" s="1">
        <f>C1767*$E$1867/E1767</f>
        <v>66.816609813875459</v>
      </c>
      <c r="J1767" s="26">
        <f t="shared" si="136"/>
        <v>2179256.9844263908</v>
      </c>
      <c r="K1767" s="1">
        <f>D1767*$E$1867/E1767</f>
        <v>152.8800641924139</v>
      </c>
      <c r="L1767" s="26">
        <f t="shared" si="134"/>
        <v>91504.58260178534</v>
      </c>
      <c r="M1767" s="10">
        <f t="shared" si="132"/>
        <v>32.035382339250283</v>
      </c>
      <c r="N1767" s="4">
        <f t="shared" si="133"/>
        <v>34.934084784156298</v>
      </c>
      <c r="O1767" s="36">
        <f>1/M1767-(G1767/100-(((E1767/E1647)^(1/10))-1))</f>
        <v>1.897583759665545E-2</v>
      </c>
      <c r="P1767" s="48">
        <v>1.57</v>
      </c>
      <c r="R1767" s="30"/>
      <c r="S1767" s="30"/>
    </row>
    <row r="1768" spans="1:19" ht="13" x14ac:dyDescent="0.3">
      <c r="A1768" s="52" t="s">
        <v>1784</v>
      </c>
      <c r="B1768" s="6">
        <v>2702.77</v>
      </c>
      <c r="C1768" s="1">
        <v>50</v>
      </c>
      <c r="D1768" s="6">
        <v>115.44</v>
      </c>
      <c r="E1768" s="6">
        <v>249.554</v>
      </c>
      <c r="F1768" s="2">
        <f t="shared" si="135"/>
        <v>2018.2083333331996</v>
      </c>
      <c r="G1768" s="17">
        <v>2.84</v>
      </c>
      <c r="H1768" s="1">
        <f>B1768*$E$1867/E1768</f>
        <v>3629.5409888941872</v>
      </c>
      <c r="I1768" s="1">
        <f>C1768*$E$1867/E1768</f>
        <v>67.144836388116403</v>
      </c>
      <c r="J1768" s="26">
        <f t="shared" si="136"/>
        <v>2175768.5673466818</v>
      </c>
      <c r="K1768" s="1">
        <f>D1768*$E$1867/E1768</f>
        <v>155.02399825288313</v>
      </c>
      <c r="L1768" s="26">
        <f t="shared" si="134"/>
        <v>92930.853685108596</v>
      </c>
      <c r="M1768" s="10">
        <f t="shared" si="132"/>
        <v>31.808409057643118</v>
      </c>
      <c r="N1768" s="4">
        <f t="shared" si="133"/>
        <v>34.675728647302471</v>
      </c>
      <c r="O1768" s="36">
        <f>1/M1768-(G1768/100-(((E1768/E1648)^(1/10))-1))</f>
        <v>1.8751132383798632E-2</v>
      </c>
      <c r="P1768" s="48">
        <v>1.7</v>
      </c>
      <c r="R1768" s="30"/>
      <c r="S1768" s="30"/>
    </row>
    <row r="1769" spans="1:19" ht="13" x14ac:dyDescent="0.3">
      <c r="A1769" s="52" t="s">
        <v>1785</v>
      </c>
      <c r="B1769" s="6">
        <v>2653.63</v>
      </c>
      <c r="C1769" s="1">
        <f>C1768*2/3+C1771/3</f>
        <v>50.33</v>
      </c>
      <c r="D1769" s="6">
        <f>D1768*2/3+D1771/3</f>
        <v>117.78666666666666</v>
      </c>
      <c r="E1769" s="6">
        <v>250.54599999999999</v>
      </c>
      <c r="F1769" s="2">
        <f t="shared" si="135"/>
        <v>2018.2916666665328</v>
      </c>
      <c r="G1769" s="17">
        <v>2.87</v>
      </c>
      <c r="H1769" s="1">
        <f>B1769*$E$1867/E1769</f>
        <v>3549.4416879834444</v>
      </c>
      <c r="I1769" s="1">
        <f>C1769*$E$1867/E1769</f>
        <v>67.320387603474018</v>
      </c>
      <c r="J1769" s="26">
        <f t="shared" si="136"/>
        <v>2131115.1498089875</v>
      </c>
      <c r="K1769" s="1">
        <f>D1769*$E$1867/E1769</f>
        <v>157.54905731216354</v>
      </c>
      <c r="L1769" s="26">
        <f t="shared" si="134"/>
        <v>94593.801614706856</v>
      </c>
      <c r="M1769" s="10">
        <f t="shared" si="132"/>
        <v>30.970179293325231</v>
      </c>
      <c r="N1769" s="4">
        <f t="shared" si="133"/>
        <v>33.753721250693452</v>
      </c>
      <c r="O1769" s="36">
        <f>1/M1769-(G1769/100-(((E1769/E1649)^(1/10))-1))</f>
        <v>1.9090860063881377E-2</v>
      </c>
      <c r="P1769" s="48">
        <v>1.76</v>
      </c>
      <c r="R1769" s="30"/>
      <c r="S1769" s="30"/>
    </row>
    <row r="1770" spans="1:19" ht="13" x14ac:dyDescent="0.3">
      <c r="A1770" s="52" t="s">
        <v>1786</v>
      </c>
      <c r="B1770" s="6">
        <v>2701.49</v>
      </c>
      <c r="C1770" s="1">
        <f>C1768/3+C1771*2/3</f>
        <v>50.66</v>
      </c>
      <c r="D1770" s="6">
        <f>D1768/3+D1771*2/3</f>
        <v>120.13333333333333</v>
      </c>
      <c r="E1770" s="6">
        <v>251.58799999999999</v>
      </c>
      <c r="F1770" s="2">
        <f t="shared" si="135"/>
        <v>2018.3749999998661</v>
      </c>
      <c r="G1770" s="17">
        <v>2.976</v>
      </c>
      <c r="H1770" s="1">
        <f>B1770*$E$1867/E1770</f>
        <v>3598.492422621508</v>
      </c>
      <c r="I1770" s="1">
        <f>C1770*$E$1867/E1770</f>
        <v>67.481140455824587</v>
      </c>
      <c r="J1770" s="26">
        <f t="shared" si="136"/>
        <v>2163941.9849382662</v>
      </c>
      <c r="K1770" s="1">
        <f>D1770*$E$1867/E1770</f>
        <v>160.02239123752588</v>
      </c>
      <c r="L1770" s="26">
        <f t="shared" si="134"/>
        <v>96228.956535313366</v>
      </c>
      <c r="M1770" s="10">
        <f t="shared" si="132"/>
        <v>31.243615074864604</v>
      </c>
      <c r="N1770" s="4">
        <f t="shared" si="133"/>
        <v>34.044187061418889</v>
      </c>
      <c r="O1770" s="36">
        <f>1/M1770-(G1770/100-(((E1770/E1650)^(1/10))-1))</f>
        <v>1.7318266255325291E-2</v>
      </c>
      <c r="P1770" s="48">
        <v>1.86</v>
      </c>
      <c r="R1770" s="30"/>
      <c r="S1770" s="30"/>
    </row>
    <row r="1771" spans="1:19" ht="13" x14ac:dyDescent="0.3">
      <c r="A1771" s="52" t="s">
        <v>1787</v>
      </c>
      <c r="B1771" s="6">
        <v>2754.35</v>
      </c>
      <c r="C1771" s="1">
        <v>50.99</v>
      </c>
      <c r="D1771" s="6">
        <v>122.48</v>
      </c>
      <c r="E1771" s="6">
        <v>251.989</v>
      </c>
      <c r="F1771" s="2">
        <f t="shared" si="135"/>
        <v>2018.4583333331993</v>
      </c>
      <c r="G1771" s="17">
        <v>2.91</v>
      </c>
      <c r="H1771" s="1">
        <f>B1771*$E$1867/E1771</f>
        <v>3663.0655795987122</v>
      </c>
      <c r="I1771" s="1">
        <f>C1771*$E$1867/E1771</f>
        <v>67.812628715936015</v>
      </c>
      <c r="J1771" s="26">
        <f t="shared" si="136"/>
        <v>2206171.0901213097</v>
      </c>
      <c r="K1771" s="1">
        <f>D1771*$E$1867/E1771</f>
        <v>162.8886206143919</v>
      </c>
      <c r="L1771" s="26">
        <f t="shared" si="134"/>
        <v>98103.666969723548</v>
      </c>
      <c r="M1771" s="10">
        <f t="shared" si="132"/>
        <v>31.630556496454592</v>
      </c>
      <c r="N1771" s="4">
        <f t="shared" si="133"/>
        <v>34.45891963367427</v>
      </c>
      <c r="O1771" s="36">
        <f>1/M1771-(G1771/100-(((E1771/E1651)^(1/10))-1))</f>
        <v>1.6730979295013722E-2</v>
      </c>
      <c r="P1771" s="48">
        <v>1.9</v>
      </c>
      <c r="R1771" s="30"/>
      <c r="S1771" s="30"/>
    </row>
    <row r="1772" spans="1:19" ht="13" x14ac:dyDescent="0.3">
      <c r="A1772" s="52" t="s">
        <v>1788</v>
      </c>
      <c r="B1772" s="6">
        <v>2793.64</v>
      </c>
      <c r="C1772" s="1">
        <f>C1771*2/3+C1774/3</f>
        <v>51.44</v>
      </c>
      <c r="D1772" s="6">
        <f>D1771*2/3+D1774/3</f>
        <v>125.11666666666667</v>
      </c>
      <c r="E1772" s="6">
        <v>252.006</v>
      </c>
      <c r="F1772" s="2">
        <f t="shared" si="135"/>
        <v>2018.5416666665326</v>
      </c>
      <c r="G1772" s="17">
        <v>2.89</v>
      </c>
      <c r="H1772" s="1">
        <f>B1772*$E$1867/E1772</f>
        <v>3715.0675119243192</v>
      </c>
      <c r="I1772" s="1">
        <f>C1772*$E$1867/E1772</f>
        <v>68.406477861638223</v>
      </c>
      <c r="J1772" s="26">
        <f t="shared" si="136"/>
        <v>2240923.8192532007</v>
      </c>
      <c r="K1772" s="1">
        <f>D1772*$E$1867/E1772</f>
        <v>166.38395195286358</v>
      </c>
      <c r="L1772" s="26">
        <f t="shared" si="134"/>
        <v>100362.58018889203</v>
      </c>
      <c r="M1772" s="10">
        <f t="shared" si="132"/>
        <v>31.886366962158981</v>
      </c>
      <c r="N1772" s="4">
        <f t="shared" si="133"/>
        <v>34.731777571325317</v>
      </c>
      <c r="O1772" s="36">
        <f>1/M1772-(G1772/100-(((E1772/E1652)^(1/10))-1))</f>
        <v>1.6153150850947942E-2</v>
      </c>
      <c r="P1772" s="48">
        <v>1.96</v>
      </c>
      <c r="R1772" s="30"/>
      <c r="S1772" s="30"/>
    </row>
    <row r="1773" spans="1:19" ht="13" x14ac:dyDescent="0.3">
      <c r="A1773" s="52" t="s">
        <v>1789</v>
      </c>
      <c r="B1773" s="6">
        <v>2857.82</v>
      </c>
      <c r="C1773" s="1">
        <f>C1771/3+C1774*2/3</f>
        <v>51.89</v>
      </c>
      <c r="D1773" s="6">
        <f>D1771/3+D1774*2/3</f>
        <v>127.75333333333333</v>
      </c>
      <c r="E1773" s="6">
        <v>252.14599999999999</v>
      </c>
      <c r="F1773" s="2">
        <f>F1772+1/12</f>
        <v>2018.6249999998658</v>
      </c>
      <c r="G1773" s="17">
        <v>2.89</v>
      </c>
      <c r="H1773" s="1">
        <f>B1773*$E$1867/E1773</f>
        <v>3798.3059098895087</v>
      </c>
      <c r="I1773" s="1">
        <f>C1773*$E$1867/E1773</f>
        <v>68.96658770117314</v>
      </c>
      <c r="J1773" s="26">
        <f t="shared" si="136"/>
        <v>2294599.8239186974</v>
      </c>
      <c r="K1773" s="1">
        <f>D1773*$E$1867/E1773</f>
        <v>169.79594271440621</v>
      </c>
      <c r="L1773" s="26">
        <f t="shared" si="134"/>
        <v>102575.66122838155</v>
      </c>
      <c r="M1773" s="10">
        <f t="shared" si="132"/>
        <v>32.390276880301109</v>
      </c>
      <c r="N1773" s="4">
        <f t="shared" si="133"/>
        <v>35.27462940829561</v>
      </c>
      <c r="O1773" s="36">
        <f>1/M1773-(G1773/100-(((E1773/E1653)^(1/10))-1))</f>
        <v>1.6127083652587609E-2</v>
      </c>
      <c r="P1773" s="48">
        <v>2.0299999999999998</v>
      </c>
      <c r="R1773" s="30"/>
      <c r="S1773" s="30"/>
    </row>
    <row r="1774" spans="1:19" ht="13" x14ac:dyDescent="0.3">
      <c r="A1774" s="52" t="s">
        <v>1790</v>
      </c>
      <c r="B1774" s="6">
        <v>2901.5</v>
      </c>
      <c r="C1774" s="1">
        <v>52.34</v>
      </c>
      <c r="D1774" s="6">
        <v>130.38999999999999</v>
      </c>
      <c r="E1774" s="6">
        <v>252.43899999999999</v>
      </c>
      <c r="F1774" s="2">
        <f t="shared" si="135"/>
        <v>2018.7083333331991</v>
      </c>
      <c r="G1774" s="17">
        <v>3</v>
      </c>
      <c r="H1774" s="1">
        <f>B1774*$E$1867/E1774</f>
        <v>3851.884664711079</v>
      </c>
      <c r="I1774" s="1">
        <f>C1774*$E$1867/E1774</f>
        <v>69.483937050138849</v>
      </c>
      <c r="J1774" s="26">
        <f t="shared" si="136"/>
        <v>2330465.3625091258</v>
      </c>
      <c r="K1774" s="1">
        <f>D1774*$E$1867/E1774</f>
        <v>173.09916988856713</v>
      </c>
      <c r="L1774" s="26">
        <f t="shared" si="134"/>
        <v>104728.3745020041</v>
      </c>
      <c r="M1774" s="10">
        <f t="shared" si="132"/>
        <v>32.622891120500192</v>
      </c>
      <c r="N1774" s="4">
        <f t="shared" si="133"/>
        <v>35.522018512241388</v>
      </c>
      <c r="O1774" s="36">
        <f>1/M1774-(G1774/100-(((E1774/E1654)^(1/10))-1))</f>
        <v>1.5065111583944912E-2</v>
      </c>
      <c r="P1774" s="48">
        <v>2.13</v>
      </c>
      <c r="R1774" s="30"/>
      <c r="S1774" s="30"/>
    </row>
    <row r="1775" spans="1:19" ht="13" x14ac:dyDescent="0.3">
      <c r="A1775" s="52" t="s">
        <v>1791</v>
      </c>
      <c r="B1775" s="6">
        <v>2785.46</v>
      </c>
      <c r="C1775" s="1">
        <f>C1774*2/3+C1777/3</f>
        <v>52.81</v>
      </c>
      <c r="D1775" s="6">
        <f>D1774*2/3+D1777/3</f>
        <v>131.05666666666667</v>
      </c>
      <c r="E1775" s="6">
        <v>252.88499999999999</v>
      </c>
      <c r="F1775" s="2">
        <f t="shared" si="135"/>
        <v>2018.7916666665324</v>
      </c>
      <c r="G1775" s="17">
        <v>3.15</v>
      </c>
      <c r="H1775" s="1">
        <f>B1775*$E$1867/E1775</f>
        <v>3691.3141501670721</v>
      </c>
      <c r="I1775" s="1">
        <f>C1775*$E$1867/E1775</f>
        <v>69.984239684046116</v>
      </c>
      <c r="J1775" s="26">
        <f t="shared" si="136"/>
        <v>2236845.5547441845</v>
      </c>
      <c r="K1775" s="1">
        <f>D1775*$E$1867/E1775</f>
        <v>173.67735603469299</v>
      </c>
      <c r="L1775" s="26">
        <f t="shared" si="134"/>
        <v>105244.20463870374</v>
      </c>
      <c r="M1775" s="10">
        <f t="shared" si="132"/>
        <v>31.037961078006504</v>
      </c>
      <c r="N1775" s="4">
        <f t="shared" si="133"/>
        <v>33.793743849936078</v>
      </c>
      <c r="O1775" s="36">
        <f>1/M1775-(G1775/100-(((E1775/E1655)^(1/10))-1))</f>
        <v>1.6340087128316701E-2</v>
      </c>
      <c r="P1775" s="48">
        <v>2.25</v>
      </c>
      <c r="R1775" s="30"/>
      <c r="S1775" s="30"/>
    </row>
    <row r="1776" spans="1:19" ht="13" x14ac:dyDescent="0.3">
      <c r="A1776" s="52" t="s">
        <v>1792</v>
      </c>
      <c r="B1776" s="6">
        <v>2723.23</v>
      </c>
      <c r="C1776" s="1">
        <f>C1774/3+C1777*2/3</f>
        <v>53.28</v>
      </c>
      <c r="D1776" s="6">
        <f>D1774/3+D1777*2/3</f>
        <v>131.72333333333333</v>
      </c>
      <c r="E1776" s="6">
        <v>252.03800000000001</v>
      </c>
      <c r="F1776" s="2">
        <f t="shared" si="135"/>
        <v>2018.8749999998656</v>
      </c>
      <c r="G1776" s="17">
        <v>3.12</v>
      </c>
      <c r="H1776" s="1">
        <f>B1776*$E$1867/E1776</f>
        <v>3620.9743552857108</v>
      </c>
      <c r="I1776" s="1">
        <f>C1776*$E$1867/E1776</f>
        <v>70.844369975956013</v>
      </c>
      <c r="J1776" s="26">
        <f t="shared" si="136"/>
        <v>2197798.8651010068</v>
      </c>
      <c r="K1776" s="1">
        <f>D1776*$E$1867/E1776</f>
        <v>175.14745797922004</v>
      </c>
      <c r="L1776" s="26">
        <f t="shared" si="134"/>
        <v>106308.09461827374</v>
      </c>
      <c r="M1776" s="10">
        <f t="shared" si="132"/>
        <v>30.195583406705239</v>
      </c>
      <c r="N1776" s="4">
        <f t="shared" si="133"/>
        <v>32.880333947031986</v>
      </c>
      <c r="O1776" s="36">
        <f>1/M1776-(G1776/100-(((E1776/E1656)^(1/10))-1))</f>
        <v>1.9163540746558339E-2</v>
      </c>
      <c r="P1776" s="48">
        <v>2.33</v>
      </c>
      <c r="R1776" s="30"/>
      <c r="S1776" s="30"/>
    </row>
    <row r="1777" spans="1:19" ht="13" x14ac:dyDescent="0.3">
      <c r="A1777" s="52" t="s">
        <v>1793</v>
      </c>
      <c r="B1777" s="6">
        <v>2567.31</v>
      </c>
      <c r="C1777" s="1">
        <v>53.75</v>
      </c>
      <c r="D1777" s="6">
        <v>132.38999999999999</v>
      </c>
      <c r="E1777" s="6">
        <v>251.233</v>
      </c>
      <c r="F1777" s="2">
        <f t="shared" si="135"/>
        <v>2018.9583333331989</v>
      </c>
      <c r="G1777" s="17">
        <v>2.83</v>
      </c>
      <c r="H1777" s="1">
        <f>B1777*$E$1867/E1777</f>
        <v>3424.5915368502547</v>
      </c>
      <c r="I1777" s="1">
        <f>C1777*$E$1867/E1777</f>
        <v>71.698312671902173</v>
      </c>
      <c r="J1777" s="26">
        <f t="shared" si="136"/>
        <v>2082228.2050418125</v>
      </c>
      <c r="K1777" s="1">
        <f>D1777*$E$1867/E1777</f>
        <v>176.59794631875587</v>
      </c>
      <c r="L1777" s="26">
        <f t="shared" si="134"/>
        <v>107375.49889397288</v>
      </c>
      <c r="M1777" s="10">
        <f t="shared" si="132"/>
        <v>28.291857012072878</v>
      </c>
      <c r="N1777" s="4">
        <f t="shared" si="133"/>
        <v>30.818335095022316</v>
      </c>
      <c r="O1777" s="36">
        <f>1/M1777-(G1777/100-(((E1777/E1657)^(1/10))-1))</f>
        <v>2.5024375553964872E-2</v>
      </c>
      <c r="P1777" s="48">
        <v>2.37</v>
      </c>
      <c r="R1777" s="30"/>
      <c r="S1777" s="30"/>
    </row>
    <row r="1778" spans="1:19" ht="13" x14ac:dyDescent="0.3">
      <c r="A1778" s="52" t="s">
        <v>1794</v>
      </c>
      <c r="B1778" s="6">
        <v>2607.39</v>
      </c>
      <c r="C1778" s="1">
        <f>C1777*2/3+C1780/3</f>
        <v>54.146666666666668</v>
      </c>
      <c r="D1778" s="6">
        <f>D1777*2/3+D1780/3</f>
        <v>133.05666666666664</v>
      </c>
      <c r="E1778" s="6">
        <v>251.71199999999999</v>
      </c>
      <c r="F1778" s="2">
        <f t="shared" si="135"/>
        <v>2019.0416666665321</v>
      </c>
      <c r="G1778" s="17">
        <v>2.71</v>
      </c>
      <c r="H1778" s="1">
        <f>B1778*$E$1867/E1778</f>
        <v>3471.4365052023741</v>
      </c>
      <c r="I1778" s="1">
        <f>C1778*$E$1867/E1778</f>
        <v>72.089988571595057</v>
      </c>
      <c r="J1778" s="26">
        <f t="shared" si="136"/>
        <v>2114363.6866435208</v>
      </c>
      <c r="K1778" s="1">
        <f>D1778*$E$1867/E1778</f>
        <v>177.14947511772712</v>
      </c>
      <c r="L1778" s="26">
        <f t="shared" si="134"/>
        <v>107897.2398704572</v>
      </c>
      <c r="M1778" s="10">
        <f t="shared" si="132"/>
        <v>28.380164463547587</v>
      </c>
      <c r="N1778" s="4">
        <f t="shared" si="133"/>
        <v>30.92910569429333</v>
      </c>
      <c r="O1778" s="36">
        <f>1/M1778-(G1778/100-(((E1778/E1658)^(1/10))-1))</f>
        <v>2.5866221302712572E-2</v>
      </c>
      <c r="P1778" s="48">
        <v>2.37</v>
      </c>
      <c r="R1778" s="30"/>
      <c r="S1778" s="30"/>
    </row>
    <row r="1779" spans="1:19" ht="13" x14ac:dyDescent="0.3">
      <c r="A1779" s="52" t="s">
        <v>1795</v>
      </c>
      <c r="B1779" s="6">
        <v>2754.86</v>
      </c>
      <c r="C1779" s="1">
        <f>C1777/3+C1780*2/3</f>
        <v>54.543333333333337</v>
      </c>
      <c r="D1779" s="6">
        <f>D1777/3+D1780*2/3</f>
        <v>133.7233333333333</v>
      </c>
      <c r="E1779" s="6">
        <v>252.77600000000001</v>
      </c>
      <c r="F1779" s="2">
        <f t="shared" si="135"/>
        <v>2019.1249999998654</v>
      </c>
      <c r="G1779" s="17">
        <v>2.68</v>
      </c>
      <c r="H1779" s="1">
        <f>B1779*$E$1867/E1779</f>
        <v>3652.3370344296927</v>
      </c>
      <c r="I1779" s="1">
        <f>C1779*$E$1867/E1779</f>
        <v>72.312435591854708</v>
      </c>
      <c r="J1779" s="26">
        <f t="shared" si="136"/>
        <v>2228215.9036223469</v>
      </c>
      <c r="K1779" s="1">
        <f>D1779*$E$1867/E1779</f>
        <v>177.28765988134418</v>
      </c>
      <c r="L1779" s="26">
        <f t="shared" si="134"/>
        <v>108159.56455817196</v>
      </c>
      <c r="M1779" s="10">
        <f t="shared" si="132"/>
        <v>29.541548965131216</v>
      </c>
      <c r="N1779" s="4">
        <f t="shared" si="133"/>
        <v>32.208640010689507</v>
      </c>
      <c r="O1779" s="36">
        <f>1/M1779-(G1779/100-(((E1779/E1659)^(1/10))-1))</f>
        <v>2.4705412201290359E-2</v>
      </c>
      <c r="P1779" s="48">
        <v>2.39</v>
      </c>
      <c r="R1779" s="30"/>
      <c r="S1779" s="30"/>
    </row>
    <row r="1780" spans="1:19" ht="13" x14ac:dyDescent="0.3">
      <c r="A1780" s="52" t="s">
        <v>1796</v>
      </c>
      <c r="B1780" s="6">
        <v>2803.98</v>
      </c>
      <c r="C1780" s="14">
        <v>54.94</v>
      </c>
      <c r="D1780" s="6">
        <v>134.38999999999999</v>
      </c>
      <c r="E1780" s="6">
        <v>254.202</v>
      </c>
      <c r="F1780" s="2">
        <f t="shared" si="135"/>
        <v>2019.2083333331987</v>
      </c>
      <c r="G1780" s="17">
        <v>2.57</v>
      </c>
      <c r="H1780" s="1">
        <f>B1780*$E$1867/E1780</f>
        <v>3696.6054495834019</v>
      </c>
      <c r="I1780" s="1">
        <f>C1780*$E$1867/E1780</f>
        <v>72.429726103649841</v>
      </c>
      <c r="J1780" s="26">
        <f t="shared" si="136"/>
        <v>2258905.4797988101</v>
      </c>
      <c r="K1780" s="1">
        <f>D1780*$E$1867/E1780</f>
        <v>177.17202204349294</v>
      </c>
      <c r="L1780" s="26">
        <f t="shared" si="134"/>
        <v>108265.50383032764</v>
      </c>
      <c r="M1780" s="10">
        <f t="shared" si="132"/>
        <v>29.576196014784831</v>
      </c>
      <c r="N1780" s="4">
        <f t="shared" si="133"/>
        <v>32.261038631649441</v>
      </c>
      <c r="O1780" s="36">
        <f>1/M1780-(G1780/100-(((E1780/E1660)^(1/10))-1))</f>
        <v>2.6091124483199838E-2</v>
      </c>
      <c r="P1780" s="48">
        <v>2.4</v>
      </c>
      <c r="R1780" s="30"/>
      <c r="S1780" s="30"/>
    </row>
    <row r="1781" spans="1:19" ht="13" x14ac:dyDescent="0.3">
      <c r="A1781" s="52" t="s">
        <v>1797</v>
      </c>
      <c r="B1781" s="6">
        <v>2903.8</v>
      </c>
      <c r="C1781" s="1">
        <f>C1780*2/3+C1783/3</f>
        <v>55.319091580592705</v>
      </c>
      <c r="D1781" s="6">
        <f>D1780*2/3+D1783/3</f>
        <v>134.68333333333334</v>
      </c>
      <c r="E1781" s="6">
        <v>255.548</v>
      </c>
      <c r="F1781" s="2">
        <f t="shared" si="135"/>
        <v>2019.2916666665319</v>
      </c>
      <c r="G1781" s="17">
        <v>2.5299999999999998</v>
      </c>
      <c r="H1781" s="1">
        <f>B1781*$E$1867/E1781</f>
        <v>3808.0388066038477</v>
      </c>
      <c r="I1781" s="1">
        <f>C1781*$E$1867/E1781</f>
        <v>72.545370715947783</v>
      </c>
      <c r="J1781" s="26">
        <f t="shared" si="136"/>
        <v>2330693.9135512211</v>
      </c>
      <c r="K1781" s="1">
        <f>D1781*$E$1867/E1781</f>
        <v>176.6235139941094</v>
      </c>
      <c r="L1781" s="26">
        <f t="shared" si="134"/>
        <v>108101.66859177295</v>
      </c>
      <c r="M1781" s="10">
        <f t="shared" si="132"/>
        <v>30.133517171387524</v>
      </c>
      <c r="N1781" s="4">
        <f t="shared" si="133"/>
        <v>32.883690363719715</v>
      </c>
      <c r="O1781" s="36">
        <f>1/M1781-(G1781/100-(((E1781/E1661)^(1/10))-1))</f>
        <v>2.6149618052130178E-2</v>
      </c>
      <c r="P1781" s="48">
        <v>2.38</v>
      </c>
      <c r="R1781" s="30"/>
      <c r="S1781" s="30"/>
    </row>
    <row r="1782" spans="1:19" ht="13" x14ac:dyDescent="0.3">
      <c r="A1782" s="52" t="s">
        <v>1798</v>
      </c>
      <c r="B1782" s="6">
        <v>2854.71</v>
      </c>
      <c r="C1782" s="1">
        <f>C1780/3+C1783*2/3</f>
        <v>55.698183161185412</v>
      </c>
      <c r="D1782" s="6">
        <f>D1780/3+D1783*2/3</f>
        <v>134.97666666666666</v>
      </c>
      <c r="E1782" s="6">
        <v>256.09199999999998</v>
      </c>
      <c r="F1782" s="2">
        <f t="shared" si="135"/>
        <v>2019.3749999998652</v>
      </c>
      <c r="G1782" s="17">
        <v>2.4</v>
      </c>
      <c r="H1782" s="1">
        <f>B1782*$E$1867/E1782</f>
        <v>3735.7098325113634</v>
      </c>
      <c r="I1782" s="1">
        <f>C1782*$E$1867/E1782</f>
        <v>72.887351250480492</v>
      </c>
      <c r="J1782" s="26">
        <f t="shared" si="136"/>
        <v>2290142.8060900522</v>
      </c>
      <c r="K1782" s="1">
        <f>D1782*$E$1867/E1782</f>
        <v>176.63218359352629</v>
      </c>
      <c r="L1782" s="26">
        <f t="shared" si="134"/>
        <v>108282.74751434702</v>
      </c>
      <c r="M1782" s="10">
        <f t="shared" si="132"/>
        <v>29.242030936939859</v>
      </c>
      <c r="N1782" s="4">
        <f t="shared" si="133"/>
        <v>31.926648340129937</v>
      </c>
      <c r="O1782" s="36">
        <f>1/M1782-(G1782/100-(((E1782/E1662)^(1/10))-1))</f>
        <v>2.8384138933322742E-2</v>
      </c>
      <c r="P1782" s="48">
        <v>2.35</v>
      </c>
      <c r="R1782" s="30"/>
      <c r="S1782" s="30"/>
    </row>
    <row r="1783" spans="1:19" ht="13" x14ac:dyDescent="0.3">
      <c r="A1783" s="52" t="s">
        <v>1799</v>
      </c>
      <c r="B1783" s="6">
        <v>2890.17</v>
      </c>
      <c r="C1783" s="14">
        <v>56.077274741778119</v>
      </c>
      <c r="D1783" s="6">
        <v>135.27000000000001</v>
      </c>
      <c r="E1783" s="6">
        <v>256.14299999999997</v>
      </c>
      <c r="F1783" s="2">
        <f t="shared" si="135"/>
        <v>2019.4583333331984</v>
      </c>
      <c r="G1783" s="17">
        <v>2.06</v>
      </c>
      <c r="H1783" s="1">
        <f>B1783*$E$1867/E1783</f>
        <v>3781.360192519413</v>
      </c>
      <c r="I1783" s="1">
        <f>C1783*$E$1867/E1783</f>
        <v>73.368824122295266</v>
      </c>
      <c r="J1783" s="26">
        <f t="shared" si="136"/>
        <v>2321876.5164902541</v>
      </c>
      <c r="K1783" s="1">
        <f>D1783*$E$1867/E1783</f>
        <v>176.98079809910871</v>
      </c>
      <c r="L1783" s="26">
        <f t="shared" si="134"/>
        <v>108671.89002226053</v>
      </c>
      <c r="M1783" s="10">
        <f t="shared" si="132"/>
        <v>29.283796275306269</v>
      </c>
      <c r="N1783" s="4">
        <f t="shared" si="133"/>
        <v>31.98794203459623</v>
      </c>
      <c r="O1783" s="36">
        <f>1/M1783-(G1783/100-(((E1783/E1663)^(1/10))-1))</f>
        <v>3.0885119389954162E-2</v>
      </c>
      <c r="P1783" s="48">
        <v>2.17</v>
      </c>
      <c r="R1783" s="30"/>
      <c r="S1783" s="30"/>
    </row>
    <row r="1784" spans="1:19" ht="13" x14ac:dyDescent="0.3">
      <c r="A1784" s="52" t="s">
        <v>1800</v>
      </c>
      <c r="B1784" s="6">
        <v>2996.1136363636365</v>
      </c>
      <c r="C1784" s="1">
        <f>C1783*2/3+C1786/3</f>
        <v>56.458183161185417</v>
      </c>
      <c r="D1784" s="6">
        <f>D1783*2/3+D1786/3</f>
        <v>134.48000000000002</v>
      </c>
      <c r="E1784" s="6">
        <v>256.57100000000003</v>
      </c>
      <c r="F1784" s="2">
        <f t="shared" si="135"/>
        <v>2019.5416666665317</v>
      </c>
      <c r="G1784" s="17">
        <v>1.63</v>
      </c>
      <c r="H1784" s="1">
        <f>B1784*$E$1867/E1784</f>
        <v>3913.4326615820678</v>
      </c>
      <c r="I1784" s="1">
        <f>C1784*$E$1867/E1784</f>
        <v>73.743964619688313</v>
      </c>
      <c r="J1784" s="26">
        <f>J1783*((H1784+(I1784/12))/H1783)</f>
        <v>2406746.6812879075</v>
      </c>
      <c r="K1784" s="1">
        <f>D1784*$E$1867/E1784</f>
        <v>175.6536928179724</v>
      </c>
      <c r="L1784" s="26">
        <f t="shared" si="134"/>
        <v>108026.37449106268</v>
      </c>
      <c r="M1784" s="10">
        <f t="shared" si="132"/>
        <v>29.986685335042527</v>
      </c>
      <c r="N1784" s="4">
        <f>J1784/AVERAGE(L1664:L1783)</f>
        <v>32.770388154606195</v>
      </c>
      <c r="O1784" s="36">
        <f>1/M1784-(G1784/100-(((E1784/E1664)^(1/10))-1))</f>
        <v>3.4716014055352365E-2</v>
      </c>
      <c r="P1784" s="48">
        <v>2.1</v>
      </c>
      <c r="R1784" s="30"/>
      <c r="S1784" s="30"/>
    </row>
    <row r="1785" spans="1:19" ht="13" x14ac:dyDescent="0.3">
      <c r="A1785" s="52" t="s">
        <v>1801</v>
      </c>
      <c r="B1785" s="19">
        <v>2897.4981818181818</v>
      </c>
      <c r="C1785" s="1">
        <f>C1783/3+C1786*2/3</f>
        <v>56.839091580592708</v>
      </c>
      <c r="D1785" s="6">
        <f>D1783/3+D1786*2/3</f>
        <v>133.69</v>
      </c>
      <c r="E1785" s="6">
        <v>256.55799999999999</v>
      </c>
      <c r="F1785" s="2">
        <f t="shared" si="135"/>
        <v>2019.6249999998649</v>
      </c>
      <c r="G1785" s="17">
        <v>1.63</v>
      </c>
      <c r="H1785" s="1">
        <f>B1785*$E$1867/E1785</f>
        <v>3784.8159190372689</v>
      </c>
      <c r="I1785" s="1">
        <f>C1785*$E$1867/E1785</f>
        <v>74.24525750792813</v>
      </c>
      <c r="J1785" s="26">
        <f t="shared" si="136"/>
        <v>2331452.9047411247</v>
      </c>
      <c r="K1785" s="1">
        <f>D1785*$E$1867/E1785</f>
        <v>174.63066703240594</v>
      </c>
      <c r="L1785" s="26">
        <f t="shared" si="134"/>
        <v>107572.78150878912</v>
      </c>
      <c r="M1785" s="10">
        <f t="shared" si="132"/>
        <v>28.705397371833083</v>
      </c>
      <c r="N1785" s="4">
        <f t="shared" si="133"/>
        <v>31.386112854170051</v>
      </c>
      <c r="O1785" s="36">
        <f>1/M1785-(G1785/100-(((E1785/E1665)^(1/10))-1))</f>
        <v>3.5971412380679177E-2</v>
      </c>
      <c r="P1785" s="48">
        <v>1.95</v>
      </c>
      <c r="R1785" s="30"/>
      <c r="S1785" s="30"/>
    </row>
    <row r="1786" spans="1:19" ht="13" x14ac:dyDescent="0.3">
      <c r="A1786" s="52" t="s">
        <v>1802</v>
      </c>
      <c r="B1786" s="19">
        <v>2982.1559999999999</v>
      </c>
      <c r="C1786" s="1">
        <v>57.22</v>
      </c>
      <c r="D1786" s="6">
        <v>132.9</v>
      </c>
      <c r="E1786" s="6">
        <v>256.75900000000001</v>
      </c>
      <c r="F1786" s="2">
        <f t="shared" si="135"/>
        <v>2019.7083333331982</v>
      </c>
      <c r="G1786" s="17">
        <v>1.7</v>
      </c>
      <c r="H1786" s="1">
        <f>B1786*$E$1867/E1786</f>
        <v>3892.3495380454042</v>
      </c>
      <c r="I1786" s="1">
        <f>C1786*$E$1867/E1786</f>
        <v>74.684302419778845</v>
      </c>
      <c r="J1786" s="26">
        <f t="shared" si="136"/>
        <v>2401527.5975536359</v>
      </c>
      <c r="K1786" s="1">
        <f>D1786*$E$1867/E1786</f>
        <v>173.46284151675306</v>
      </c>
      <c r="L1786" s="26">
        <f t="shared" si="134"/>
        <v>107024.25282744371</v>
      </c>
      <c r="M1786" s="10">
        <f t="shared" ref="M1786:M1794" si="137">H1786/AVERAGE(K1666:K1785)</f>
        <v>29.229520233035281</v>
      </c>
      <c r="N1786" s="4">
        <f t="shared" ref="N1786:N1793" si="138">J1786/AVERAGE(L1666:L1785)</f>
        <v>31.974134120476887</v>
      </c>
      <c r="O1786" s="36">
        <f>1/M1786-(G1786/100-(((E1786/E1666)^(1/10))-1))</f>
        <v>3.4662807416811853E-2</v>
      </c>
      <c r="P1786" s="48">
        <v>1.89</v>
      </c>
      <c r="R1786" s="30"/>
      <c r="S1786" s="30"/>
    </row>
    <row r="1787" spans="1:19" ht="13" x14ac:dyDescent="0.3">
      <c r="A1787" s="52" t="s">
        <v>1803</v>
      </c>
      <c r="B1787" s="19">
        <v>2977.68</v>
      </c>
      <c r="C1787" s="1">
        <f>C1786*2/3+C1789/3</f>
        <v>57.56</v>
      </c>
      <c r="D1787" s="6">
        <f>D1786*2/3+D1789/3</f>
        <v>135.09</v>
      </c>
      <c r="E1787" s="6">
        <v>257.346</v>
      </c>
      <c r="F1787" s="2">
        <f t="shared" si="135"/>
        <v>2019.7916666665315</v>
      </c>
      <c r="G1787" s="17">
        <v>1.71</v>
      </c>
      <c r="H1787" s="1">
        <f>B1787*$E$1867/E1787</f>
        <v>3877.6423741577482</v>
      </c>
      <c r="I1787" s="1">
        <f>C1787*$E$1867/E1787</f>
        <v>74.956709604967642</v>
      </c>
      <c r="J1787" s="26">
        <f t="shared" si="136"/>
        <v>2396307.4147657077</v>
      </c>
      <c r="K1787" s="1">
        <f>D1787*$E$1867/E1787</f>
        <v>175.91907401902498</v>
      </c>
      <c r="L1787" s="26">
        <f t="shared" si="134"/>
        <v>108714.55920740291</v>
      </c>
      <c r="M1787" s="10">
        <f t="shared" si="137"/>
        <v>28.84112288195341</v>
      </c>
      <c r="N1787" s="4">
        <f t="shared" si="138"/>
        <v>31.564281230570678</v>
      </c>
      <c r="O1787" s="36">
        <f>1/M1787-(G1787/100-(((E1787/E1667)^(1/10))-1))</f>
        <v>3.5157941464796741E-2</v>
      </c>
      <c r="P1787" s="48">
        <v>1.65</v>
      </c>
      <c r="R1787" s="30"/>
      <c r="S1787" s="30"/>
    </row>
    <row r="1788" spans="1:19" ht="13" x14ac:dyDescent="0.3">
      <c r="A1788" s="52" t="s">
        <v>1804</v>
      </c>
      <c r="B1788" s="19">
        <v>3104.9044999999996</v>
      </c>
      <c r="C1788" s="1">
        <f>C1786/3+C1789*2/3</f>
        <v>57.900000000000006</v>
      </c>
      <c r="D1788" s="6">
        <f>D1786/3+D1789*2/3</f>
        <v>137.28</v>
      </c>
      <c r="E1788" s="6">
        <v>257.20800000000003</v>
      </c>
      <c r="F1788" s="2">
        <f t="shared" si="135"/>
        <v>2019.8749999998647</v>
      </c>
      <c r="G1788" s="17">
        <v>1.81</v>
      </c>
      <c r="H1788" s="1">
        <f>B1788*$E$1867/E1788</f>
        <v>4045.4880749767685</v>
      </c>
      <c r="I1788" s="1">
        <f>C1788*$E$1867/E1788</f>
        <v>75.439924010917238</v>
      </c>
      <c r="J1788" s="26">
        <f t="shared" si="136"/>
        <v>2503917.8202438196</v>
      </c>
      <c r="K1788" s="1">
        <f>D1788*$E$1867/E1788</f>
        <v>178.86688718857886</v>
      </c>
      <c r="L1788" s="26">
        <f t="shared" si="134"/>
        <v>110708.02285966335</v>
      </c>
      <c r="M1788" s="10">
        <f t="shared" si="137"/>
        <v>29.836867659083431</v>
      </c>
      <c r="N1788" s="4">
        <f t="shared" si="138"/>
        <v>32.663322842581991</v>
      </c>
      <c r="O1788" s="36">
        <f>1/M1788-(G1788/100-(((E1788/E1668)^(1/10))-1))</f>
        <v>3.2874241630862971E-2</v>
      </c>
      <c r="P1788" s="48">
        <v>1.54</v>
      </c>
      <c r="R1788" s="30"/>
      <c r="S1788" s="30"/>
    </row>
    <row r="1789" spans="1:19" ht="13" x14ac:dyDescent="0.3">
      <c r="A1789" s="52" t="s">
        <v>1805</v>
      </c>
      <c r="B1789" s="19">
        <v>3176.7495238095235</v>
      </c>
      <c r="C1789" s="1">
        <v>58.24</v>
      </c>
      <c r="D1789" s="6">
        <v>139.47</v>
      </c>
      <c r="E1789" s="6">
        <v>256.97399999999999</v>
      </c>
      <c r="F1789" s="2">
        <f t="shared" si="135"/>
        <v>2019.958333333198</v>
      </c>
      <c r="G1789" s="17">
        <v>1.86</v>
      </c>
      <c r="H1789" s="1">
        <f>B1789*$E$1867/E1789</f>
        <v>4142.8665092734964</v>
      </c>
      <c r="I1789" s="1">
        <f>C1789*$E$1867/E1789</f>
        <v>75.952020671351974</v>
      </c>
      <c r="J1789" s="26">
        <f t="shared" si="136"/>
        <v>2568106.794965093</v>
      </c>
      <c r="K1789" s="1">
        <f>D1789*$E$1867/E1789</f>
        <v>181.88578851362396</v>
      </c>
      <c r="L1789" s="26">
        <f t="shared" si="134"/>
        <v>112748.53494406551</v>
      </c>
      <c r="M1789" s="10">
        <f t="shared" si="137"/>
        <v>30.331822322243291</v>
      </c>
      <c r="N1789" s="4">
        <f t="shared" si="138"/>
        <v>33.209287577306583</v>
      </c>
      <c r="O1789" s="36">
        <f>1/M1789-(G1789/100-(((E1789/E1669)^(1/10))-1))</f>
        <v>3.1914083264958301E-2</v>
      </c>
      <c r="P1789" s="48">
        <v>1.54</v>
      </c>
      <c r="R1789" s="30"/>
      <c r="S1789" s="30"/>
    </row>
    <row r="1790" spans="1:19" ht="13" x14ac:dyDescent="0.3">
      <c r="A1790" s="52" t="s">
        <v>1806</v>
      </c>
      <c r="B1790" s="19">
        <v>3278.2028571428577</v>
      </c>
      <c r="C1790" s="1">
        <f>C1789*2/3+C1792/3</f>
        <v>58.686867862126704</v>
      </c>
      <c r="D1790" s="6">
        <f>D1789*2/3+D1792/3</f>
        <v>131.75666666666666</v>
      </c>
      <c r="E1790" s="6">
        <v>257.971</v>
      </c>
      <c r="F1790" s="2">
        <f t="shared" si="135"/>
        <v>2020.0416666665312</v>
      </c>
      <c r="G1790" s="17">
        <v>1.76</v>
      </c>
      <c r="H1790" s="1">
        <f>B1790*$E$1867/E1790</f>
        <v>4258.6513679859918</v>
      </c>
      <c r="I1790" s="1">
        <f>C1790*$E$1867/E1790</f>
        <v>76.239000755946122</v>
      </c>
      <c r="J1790" s="26">
        <f t="shared" si="136"/>
        <v>2643818.553084359</v>
      </c>
      <c r="K1790" s="1">
        <f>D1790*$E$1867/E1790</f>
        <v>171.16259523680307</v>
      </c>
      <c r="L1790" s="26">
        <f t="shared" ref="L1790:L1795" si="139">K1790*(J1790/H1790)</f>
        <v>106259.65963847761</v>
      </c>
      <c r="M1790" s="10">
        <f t="shared" si="137"/>
        <v>30.985220300230704</v>
      </c>
      <c r="N1790" s="4">
        <f t="shared" si="138"/>
        <v>33.923158399287829</v>
      </c>
      <c r="O1790" s="36">
        <f>1/M1790-(G1790/100-(((E1790/E1670)^(1/10))-1))</f>
        <v>3.2265730188327416E-2</v>
      </c>
      <c r="P1790" s="48">
        <v>1.52</v>
      </c>
      <c r="R1790" s="30"/>
      <c r="S1790" s="30"/>
    </row>
    <row r="1791" spans="1:19" ht="13" x14ac:dyDescent="0.3">
      <c r="A1791" s="52" t="s">
        <v>1807</v>
      </c>
      <c r="B1791" s="19">
        <v>3277.3142105263164</v>
      </c>
      <c r="C1791" s="1">
        <f>C1789/3+C1792*2/3</f>
        <v>59.133735724253413</v>
      </c>
      <c r="D1791" s="6">
        <f>D1789/3+D1792*2/3</f>
        <v>124.04333333333332</v>
      </c>
      <c r="E1791" s="6">
        <v>258.678</v>
      </c>
      <c r="F1791" s="2">
        <f t="shared" ref="F1791:F1805" si="140">F1790+1/12</f>
        <v>2020.1249999998645</v>
      </c>
      <c r="G1791" s="17">
        <v>1.5</v>
      </c>
      <c r="H1791" s="1">
        <f>B1791*$E$1867/E1791</f>
        <v>4245.8606612513795</v>
      </c>
      <c r="I1791" s="1">
        <f>C1791*$E$1867/E1791</f>
        <v>76.609560797688076</v>
      </c>
      <c r="J1791" s="26">
        <f t="shared" si="136"/>
        <v>2639841.2784043257</v>
      </c>
      <c r="K1791" s="1">
        <f>D1791*$E$1867/E1791</f>
        <v>160.70192708373602</v>
      </c>
      <c r="L1791" s="26">
        <f t="shared" si="139"/>
        <v>99915.568239522996</v>
      </c>
      <c r="M1791" s="10">
        <f t="shared" si="137"/>
        <v>30.729689264735757</v>
      </c>
      <c r="N1791" s="4">
        <f t="shared" si="138"/>
        <v>33.643652731592475</v>
      </c>
      <c r="O1791" s="36">
        <f>1/M1791-(G1791/100-(((E1791/E1671)^(1/10))-1))</f>
        <v>3.5387275516498728E-2</v>
      </c>
      <c r="P1791" s="48">
        <v>1.52</v>
      </c>
      <c r="R1791" s="30"/>
      <c r="S1791" s="30"/>
    </row>
    <row r="1792" spans="1:19" ht="13" x14ac:dyDescent="0.3">
      <c r="A1792" s="52" t="s">
        <v>1808</v>
      </c>
      <c r="B1792" s="19">
        <v>2652.3936363636367</v>
      </c>
      <c r="C1792" s="1">
        <v>59.580603586380121</v>
      </c>
      <c r="D1792" s="6">
        <v>116.33</v>
      </c>
      <c r="E1792" s="6">
        <v>258.11500000000001</v>
      </c>
      <c r="F1792" s="2">
        <f t="shared" si="140"/>
        <v>2020.2083333331977</v>
      </c>
      <c r="G1792" s="17">
        <v>0.87</v>
      </c>
      <c r="H1792" s="1">
        <f>B1792*$E$1867/E1792</f>
        <v>3443.7521278684803</v>
      </c>
      <c r="I1792" s="1">
        <f>C1792*$E$1867/E1792</f>
        <v>77.35685516934906</v>
      </c>
      <c r="J1792" s="26">
        <f t="shared" si="136"/>
        <v>2145142.5827076463</v>
      </c>
      <c r="K1792" s="1">
        <f>D1792*$E$1867/E1792</f>
        <v>151.03779451988453</v>
      </c>
      <c r="L1792" s="26">
        <f t="shared" si="139"/>
        <v>94082.730868145009</v>
      </c>
      <c r="M1792" s="10">
        <f t="shared" si="137"/>
        <v>24.817168629099424</v>
      </c>
      <c r="N1792" s="4">
        <f t="shared" si="138"/>
        <v>27.18163367791653</v>
      </c>
      <c r="O1792" s="36">
        <f>1/M1792-(G1792/100-(((E1792/E1672)^(1/10))-1))</f>
        <v>4.8801470894720596E-2</v>
      </c>
      <c r="P1792" s="48">
        <v>0.28999999999999998</v>
      </c>
      <c r="R1792" s="30"/>
      <c r="S1792" s="30"/>
    </row>
    <row r="1793" spans="1:19" ht="13" x14ac:dyDescent="0.3">
      <c r="A1793" s="52" t="s">
        <v>1809</v>
      </c>
      <c r="B1793" s="19">
        <v>2761.9752380952382</v>
      </c>
      <c r="C1793" s="1">
        <f>C1792*2/3+C1795/3</f>
        <v>59.613735724253416</v>
      </c>
      <c r="D1793" s="6">
        <f>D1792*2/3+D1795/3</f>
        <v>110.63</v>
      </c>
      <c r="E1793" s="6">
        <v>256.38900000000001</v>
      </c>
      <c r="F1793" s="2">
        <f t="shared" si="140"/>
        <v>2020.291666666531</v>
      </c>
      <c r="G1793" s="17">
        <v>0.66</v>
      </c>
      <c r="H1793" s="1">
        <f>B1793*$E$1867/E1793</f>
        <v>3610.1690874432061</v>
      </c>
      <c r="I1793" s="1">
        <f>C1793*$E$1867/E1793</f>
        <v>77.920925187993078</v>
      </c>
      <c r="J1793" s="26">
        <f t="shared" ref="J1793:J1798" si="141">J1792*((H1793+(I1793/12))/H1792)</f>
        <v>2252849.9274646156</v>
      </c>
      <c r="K1793" s="1">
        <f>D1793*$E$1867/E1793</f>
        <v>144.60412267101941</v>
      </c>
      <c r="L1793" s="26">
        <f t="shared" si="139"/>
        <v>90237.154930936566</v>
      </c>
      <c r="M1793" s="10">
        <f t="shared" si="137"/>
        <v>25.927358825280166</v>
      </c>
      <c r="N1793" s="4">
        <f t="shared" si="138"/>
        <v>28.407962507549229</v>
      </c>
      <c r="O1793" s="36">
        <f>1/M1793-(G1793/100-(((E1793/E1673)^(1/10))-1))</f>
        <v>4.8317436544444876E-2</v>
      </c>
      <c r="P1793" s="48">
        <v>0.14000000000000001</v>
      </c>
      <c r="R1793" s="30"/>
      <c r="S1793" s="30"/>
    </row>
    <row r="1794" spans="1:19" ht="13" x14ac:dyDescent="0.3">
      <c r="A1794" s="52" t="s">
        <v>1810</v>
      </c>
      <c r="B1794" s="19">
        <v>2919.6149999999998</v>
      </c>
      <c r="C1794" s="1">
        <f>C1792/3+C1795*2/3</f>
        <v>59.646867862126712</v>
      </c>
      <c r="D1794" s="6">
        <f>D1792/3+D1795*2/3</f>
        <v>104.93</v>
      </c>
      <c r="E1794" s="6">
        <v>256.39400000000001</v>
      </c>
      <c r="F1794" s="2">
        <f t="shared" si="140"/>
        <v>2020.3749999998643</v>
      </c>
      <c r="G1794" s="17">
        <v>0.67</v>
      </c>
      <c r="H1794" s="1">
        <f>B1794*$E$1867/E1794</f>
        <v>3816.1451000364668</v>
      </c>
      <c r="I1794" s="1">
        <f>C1794*$E$1867/E1794</f>
        <v>77.962711701569376</v>
      </c>
      <c r="J1794" s="26">
        <f t="shared" si="141"/>
        <v>2385439.1656839256</v>
      </c>
      <c r="K1794" s="1">
        <f>D1794*$E$1867/E1794</f>
        <v>137.15099605489988</v>
      </c>
      <c r="L1794" s="26">
        <f t="shared" si="139"/>
        <v>85731.896724470294</v>
      </c>
      <c r="M1794" s="10">
        <f t="shared" si="137"/>
        <v>27.328480997698463</v>
      </c>
      <c r="N1794" s="4">
        <f t="shared" ref="N1794:N1799" si="142">J1794/AVERAGE(L1674:L1793)</f>
        <v>29.951773296263571</v>
      </c>
      <c r="O1794" s="36">
        <f>1/M1794-(G1794/100-(((E1794/E1674)^(1/10))-1))</f>
        <v>4.6163229869854258E-2</v>
      </c>
      <c r="P1794" s="48">
        <v>0.13</v>
      </c>
      <c r="R1794" s="30"/>
      <c r="S1794" s="30"/>
    </row>
    <row r="1795" spans="1:19" ht="13" x14ac:dyDescent="0.3">
      <c r="A1795" s="52" t="s">
        <v>1811</v>
      </c>
      <c r="B1795" s="19">
        <v>3104.6609090909087</v>
      </c>
      <c r="C1795" s="1">
        <v>59.68</v>
      </c>
      <c r="D1795" s="6">
        <v>99.23</v>
      </c>
      <c r="E1795" s="6">
        <v>257.79700000000003</v>
      </c>
      <c r="F1795" s="2">
        <f t="shared" si="140"/>
        <v>2020.4583333331975</v>
      </c>
      <c r="G1795" s="17">
        <v>0.73</v>
      </c>
      <c r="H1795" s="1">
        <f>B1795*$E$1867/E1795</f>
        <v>4035.9285147783639</v>
      </c>
      <c r="I1795" s="1">
        <f>C1795*$E$1867/E1795</f>
        <v>77.581488225231467</v>
      </c>
      <c r="J1795" s="26">
        <f t="shared" si="141"/>
        <v>2526865.1627020403</v>
      </c>
      <c r="K1795" s="1">
        <f>D1795*$E$1867/E1795</f>
        <v>128.99482366939878</v>
      </c>
      <c r="L1795" s="26">
        <f t="shared" si="139"/>
        <v>80762.710465647659</v>
      </c>
      <c r="M1795" s="10">
        <f t="shared" ref="M1795:M1800" si="143">H1795/AVERAGE(K1675:K1794)</f>
        <v>28.838315955122848</v>
      </c>
      <c r="N1795" s="4">
        <f t="shared" si="142"/>
        <v>31.613284503327371</v>
      </c>
      <c r="O1795" s="36">
        <f>1/M1795-(G1795/100-(((E1795/E1675)^(1/10))-1))</f>
        <v>4.4301523235910648E-2</v>
      </c>
      <c r="P1795" s="48">
        <v>0.16</v>
      </c>
      <c r="R1795" s="30"/>
      <c r="S1795" s="30"/>
    </row>
    <row r="1796" spans="1:19" ht="13" x14ac:dyDescent="0.3">
      <c r="A1796" s="52" t="s">
        <v>1812</v>
      </c>
      <c r="B1796" s="19">
        <v>3207.6190909090906</v>
      </c>
      <c r="C1796" s="1">
        <f>C1795*2/3+C1798/3</f>
        <v>59.403333333333336</v>
      </c>
      <c r="D1796" s="6">
        <f>D1795*2/3+D1798/3</f>
        <v>98.893333333333345</v>
      </c>
      <c r="E1796" s="6">
        <v>259.101</v>
      </c>
      <c r="F1796" s="2">
        <f t="shared" si="140"/>
        <v>2020.5416666665308</v>
      </c>
      <c r="G1796" s="17">
        <v>0.62</v>
      </c>
      <c r="H1796" s="1">
        <f>B1796*$E$1867/E1796</f>
        <v>4148.7842568947317</v>
      </c>
      <c r="I1796" s="1">
        <f>C1796*$E$1867/E1796</f>
        <v>76.833192207543263</v>
      </c>
      <c r="J1796" s="26">
        <f t="shared" si="141"/>
        <v>2601532.037612068</v>
      </c>
      <c r="K1796" s="1">
        <f>D1796*$E$1867/E1796</f>
        <v>127.91017038400727</v>
      </c>
      <c r="L1796" s="26">
        <f t="shared" ref="L1796:L1801" si="144">K1796*(J1796/H1796)</f>
        <v>80207.209048628167</v>
      </c>
      <c r="M1796" s="10">
        <f t="shared" si="143"/>
        <v>29.599194927667014</v>
      </c>
      <c r="N1796" s="4">
        <f t="shared" si="142"/>
        <v>32.453341337253299</v>
      </c>
      <c r="O1796" s="36">
        <f>1/M1796-(G1796/100-(((E1796/E1676)^(1/10))-1))</f>
        <v>4.5001885969564948E-2</v>
      </c>
      <c r="P1796" s="48">
        <v>0.13</v>
      </c>
      <c r="R1796" s="30"/>
      <c r="S1796" s="30"/>
    </row>
    <row r="1797" spans="1:19" ht="13" x14ac:dyDescent="0.3">
      <c r="A1797" s="52" t="s">
        <v>1813</v>
      </c>
      <c r="B1797" s="19">
        <v>3391.71</v>
      </c>
      <c r="C1797" s="1">
        <f>C1795/3+C1798*2/3</f>
        <v>59.126666666666665</v>
      </c>
      <c r="D1797" s="6">
        <f>D1795/3+D1798*2/3</f>
        <v>98.556666666666672</v>
      </c>
      <c r="E1797" s="6">
        <v>259.91800000000001</v>
      </c>
      <c r="F1797" s="2">
        <f t="shared" si="140"/>
        <v>2020.624999999864</v>
      </c>
      <c r="G1797" s="17">
        <v>0.65</v>
      </c>
      <c r="H1797" s="1">
        <f>B1797*$E$1867/E1797</f>
        <v>4373.1009844547125</v>
      </c>
      <c r="I1797" s="1">
        <f>C1797*$E$1867/E1797</f>
        <v>76.234962366336049</v>
      </c>
      <c r="J1797" s="26">
        <f t="shared" si="141"/>
        <v>2746175.4859678498</v>
      </c>
      <c r="K1797" s="1">
        <f>D1797*$E$1867/E1797</f>
        <v>127.07402933168666</v>
      </c>
      <c r="L1797" s="26">
        <f t="shared" si="144"/>
        <v>79798.656718500322</v>
      </c>
      <c r="M1797" s="10">
        <f t="shared" si="143"/>
        <v>31.158208965355225</v>
      </c>
      <c r="N1797" s="4">
        <f t="shared" si="142"/>
        <v>34.165665199989739</v>
      </c>
      <c r="O1797" s="36">
        <f>1/M1797-(G1797/100-(((E1797/E1677)^(1/10))-1))</f>
        <v>4.3191404179545548E-2</v>
      </c>
      <c r="P1797" s="48">
        <v>0.1</v>
      </c>
      <c r="R1797" s="30"/>
      <c r="S1797" s="30"/>
    </row>
    <row r="1798" spans="1:19" ht="13" x14ac:dyDescent="0.3">
      <c r="A1798" s="52" t="s">
        <v>1814</v>
      </c>
      <c r="B1798" s="19">
        <v>3365.5166666666664</v>
      </c>
      <c r="C1798" s="1">
        <f>58.85</f>
        <v>58.85</v>
      </c>
      <c r="D1798" s="6">
        <v>98.22</v>
      </c>
      <c r="E1798" s="6">
        <v>260.27999999999997</v>
      </c>
      <c r="F1798" s="2">
        <f t="shared" si="140"/>
        <v>2020.7083333331973</v>
      </c>
      <c r="G1798" s="17">
        <v>0.68</v>
      </c>
      <c r="H1798" s="1">
        <f>B1798*$E$1867/E1798</f>
        <v>4333.293431288741</v>
      </c>
      <c r="I1798" s="1">
        <f>C1798*$E$1867/E1798</f>
        <v>75.772710014215477</v>
      </c>
      <c r="J1798" s="26">
        <f t="shared" si="141"/>
        <v>2725142.7915269528</v>
      </c>
      <c r="K1798" s="1">
        <f>D1798*$E$1867/E1798</f>
        <v>126.46381610189027</v>
      </c>
      <c r="L1798" s="26">
        <f t="shared" si="144"/>
        <v>79531.183914439272</v>
      </c>
      <c r="M1798" s="10">
        <f>H1798/AVERAGE(K1678:K1797)</f>
        <v>30.839426043811262</v>
      </c>
      <c r="N1798" s="4">
        <f t="shared" si="142"/>
        <v>33.819004850298633</v>
      </c>
      <c r="O1798" s="36">
        <f>1/M1798-(G1798/100-(((E1798/E1678)^(1/10))-1))</f>
        <v>4.3305608427917051E-2</v>
      </c>
      <c r="P1798" s="48">
        <v>0.11</v>
      </c>
      <c r="R1798" s="30"/>
      <c r="S1798" s="30"/>
    </row>
    <row r="1799" spans="1:19" ht="13" x14ac:dyDescent="0.3">
      <c r="A1799" s="52" t="s">
        <v>1815</v>
      </c>
      <c r="B1799" s="19">
        <v>3418.701363636364</v>
      </c>
      <c r="C1799" s="1">
        <f>C1798*2/3+C1801/3</f>
        <v>58.659615378670054</v>
      </c>
      <c r="D1799" s="6">
        <f>D1798*2/3+D1801/3</f>
        <v>96.856666666666669</v>
      </c>
      <c r="E1799" s="6">
        <v>260.38799999999998</v>
      </c>
      <c r="F1799" s="2">
        <f t="shared" si="140"/>
        <v>2020.7916666665305</v>
      </c>
      <c r="G1799" s="17">
        <v>0.79</v>
      </c>
      <c r="H1799" s="1">
        <f>B1799*$E$1867/E1799</f>
        <v>4399.9460388496309</v>
      </c>
      <c r="I1799" s="1">
        <f>C1799*$E$1867/E1799</f>
        <v>75.496252779239626</v>
      </c>
      <c r="J1799" s="26">
        <f t="shared" ref="J1799:J1804" si="145">J1798*((H1799+(I1799/12))/H1798)</f>
        <v>2771016.1475021336</v>
      </c>
      <c r="K1799" s="1">
        <f>D1799*$E$1867/E1799</f>
        <v>124.65672239440119</v>
      </c>
      <c r="L1799" s="26">
        <f t="shared" si="144"/>
        <v>78506.824310938217</v>
      </c>
      <c r="M1799" s="10">
        <f t="shared" si="143"/>
        <v>31.283694032592855</v>
      </c>
      <c r="N1799" s="4">
        <f t="shared" si="142"/>
        <v>34.307908575345337</v>
      </c>
      <c r="O1799" s="36">
        <f>1/M1799-(G1799/100-(((E1799/E1679)^(1/10))-1))</f>
        <v>4.1660697490221693E-2</v>
      </c>
      <c r="P1799" s="48">
        <v>0.1</v>
      </c>
      <c r="R1799" s="30"/>
      <c r="S1799" s="30"/>
    </row>
    <row r="1800" spans="1:19" ht="13" x14ac:dyDescent="0.3">
      <c r="A1800" s="52" t="s">
        <v>1816</v>
      </c>
      <c r="B1800" s="19">
        <v>3548.9925000000012</v>
      </c>
      <c r="C1800" s="1">
        <f>C1798/3+C1801*2/3</f>
        <v>58.469230757340114</v>
      </c>
      <c r="D1800" s="6">
        <f>D1798/3+D1801*2/3</f>
        <v>95.493333333333339</v>
      </c>
      <c r="E1800" s="6">
        <v>260.22899999999998</v>
      </c>
      <c r="F1800" s="2">
        <f t="shared" si="140"/>
        <v>2020.8749999998638</v>
      </c>
      <c r="G1800" s="17">
        <v>0.87</v>
      </c>
      <c r="H1800" s="1">
        <f>B1800*$E$1867/E1800</f>
        <v>4570.4245061489128</v>
      </c>
      <c r="I1800" s="1">
        <f>C1800*$E$1867/E1800</f>
        <v>75.297201983104486</v>
      </c>
      <c r="J1800" s="26">
        <f t="shared" si="145"/>
        <v>2882332.527652299</v>
      </c>
      <c r="K1800" s="1">
        <f>D1800*$E$1867/E1800</f>
        <v>122.97717474480811</v>
      </c>
      <c r="L1800" s="26">
        <f t="shared" si="144"/>
        <v>77555.402227705519</v>
      </c>
      <c r="M1800" s="10">
        <f t="shared" si="143"/>
        <v>32.473204096612569</v>
      </c>
      <c r="N1800" s="4">
        <f t="shared" ref="N1800:N1805" si="146">J1800/AVERAGE(L1680:L1799)</f>
        <v>35.6120313019685</v>
      </c>
      <c r="O1800" s="36">
        <f>1/M1800-(G1800/100-(((E1800/E1680)^(1/10))-1))</f>
        <v>3.9584837150407753E-2</v>
      </c>
      <c r="P1800" s="48">
        <v>0.09</v>
      </c>
      <c r="R1800" s="30"/>
      <c r="S1800" s="30"/>
    </row>
    <row r="1801" spans="1:19" ht="13" x14ac:dyDescent="0.3">
      <c r="A1801" s="52" t="s">
        <v>1817</v>
      </c>
      <c r="B1801" s="19">
        <v>3695.3099999999995</v>
      </c>
      <c r="C1801" s="1">
        <v>58.278846136010173</v>
      </c>
      <c r="D1801" s="6">
        <v>94.13</v>
      </c>
      <c r="E1801" s="6">
        <v>260.47399999999999</v>
      </c>
      <c r="F1801" s="2">
        <f t="shared" si="140"/>
        <v>2020.9583333331971</v>
      </c>
      <c r="G1801" s="17">
        <v>0.93</v>
      </c>
      <c r="H1801" s="1">
        <f>B1801*$E$1867/E1801</f>
        <v>4754.3773565787751</v>
      </c>
      <c r="I1801" s="1">
        <f>C1801*$E$1867/E1801</f>
        <v>74.981429551670956</v>
      </c>
      <c r="J1801" s="26">
        <f t="shared" si="145"/>
        <v>3002282.7426468451</v>
      </c>
      <c r="K1801" s="1">
        <f>D1801*$E$1867/E1801</f>
        <v>121.10744175042423</v>
      </c>
      <c r="L1801" s="26">
        <f t="shared" si="144"/>
        <v>76476.635130840863</v>
      </c>
      <c r="M1801" s="10">
        <f t="shared" ref="M1801:M1806" si="147">H1801/AVERAGE(K1681:K1800)</f>
        <v>33.765591418117111</v>
      </c>
      <c r="N1801" s="4">
        <f t="shared" si="146"/>
        <v>37.026596400604213</v>
      </c>
      <c r="O1801" s="36">
        <f>1/M1801-(G1801/100-(((E1801/E1681)^(1/10))-1))</f>
        <v>3.7727217459252026E-2</v>
      </c>
      <c r="P1801" s="48">
        <v>0.09</v>
      </c>
      <c r="R1801" s="30"/>
      <c r="S1801" s="30"/>
    </row>
    <row r="1802" spans="1:19" ht="13" x14ac:dyDescent="0.3">
      <c r="A1802" s="52" t="s">
        <v>1818</v>
      </c>
      <c r="B1802" s="19">
        <v>3793.7484210526318</v>
      </c>
      <c r="C1802" s="1">
        <f>C1801*2/3+C1804/3</f>
        <v>58.063693112307661</v>
      </c>
      <c r="D1802" s="6">
        <f>D1801*2/3+D1804/3</f>
        <v>105.48666666666665</v>
      </c>
      <c r="E1802" s="6">
        <v>261.58199999999999</v>
      </c>
      <c r="F1802" s="2">
        <f>F1801+1/12</f>
        <v>2021.0416666665303</v>
      </c>
      <c r="G1802" s="17">
        <v>1.08</v>
      </c>
      <c r="H1802" s="1">
        <f>B1802*$E$1867/E1802</f>
        <v>4860.3531131437503</v>
      </c>
      <c r="I1802" s="1">
        <f>C1802*$E$1867/E1802</f>
        <v>74.388182941430912</v>
      </c>
      <c r="J1802" s="26">
        <f t="shared" si="145"/>
        <v>3073118.596914866</v>
      </c>
      <c r="K1802" s="1">
        <f>D1802*$E$1867/E1802</f>
        <v>135.14402955223727</v>
      </c>
      <c r="L1802" s="26">
        <f t="shared" ref="L1802:L1807" si="148">K1802*(J1802/H1802)</f>
        <v>85449.271032565259</v>
      </c>
      <c r="M1802" s="10">
        <f t="shared" si="147"/>
        <v>34.512432294106915</v>
      </c>
      <c r="N1802" s="4">
        <f t="shared" si="146"/>
        <v>37.841180467856596</v>
      </c>
      <c r="O1802" s="36">
        <f>1/M1802-(G1802/100-(((E1802/E1682)^(1/10))-1))</f>
        <v>3.5534737619675009E-2</v>
      </c>
      <c r="P1802" s="48">
        <v>0.08</v>
      </c>
      <c r="R1802" s="30"/>
      <c r="S1802" s="30"/>
    </row>
    <row r="1803" spans="1:19" ht="13" x14ac:dyDescent="0.3">
      <c r="A1803" s="52" t="s">
        <v>1819</v>
      </c>
      <c r="B1803" s="19">
        <v>3883.4321052631576</v>
      </c>
      <c r="C1803" s="1">
        <f>C1801/3+C1804*2/3</f>
        <v>57.848540088605162</v>
      </c>
      <c r="D1803" s="6">
        <f>D1801/3+D1804*2/3</f>
        <v>116.84333333333332</v>
      </c>
      <c r="E1803" s="6">
        <v>263.01400000000001</v>
      </c>
      <c r="F1803" s="2">
        <f t="shared" si="140"/>
        <v>2021.1249999998636</v>
      </c>
      <c r="G1803" s="17">
        <v>1.26</v>
      </c>
      <c r="H1803" s="1">
        <f>B1803*$E$1867/E1803</f>
        <v>4948.1630450635403</v>
      </c>
      <c r="I1803" s="1">
        <f>C1803*$E$1867/E1803</f>
        <v>73.709028642311154</v>
      </c>
      <c r="J1803" s="26">
        <f t="shared" si="145"/>
        <v>3132523.0702686994</v>
      </c>
      <c r="K1803" s="1">
        <f>D1803*$E$1867/E1803</f>
        <v>148.87858172632124</v>
      </c>
      <c r="L1803" s="26">
        <f t="shared" si="148"/>
        <v>94250.247552341229</v>
      </c>
      <c r="M1803" s="10">
        <f t="shared" si="147"/>
        <v>35.103907171969837</v>
      </c>
      <c r="N1803" s="4">
        <f t="shared" si="146"/>
        <v>38.480638192752039</v>
      </c>
      <c r="O1803" s="36">
        <f>1/M1803-(G1803/100-(((E1803/E1683)^(1/10))-1))</f>
        <v>3.3301489166802964E-2</v>
      </c>
      <c r="P1803" s="48">
        <v>0.04</v>
      </c>
      <c r="R1803" s="30"/>
      <c r="S1803" s="30"/>
    </row>
    <row r="1804" spans="1:19" ht="13" x14ac:dyDescent="0.3">
      <c r="A1804" s="52" t="s">
        <v>1820</v>
      </c>
      <c r="B1804" s="19">
        <v>3910.5082608695648</v>
      </c>
      <c r="C1804" s="1">
        <v>57.633387064902649</v>
      </c>
      <c r="D1804" s="6">
        <v>128.19999999999999</v>
      </c>
      <c r="E1804" s="6">
        <v>264.87700000000001</v>
      </c>
      <c r="F1804" s="2">
        <f t="shared" si="140"/>
        <v>2021.2083333331968</v>
      </c>
      <c r="G1804" s="17">
        <v>1.61</v>
      </c>
      <c r="H1804" s="1">
        <f>B1804*$E$1867/E1804</f>
        <v>4947.6174169557116</v>
      </c>
      <c r="I1804" s="1">
        <f>C1804*$E$1867/E1804</f>
        <v>72.918385697785254</v>
      </c>
      <c r="J1804" s="26">
        <f t="shared" si="145"/>
        <v>3136024.5079390178</v>
      </c>
      <c r="K1804" s="1">
        <f>D1804*$E$1867/E1804</f>
        <v>162.20002888132981</v>
      </c>
      <c r="L1804" s="26">
        <f t="shared" si="148"/>
        <v>102809.74111236946</v>
      </c>
      <c r="M1804" s="10">
        <f t="shared" si="147"/>
        <v>35.042545112192087</v>
      </c>
      <c r="N1804" s="4">
        <f t="shared" si="146"/>
        <v>38.400680076306443</v>
      </c>
      <c r="O1804" s="36">
        <f>1/M1804-(G1804/100-(((E1804/E1684)^(1/10))-1))</f>
        <v>2.9582246986088717E-2</v>
      </c>
      <c r="P1804" s="48">
        <v>0.03</v>
      </c>
      <c r="R1804" s="30"/>
      <c r="S1804" s="30"/>
    </row>
    <row r="1805" spans="1:19" ht="13" x14ac:dyDescent="0.3">
      <c r="A1805" s="52" t="s">
        <v>1821</v>
      </c>
      <c r="B1805" s="19">
        <v>4141.1761904761906</v>
      </c>
      <c r="C1805" s="1">
        <f>C1804*2/3+C1807/3</f>
        <v>57.710605421407152</v>
      </c>
      <c r="D1805" s="6">
        <f>D1804*2/3+D1807/3</f>
        <v>138.38666666666666</v>
      </c>
      <c r="E1805" s="6">
        <v>267.05399999999997</v>
      </c>
      <c r="F1805" s="2">
        <f t="shared" si="140"/>
        <v>2021.2916666665301</v>
      </c>
      <c r="G1805" s="17">
        <v>1.64</v>
      </c>
      <c r="H1805" s="1">
        <f>B1805*$E$1867/E1805</f>
        <v>5196.7493695184539</v>
      </c>
      <c r="I1805" s="1">
        <f>C1805*$E$1867/E1805</f>
        <v>72.420862707543904</v>
      </c>
      <c r="J1805" s="26">
        <f t="shared" ref="J1805:J1810" si="149">J1804*((H1805+(I1805/12))/H1804)</f>
        <v>3297760.9509320669</v>
      </c>
      <c r="K1805" s="1">
        <f>D1805*$E$1867/E1805</f>
        <v>173.66100587646443</v>
      </c>
      <c r="L1805" s="26">
        <f t="shared" si="148"/>
        <v>110202.05962560323</v>
      </c>
      <c r="M1805" s="10">
        <f t="shared" si="147"/>
        <v>36.719814109133026</v>
      </c>
      <c r="N1805" s="4">
        <f t="shared" si="146"/>
        <v>40.219749436274725</v>
      </c>
      <c r="O1805" s="36">
        <f>1/M1805-(G1805/100-(((E1805/E1685)^(1/10))-1))</f>
        <v>2.8158458253758518E-2</v>
      </c>
      <c r="P1805" s="48">
        <v>0.02</v>
      </c>
      <c r="R1805" s="30"/>
      <c r="S1805" s="30"/>
    </row>
    <row r="1806" spans="1:19" ht="13" x14ac:dyDescent="0.3">
      <c r="A1806" s="52" t="s">
        <v>1822</v>
      </c>
      <c r="B1806" s="19">
        <v>4167.8495000000012</v>
      </c>
      <c r="C1806" s="1">
        <f>C1804/3+C1807*2/3</f>
        <v>57.787823777911655</v>
      </c>
      <c r="D1806" s="6">
        <f>D1804/3+D1807*2/3</f>
        <v>148.57333333333332</v>
      </c>
      <c r="E1806" s="6">
        <v>269.19499999999999</v>
      </c>
      <c r="F1806" s="2">
        <f t="shared" ref="F1806:F1811" si="150">F1805+1/12</f>
        <v>2021.3749999998633</v>
      </c>
      <c r="G1806" s="17">
        <v>1.62</v>
      </c>
      <c r="H1806" s="1">
        <f>B1806*$E$1867/E1806</f>
        <v>5188.6238810151581</v>
      </c>
      <c r="I1806" s="1">
        <f>C1806*$E$1867/E1806</f>
        <v>71.941005184080637</v>
      </c>
      <c r="J1806" s="26">
        <f t="shared" si="149"/>
        <v>3296409.0355220768</v>
      </c>
      <c r="K1806" s="1">
        <f>D1806*$E$1867/E1806</f>
        <v>184.9613680665193</v>
      </c>
      <c r="L1806" s="26">
        <f t="shared" si="148"/>
        <v>117508.67646195793</v>
      </c>
      <c r="M1806" s="10">
        <f t="shared" si="147"/>
        <v>36.552133989799081</v>
      </c>
      <c r="N1806" s="4">
        <f t="shared" ref="N1806:N1811" si="151">J1806/AVERAGE(L1686:L1805)</f>
        <v>40.014691437684405</v>
      </c>
      <c r="O1806" s="36">
        <f>1/M1806-(G1806/100-(((E1806/E1686)^(1/10))-1))</f>
        <v>2.881834542561661E-2</v>
      </c>
      <c r="P1806" s="48">
        <v>0.02</v>
      </c>
      <c r="R1806" s="30"/>
      <c r="S1806" s="30"/>
    </row>
    <row r="1807" spans="1:19" ht="13" x14ac:dyDescent="0.3">
      <c r="A1807" s="52" t="s">
        <v>1823</v>
      </c>
      <c r="B1807" s="19">
        <v>4238.4895454545458</v>
      </c>
      <c r="C1807" s="1">
        <v>57.86504213441615</v>
      </c>
      <c r="D1807" s="6">
        <v>158.76</v>
      </c>
      <c r="E1807" s="6">
        <v>271.69600000000003</v>
      </c>
      <c r="F1807" s="2">
        <f t="shared" si="150"/>
        <v>2021.4583333331966</v>
      </c>
      <c r="G1807" s="17">
        <v>1.52</v>
      </c>
      <c r="H1807" s="1">
        <f>B1807*$E$1867/E1807</f>
        <v>5227.9933033347597</v>
      </c>
      <c r="I1807" s="1">
        <f>C1807*$E$1867/E1807</f>
        <v>71.374023583552002</v>
      </c>
      <c r="J1807" s="26">
        <f t="shared" si="149"/>
        <v>3325199.7555479407</v>
      </c>
      <c r="K1807" s="1">
        <f>D1807*$E$1867/E1807</f>
        <v>195.82358477857602</v>
      </c>
      <c r="L1807" s="26">
        <f t="shared" si="148"/>
        <v>124551.14198805387</v>
      </c>
      <c r="M1807" s="10">
        <f t="shared" ref="M1807:M1813" si="152">H1807/AVERAGE(K1687:K1806)</f>
        <v>36.696258013088375</v>
      </c>
      <c r="N1807" s="4">
        <f t="shared" si="151"/>
        <v>40.148049521730442</v>
      </c>
      <c r="O1807" s="36">
        <f>1/M1807-(G1807/100-(((E1807/E1687)^(1/10))-1))</f>
        <v>3.0761593765331392E-2</v>
      </c>
      <c r="P1807" s="48">
        <v>0.04</v>
      </c>
      <c r="R1807" s="30"/>
      <c r="S1807" s="30"/>
    </row>
    <row r="1808" spans="1:19" ht="13" x14ac:dyDescent="0.3">
      <c r="A1808" s="52" t="s">
        <v>1824</v>
      </c>
      <c r="B1808" s="19">
        <v>4363.7128571428575</v>
      </c>
      <c r="C1808" s="1">
        <f>C1807*2/3+C1810/3</f>
        <v>58.328189005792169</v>
      </c>
      <c r="D1808" s="6">
        <f>D1807*2/3+D1810/3</f>
        <v>164.31666666666666</v>
      </c>
      <c r="E1808" s="6">
        <v>273.00299999999999</v>
      </c>
      <c r="F1808" s="2">
        <f t="shared" si="150"/>
        <v>2021.5416666665299</v>
      </c>
      <c r="G1808" s="17">
        <v>1.32</v>
      </c>
      <c r="H1808" s="1">
        <f>B1808*$E$1867/E1808</f>
        <v>5356.6823887584178</v>
      </c>
      <c r="I1808" s="1">
        <f>C1808*$E$1867/E1808</f>
        <v>71.60085758256632</v>
      </c>
      <c r="J1808" s="26">
        <f t="shared" si="149"/>
        <v>3410845.9080180237</v>
      </c>
      <c r="K1808" s="1">
        <f>D1808*$E$1867/E1808</f>
        <v>201.70717536376279</v>
      </c>
      <c r="L1808" s="26">
        <f t="shared" ref="L1808:L1813" si="153">K1808*(J1808/H1808)</f>
        <v>128436.23044576819</v>
      </c>
      <c r="M1808" s="10">
        <f t="shared" si="152"/>
        <v>37.443383184615392</v>
      </c>
      <c r="N1808" s="4">
        <f t="shared" si="151"/>
        <v>40.937356042115063</v>
      </c>
      <c r="O1808" s="36">
        <f>1/M1808-(G1808/100-(((E1808/E1688)^(1/10))-1))</f>
        <v>3.261658108639498E-2</v>
      </c>
      <c r="P1808" s="48">
        <v>0.05</v>
      </c>
      <c r="R1808" s="30"/>
      <c r="S1808" s="30"/>
    </row>
    <row r="1809" spans="1:19" ht="13" x14ac:dyDescent="0.3">
      <c r="A1809" s="52" t="s">
        <v>1825</v>
      </c>
      <c r="B1809" s="19">
        <v>4454.2063636363628</v>
      </c>
      <c r="C1809" s="1">
        <f>C1807/3+C1810*2/3</f>
        <v>58.791335877168187</v>
      </c>
      <c r="D1809" s="6">
        <f>D1807/3+D1810*2/3</f>
        <v>169.87333333333333</v>
      </c>
      <c r="E1809" s="6">
        <f>273.567</f>
        <v>273.56700000000001</v>
      </c>
      <c r="F1809" s="2">
        <f t="shared" si="150"/>
        <v>2021.6249999998631</v>
      </c>
      <c r="G1809" s="17">
        <v>1.28</v>
      </c>
      <c r="H1809" s="1">
        <f>B1809*$E$1867/E1809</f>
        <v>5456.4951955653532</v>
      </c>
      <c r="I1809" s="1">
        <f>C1809*$E$1867/E1809</f>
        <v>72.02060604411335</v>
      </c>
      <c r="J1809" s="26">
        <f t="shared" si="149"/>
        <v>3478222.8794199866</v>
      </c>
      <c r="K1809" s="1">
        <f>D1809*$E$1867/E1809</f>
        <v>208.09835726409497</v>
      </c>
      <c r="L1809" s="26">
        <f t="shared" si="153"/>
        <v>132651.53573193873</v>
      </c>
      <c r="M1809" s="10">
        <f t="shared" si="152"/>
        <v>37.973500614070495</v>
      </c>
      <c r="N1809" s="4">
        <f t="shared" si="151"/>
        <v>41.486836718719616</v>
      </c>
      <c r="O1809" s="36">
        <f>1/M1809-(G1809/100-(((E1809/E1689)^(1/10))-1))</f>
        <v>3.2573428847369475E-2</v>
      </c>
      <c r="P1809" s="48">
        <v>0.05</v>
      </c>
      <c r="R1809" s="30"/>
      <c r="S1809" s="30"/>
    </row>
    <row r="1810" spans="1:19" ht="13" x14ac:dyDescent="0.3">
      <c r="A1810" s="52" t="s">
        <v>1826</v>
      </c>
      <c r="B1810" s="19">
        <v>4445.5433333333331</v>
      </c>
      <c r="C1810" s="1">
        <v>59.254482748544206</v>
      </c>
      <c r="D1810" s="6">
        <v>175.43</v>
      </c>
      <c r="E1810" s="6">
        <v>274.31</v>
      </c>
      <c r="F1810" s="2">
        <f t="shared" si="150"/>
        <v>2021.7083333331964</v>
      </c>
      <c r="G1810" s="17">
        <v>1.37</v>
      </c>
      <c r="H1810" s="1">
        <f>B1810*$E$1867/E1810</f>
        <v>5431.132007470258</v>
      </c>
      <c r="I1810" s="1">
        <f>C1810*$E$1867/E1810</f>
        <v>72.391357751181388</v>
      </c>
      <c r="J1810" s="26">
        <f t="shared" si="149"/>
        <v>3465900.6752118408</v>
      </c>
      <c r="K1810" s="1">
        <f>D1810*$E$1867/E1810</f>
        <v>214.32329338157561</v>
      </c>
      <c r="L1810" s="26">
        <f t="shared" si="153"/>
        <v>136771.34826093548</v>
      </c>
      <c r="M1810" s="10">
        <f t="shared" si="152"/>
        <v>37.620346686651203</v>
      </c>
      <c r="N1810" s="4">
        <f t="shared" si="151"/>
        <v>41.070676530740457</v>
      </c>
      <c r="O1810" s="36">
        <f>1/M1810-(G1810/100-(((E1810/E1690)^(1/10))-1))</f>
        <v>3.2042416075777444E-2</v>
      </c>
      <c r="P1810" s="48">
        <v>0.04</v>
      </c>
      <c r="R1810" s="30"/>
      <c r="S1810" s="30"/>
    </row>
    <row r="1811" spans="1:19" ht="13" x14ac:dyDescent="0.3">
      <c r="A1811" s="52" t="s">
        <v>1827</v>
      </c>
      <c r="B1811" s="19">
        <v>4460.7071428571426</v>
      </c>
      <c r="C1811" s="1">
        <f>C1810*2/3+C1813/3</f>
        <v>59.635360926493661</v>
      </c>
      <c r="D1811" s="6">
        <f>D1810*2/3+D1813/3</f>
        <v>182.91</v>
      </c>
      <c r="E1811" s="6">
        <v>276.589</v>
      </c>
      <c r="F1811" s="2">
        <f t="shared" si="150"/>
        <v>2021.7916666665296</v>
      </c>
      <c r="G1811" s="17">
        <v>1.58</v>
      </c>
      <c r="H1811" s="1">
        <f>B1811*$E$1867/E1811</f>
        <v>5404.7543337832876</v>
      </c>
      <c r="I1811" s="1">
        <f>C1811*$E$1867/E1811</f>
        <v>72.25636319351608</v>
      </c>
      <c r="J1811" s="26">
        <f t="shared" ref="J1811:J1816" si="154">J1810*((H1811+(I1811/12))/H1810)</f>
        <v>3452910.2067827759</v>
      </c>
      <c r="K1811" s="1">
        <f>D1811*$E$1867/E1811</f>
        <v>221.62038070024477</v>
      </c>
      <c r="L1811" s="26">
        <f t="shared" si="153"/>
        <v>141585.57952721984</v>
      </c>
      <c r="M1811" s="10">
        <f t="shared" si="152"/>
        <v>37.253025000325316</v>
      </c>
      <c r="N1811" s="4">
        <f t="shared" si="151"/>
        <v>40.638887886402166</v>
      </c>
      <c r="O1811" s="36">
        <f>1/M1811-(G1811/100-(((E1811/E1691)^(1/10))-1))</f>
        <v>3.1258728814100648E-2</v>
      </c>
      <c r="P1811" s="48">
        <v>0.05</v>
      </c>
      <c r="R1811" s="30"/>
      <c r="S1811" s="30"/>
    </row>
    <row r="1812" spans="1:19" ht="13" x14ac:dyDescent="0.3">
      <c r="A1812" s="52" t="s">
        <v>1828</v>
      </c>
      <c r="B1812" s="19">
        <v>4667.3866666666672</v>
      </c>
      <c r="C1812" s="1">
        <f>C1810/3+C1813*2/3</f>
        <v>60.016239104443123</v>
      </c>
      <c r="D1812" s="6">
        <f>D1810/3+D1813*2/3</f>
        <v>190.39</v>
      </c>
      <c r="E1812" s="6">
        <v>277.94799999999998</v>
      </c>
      <c r="F1812" s="2">
        <f t="shared" ref="F1812:F1817" si="155">F1811+1/12</f>
        <v>2021.8749999998629</v>
      </c>
      <c r="G1812" s="17">
        <v>1.56</v>
      </c>
      <c r="H1812" s="1">
        <f>B1812*$E$1867/E1812</f>
        <v>5627.5242977583348</v>
      </c>
      <c r="I1812" s="1">
        <f>C1812*$E$1867/E1812</f>
        <v>72.362302063466117</v>
      </c>
      <c r="J1812" s="26">
        <f t="shared" si="154"/>
        <v>3599082.6957679503</v>
      </c>
      <c r="K1812" s="1">
        <f>D1812*$E$1867/E1812</f>
        <v>229.5555152312663</v>
      </c>
      <c r="L1812" s="26">
        <f t="shared" si="153"/>
        <v>146812.21064048546</v>
      </c>
      <c r="M1812" s="10">
        <f t="shared" si="152"/>
        <v>38.582627497719223</v>
      </c>
      <c r="N1812" s="4">
        <f t="shared" ref="N1812:N1817" si="156">J1812/AVERAGE(L1692:L1811)</f>
        <v>42.054857617858936</v>
      </c>
      <c r="O1812" s="36">
        <f>1/M1812-(G1812/100-(((E1812/E1692)^(1/10))-1))</f>
        <v>3.1119985899904258E-2</v>
      </c>
      <c r="P1812" s="48">
        <v>0.05</v>
      </c>
      <c r="R1812" s="30"/>
      <c r="S1812" s="30"/>
    </row>
    <row r="1813" spans="1:19" ht="13" x14ac:dyDescent="0.3">
      <c r="A1813" s="52" t="s">
        <v>1829</v>
      </c>
      <c r="B1813" s="19">
        <v>4674.7727272727261</v>
      </c>
      <c r="C1813" s="1">
        <v>60.397117282392585</v>
      </c>
      <c r="D1813" s="6">
        <v>197.87</v>
      </c>
      <c r="E1813" s="6">
        <v>278.80200000000002</v>
      </c>
      <c r="F1813" s="2">
        <f t="shared" si="155"/>
        <v>2021.9583333331962</v>
      </c>
      <c r="G1813" s="17">
        <v>1.47</v>
      </c>
      <c r="H1813" s="1">
        <f>B1813*$E$1867/E1813</f>
        <v>5619.1647797377855</v>
      </c>
      <c r="I1813" s="1">
        <f>C1813*$E$1867/E1813</f>
        <v>72.598471418932192</v>
      </c>
      <c r="J1813" s="26">
        <f t="shared" si="154"/>
        <v>3597605.5622433368</v>
      </c>
      <c r="K1813" s="1">
        <f>D1813*$E$1867/E1813</f>
        <v>237.84346316561573</v>
      </c>
      <c r="L1813" s="26">
        <f t="shared" si="153"/>
        <v>152276.53923111444</v>
      </c>
      <c r="M1813" s="10">
        <f t="shared" si="152"/>
        <v>38.304849873467454</v>
      </c>
      <c r="N1813" s="4">
        <f t="shared" si="156"/>
        <v>41.717265819554633</v>
      </c>
      <c r="O1813" s="36">
        <f>1/M1813-(G1813/100-(((E1813/E1693)^(1/10))-1))</f>
        <v>3.2773352076795367E-2</v>
      </c>
      <c r="P1813" s="48">
        <v>0.06</v>
      </c>
      <c r="R1813" s="30"/>
      <c r="S1813" s="30"/>
    </row>
    <row r="1814" spans="1:19" ht="13" x14ac:dyDescent="0.3">
      <c r="A1814" s="52" t="s">
        <v>1830</v>
      </c>
      <c r="B1814" s="19">
        <v>4573.8154999999997</v>
      </c>
      <c r="C1814" s="1">
        <f>C1813*2/3+C1816/3</f>
        <v>60.921402962953294</v>
      </c>
      <c r="D1814" s="6">
        <f>D1813*2/3+D1816/3</f>
        <v>197.88333333333333</v>
      </c>
      <c r="E1814" s="6">
        <v>281.14800000000002</v>
      </c>
      <c r="F1814" s="2">
        <f t="shared" si="155"/>
        <v>2022.0416666665294</v>
      </c>
      <c r="G1814" s="17">
        <v>1.76</v>
      </c>
      <c r="H1814" s="1">
        <f>B1814*$E$1867/E1814</f>
        <v>5451.9365703877484</v>
      </c>
      <c r="I1814" s="1">
        <f>C1814*$E$1867/E1814</f>
        <v>72.617626297574461</v>
      </c>
      <c r="J1814" s="26">
        <f t="shared" si="154"/>
        <v>3494414.0096145868</v>
      </c>
      <c r="K1814" s="1">
        <f>D1814*$E$1867/E1814</f>
        <v>235.87470497448552</v>
      </c>
      <c r="L1814" s="26">
        <f t="shared" ref="L1814:L1822" si="157">K1814*(J1814/H1814)</f>
        <v>151183.68728892392</v>
      </c>
      <c r="M1814" s="10">
        <f t="shared" ref="M1814:M1819" si="158">H1814/AVERAGE(K1694:K1813)</f>
        <v>36.936758070297458</v>
      </c>
      <c r="N1814" s="4">
        <f t="shared" si="156"/>
        <v>40.194254833176494</v>
      </c>
      <c r="O1814" s="36">
        <f>1/M1814-(G1814/100-(((E1814/E1694)^(1/10))-1))</f>
        <v>3.1247786313865843E-2</v>
      </c>
      <c r="P1814" s="48">
        <v>0.15</v>
      </c>
      <c r="R1814" s="30"/>
      <c r="S1814" s="30"/>
    </row>
    <row r="1815" spans="1:19" ht="13" x14ac:dyDescent="0.3">
      <c r="A1815" s="52" t="s">
        <v>1831</v>
      </c>
      <c r="B1815" s="19">
        <v>4435.9805263157887</v>
      </c>
      <c r="C1815" s="1">
        <f>C1813/3+C1816*2/3</f>
        <v>61.445688643514018</v>
      </c>
      <c r="D1815" s="6">
        <f>D1813/3+D1816*2/3</f>
        <v>197.89666666666665</v>
      </c>
      <c r="E1815" s="6">
        <v>283.71600000000001</v>
      </c>
      <c r="F1815" s="2">
        <f t="shared" si="155"/>
        <v>2022.1249999998627</v>
      </c>
      <c r="G1815" s="17">
        <v>1.93</v>
      </c>
      <c r="H1815" s="1">
        <f>B1815*$E$1867/E1815</f>
        <v>5239.7788030167849</v>
      </c>
      <c r="I1815" s="1">
        <f>C1815*$E$1867/E1815</f>
        <v>72.57962810726147</v>
      </c>
      <c r="J1815" s="26">
        <f t="shared" si="154"/>
        <v>3362308.3270168887</v>
      </c>
      <c r="K1815" s="1">
        <f>D1815*$E$1867/E1815</f>
        <v>233.75548044817111</v>
      </c>
      <c r="L1815" s="26">
        <f t="shared" si="157"/>
        <v>149998.31633049215</v>
      </c>
      <c r="M1815" s="10">
        <f t="shared" si="158"/>
        <v>35.287149225694883</v>
      </c>
      <c r="N1815" s="4">
        <f t="shared" si="156"/>
        <v>38.370495009112197</v>
      </c>
      <c r="O1815" s="36">
        <f>1/M1815-(G1815/100-(((E1815/E1695)^(1/10))-1))</f>
        <v>3.129367892287957E-2</v>
      </c>
      <c r="P1815" s="48">
        <v>0.33</v>
      </c>
      <c r="R1815" s="30"/>
      <c r="S1815" s="30"/>
    </row>
    <row r="1816" spans="1:19" ht="13" x14ac:dyDescent="0.3">
      <c r="A1816" s="52" t="s">
        <v>1832</v>
      </c>
      <c r="B1816" s="19">
        <v>4391.2652173913057</v>
      </c>
      <c r="C1816" s="1">
        <v>61.969974324074734</v>
      </c>
      <c r="D1816" s="6">
        <v>197.91</v>
      </c>
      <c r="E1816" s="6">
        <v>287.50400000000002</v>
      </c>
      <c r="F1816" s="2">
        <f t="shared" si="155"/>
        <v>2022.2083333331959</v>
      </c>
      <c r="G1816" s="17">
        <v>2.13</v>
      </c>
      <c r="H1816" s="1">
        <f>B1816*$E$1867/E1816</f>
        <v>5118.6204497835352</v>
      </c>
      <c r="I1816" s="1">
        <f>C1816*$E$1867/E1816</f>
        <v>72.23448417360845</v>
      </c>
      <c r="J1816" s="26">
        <f t="shared" si="154"/>
        <v>3288425.0193656776</v>
      </c>
      <c r="K1816" s="1">
        <f>D1816*$E$1867/E1816</f>
        <v>230.69118421830649</v>
      </c>
      <c r="L1816" s="26">
        <f t="shared" si="157"/>
        <v>148206.07805813325</v>
      </c>
      <c r="M1816" s="10">
        <f t="shared" si="158"/>
        <v>34.270798693291745</v>
      </c>
      <c r="N1816" s="4">
        <f t="shared" si="156"/>
        <v>37.239411741602197</v>
      </c>
      <c r="O1816" s="36">
        <f>1/M1816-(G1816/100-(((E1816/E1696)^(1/10))-1))</f>
        <v>3.0716673054595862E-2</v>
      </c>
      <c r="P1816" s="48">
        <v>0.44</v>
      </c>
      <c r="R1816" s="30"/>
      <c r="S1816" s="30"/>
    </row>
    <row r="1817" spans="1:19" ht="13" x14ac:dyDescent="0.3">
      <c r="A1817" s="52" t="s">
        <v>1833</v>
      </c>
      <c r="B1817" s="19">
        <v>4391.2959999999994</v>
      </c>
      <c r="C1817" s="1">
        <f>C1816*2/3+C1819/3</f>
        <v>62.653316216049816</v>
      </c>
      <c r="D1817" s="6">
        <f>D1816*2/3+D1819/3</f>
        <v>196.02666666666664</v>
      </c>
      <c r="E1817" s="6">
        <v>289.10899999999998</v>
      </c>
      <c r="F1817" s="2">
        <f t="shared" si="155"/>
        <v>2022.2916666665292</v>
      </c>
      <c r="G1817" s="17">
        <v>2.75</v>
      </c>
      <c r="H1817" s="1">
        <f>B1817*$E$1867/E1817</f>
        <v>5090.2399089063292</v>
      </c>
      <c r="I1817" s="1">
        <f>C1817*$E$1867/E1817</f>
        <v>72.625578104565236</v>
      </c>
      <c r="J1817" s="26">
        <f t="shared" ref="J1817:J1823" si="159">J1816*((H1817+(I1817/12))/H1816)</f>
        <v>3274080.2753608562</v>
      </c>
      <c r="K1817" s="1">
        <f>D1817*$E$1867/E1817</f>
        <v>227.22739753287976</v>
      </c>
      <c r="L1817" s="26">
        <f t="shared" si="157"/>
        <v>146154.35688645695</v>
      </c>
      <c r="M1817" s="10">
        <f t="shared" si="158"/>
        <v>33.88916475591386</v>
      </c>
      <c r="N1817" s="4">
        <f t="shared" si="156"/>
        <v>36.800852348372871</v>
      </c>
      <c r="O1817" s="36">
        <f>1/M1817-(G1817/100-(((E1817/E1697)^(1/10))-1))</f>
        <v>2.5106179878196175E-2</v>
      </c>
      <c r="P1817" s="48">
        <v>0.76</v>
      </c>
      <c r="R1817" s="30"/>
      <c r="S1817" s="30"/>
    </row>
    <row r="1818" spans="1:19" ht="13" x14ac:dyDescent="0.3">
      <c r="A1818" s="52" t="s">
        <v>1834</v>
      </c>
      <c r="B1818" s="19">
        <v>4040.3599999999997</v>
      </c>
      <c r="C1818" s="1">
        <f>C1816/3+C1819*2/3</f>
        <v>63.336658108024906</v>
      </c>
      <c r="D1818" s="6">
        <f>D1816/3+D1819*2/3</f>
        <v>194.14333333333332</v>
      </c>
      <c r="E1818" s="6">
        <v>292.29599999999999</v>
      </c>
      <c r="F1818" s="2">
        <f t="shared" ref="F1818:F1823" si="160">F1817+1/12</f>
        <v>2022.3749999998624</v>
      </c>
      <c r="G1818" s="17">
        <v>2.9</v>
      </c>
      <c r="H1818" s="1">
        <f>B1818*$E$1867/E1818</f>
        <v>4632.3817468935595</v>
      </c>
      <c r="I1818" s="1">
        <f>C1818*$E$1867/E1818</f>
        <v>72.617187312232716</v>
      </c>
      <c r="J1818" s="26">
        <f t="shared" si="159"/>
        <v>2983474.8169583632</v>
      </c>
      <c r="K1818" s="1">
        <f>D1818*$E$1867/E1818</f>
        <v>222.59056955677349</v>
      </c>
      <c r="L1818" s="26">
        <f t="shared" si="157"/>
        <v>143358.94471788482</v>
      </c>
      <c r="M1818" s="10">
        <f t="shared" si="158"/>
        <v>30.67315507954514</v>
      </c>
      <c r="N1818" s="4">
        <f t="shared" ref="N1818:N1823" si="161">J1818/AVERAGE(L1698:L1817)</f>
        <v>33.292110895037808</v>
      </c>
      <c r="O1818" s="36">
        <f>1/M1818-(G1818/100-(((E1818/E1698)^(1/10))-1))</f>
        <v>2.7942547874479154E-2</v>
      </c>
      <c r="P1818" s="48">
        <v>0.98</v>
      </c>
      <c r="R1818" s="30"/>
      <c r="S1818" s="30"/>
    </row>
    <row r="1819" spans="1:19" ht="13" x14ac:dyDescent="0.3">
      <c r="A1819" s="52" t="s">
        <v>1835</v>
      </c>
      <c r="B1819" s="19">
        <v>3898.9466666666676</v>
      </c>
      <c r="C1819" s="1">
        <v>64.02</v>
      </c>
      <c r="D1819" s="6">
        <v>192.26</v>
      </c>
      <c r="E1819" s="6">
        <v>296.31099999999998</v>
      </c>
      <c r="F1819" s="2">
        <f t="shared" si="160"/>
        <v>2022.4583333331957</v>
      </c>
      <c r="G1819" s="17">
        <v>3.14</v>
      </c>
      <c r="H1819" s="1">
        <f>B1819*$E$1867/E1819</f>
        <v>4409.6759026945801</v>
      </c>
      <c r="I1819" s="1">
        <f>C1819*$E$1867/E1819</f>
        <v>72.406081802565538</v>
      </c>
      <c r="J1819" s="26">
        <f t="shared" si="159"/>
        <v>2843927.7107526008</v>
      </c>
      <c r="K1819" s="1">
        <f>D1819*$E$1867/E1819</f>
        <v>217.44444372635508</v>
      </c>
      <c r="L1819" s="26">
        <f t="shared" si="157"/>
        <v>140236.21978311104</v>
      </c>
      <c r="M1819" s="10">
        <f t="shared" si="158"/>
        <v>29.047721395103835</v>
      </c>
      <c r="N1819" s="4">
        <f t="shared" si="161"/>
        <v>31.515503555204646</v>
      </c>
      <c r="O1819" s="36">
        <f>1/M1819-(G1819/100-(((E1819/E1699)^(1/10))-1))</f>
        <v>2.8915813659970382E-2</v>
      </c>
      <c r="P1819" s="48">
        <v>1.49</v>
      </c>
      <c r="R1819" s="30"/>
      <c r="S1819" s="30"/>
    </row>
    <row r="1820" spans="1:19" ht="13" x14ac:dyDescent="0.3">
      <c r="A1820" s="52" t="s">
        <v>1836</v>
      </c>
      <c r="B1820" s="19">
        <v>3911.729499999999</v>
      </c>
      <c r="C1820" s="1">
        <f>C1819*2/3+C1822/3</f>
        <v>64.452768447835695</v>
      </c>
      <c r="D1820" s="6">
        <f>D1819*2/3+D1822/3</f>
        <v>190.58333333333331</v>
      </c>
      <c r="E1820" s="6">
        <v>296.27600000000001</v>
      </c>
      <c r="F1820" s="2">
        <f t="shared" si="160"/>
        <v>2022.541666666529</v>
      </c>
      <c r="G1820" s="17">
        <v>2.9</v>
      </c>
      <c r="H1820" s="1">
        <f>B1820*$E$1867/E1820</f>
        <v>4424.655816265491</v>
      </c>
      <c r="I1820" s="1">
        <f>C1820*$E$1867/E1820</f>
        <v>72.904150654366362</v>
      </c>
      <c r="J1820" s="26">
        <f t="shared" si="159"/>
        <v>2857506.8574185283</v>
      </c>
      <c r="K1820" s="1">
        <f>D1820*$E$1867/E1820</f>
        <v>215.57361119080403</v>
      </c>
      <c r="L1820" s="26">
        <f t="shared" si="157"/>
        <v>139220.56264618534</v>
      </c>
      <c r="M1820" s="10">
        <f t="shared" ref="M1820:M1825" si="162">H1820/AVERAGE(K1700:K1819)</f>
        <v>29.004618317208937</v>
      </c>
      <c r="N1820" s="4">
        <f t="shared" si="161"/>
        <v>31.457727149066969</v>
      </c>
      <c r="O1820" s="36">
        <f>1/M1820-(G1820/100-(((E1820/E1700)^(1/10))-1))</f>
        <v>3.152220124246078E-2</v>
      </c>
      <c r="P1820" s="48">
        <v>2.23</v>
      </c>
      <c r="R1820" s="30"/>
      <c r="S1820" s="30"/>
    </row>
    <row r="1821" spans="1:19" ht="13" x14ac:dyDescent="0.3">
      <c r="A1821" s="52" t="s">
        <v>1837</v>
      </c>
      <c r="B1821" s="19">
        <v>4158.5630434782615</v>
      </c>
      <c r="C1821" s="1">
        <f>C1819/3+C1822*2/3</f>
        <v>64.885536895671393</v>
      </c>
      <c r="D1821" s="6">
        <f>D1819/3+D1822*2/3</f>
        <v>188.90666666666664</v>
      </c>
      <c r="E1821" s="6">
        <v>296.17099999999999</v>
      </c>
      <c r="F1821" s="2">
        <f t="shared" si="160"/>
        <v>2022.6249999998622</v>
      </c>
      <c r="G1821" s="17">
        <v>2.9</v>
      </c>
      <c r="H1821" s="1">
        <f>B1821*$E$1867/E1821</f>
        <v>4705.523091681539</v>
      </c>
      <c r="I1821" s="1">
        <f>C1821*$E$1867/E1821</f>
        <v>73.419685835365712</v>
      </c>
      <c r="J1821" s="26">
        <f t="shared" si="159"/>
        <v>3042846.306230912</v>
      </c>
      <c r="K1821" s="1">
        <f>D1821*$E$1867/E1821</f>
        <v>213.75284512438193</v>
      </c>
      <c r="L1821" s="26">
        <f t="shared" si="157"/>
        <v>138224.17668779189</v>
      </c>
      <c r="M1821" s="10">
        <f t="shared" si="162"/>
        <v>30.698763365175296</v>
      </c>
      <c r="N1821" s="4">
        <f t="shared" si="161"/>
        <v>33.28189040223446</v>
      </c>
      <c r="O1821" s="36">
        <f>1/M1821-(G1821/100-(((E1821/E1701)^(1/10))-1))</f>
        <v>2.9013917428899805E-2</v>
      </c>
      <c r="P1821" s="48">
        <v>2.63</v>
      </c>
      <c r="R1821" s="30"/>
      <c r="S1821" s="30"/>
    </row>
    <row r="1822" spans="1:19" ht="13" x14ac:dyDescent="0.3">
      <c r="A1822" s="52" t="s">
        <v>1838</v>
      </c>
      <c r="B1822" s="19">
        <v>3850.5204761904752</v>
      </c>
      <c r="C1822" s="1">
        <v>65.318305343507092</v>
      </c>
      <c r="D1822" s="6">
        <v>187.23</v>
      </c>
      <c r="E1822" s="6">
        <v>296.80799999999999</v>
      </c>
      <c r="F1822" s="2">
        <f t="shared" si="160"/>
        <v>2022.7083333331955</v>
      </c>
      <c r="G1822" s="17">
        <v>3.52</v>
      </c>
      <c r="H1822" s="1">
        <f>B1822*$E$1867/E1822</f>
        <v>4347.6140710946202</v>
      </c>
      <c r="I1822" s="1">
        <f>C1822*$E$1867/E1822</f>
        <v>73.750752701474184</v>
      </c>
      <c r="J1822" s="26">
        <f t="shared" si="159"/>
        <v>2815377.201673361</v>
      </c>
      <c r="K1822" s="1">
        <f>D1822*$E$1867/E1822</f>
        <v>211.40097489791378</v>
      </c>
      <c r="L1822" s="26">
        <f t="shared" si="157"/>
        <v>136896.5771585285</v>
      </c>
      <c r="M1822" s="10">
        <f t="shared" si="162"/>
        <v>28.229884655821976</v>
      </c>
      <c r="N1822" s="4">
        <f t="shared" si="161"/>
        <v>30.597432345703787</v>
      </c>
      <c r="O1822" s="36">
        <f>1/M1822-(G1822/100-(((E1822/E1702)^(1/10))-1))</f>
        <v>2.5426554002999154E-2</v>
      </c>
      <c r="P1822" s="48">
        <v>3.13</v>
      </c>
      <c r="R1822" s="30"/>
      <c r="S1822" s="30"/>
    </row>
    <row r="1823" spans="1:19" ht="13" x14ac:dyDescent="0.3">
      <c r="A1823" s="52" t="s">
        <v>1839</v>
      </c>
      <c r="B1823" s="19">
        <v>3726.0509523809519</v>
      </c>
      <c r="C1823" s="1">
        <f>C1822*2/3+C1825/3</f>
        <v>65.852203562338062</v>
      </c>
      <c r="D1823" s="6">
        <f>D1822*2/3+D1825/3</f>
        <v>182.40333333333334</v>
      </c>
      <c r="E1823" s="6">
        <v>298.012</v>
      </c>
      <c r="F1823" s="2">
        <f t="shared" si="160"/>
        <v>2022.7916666665287</v>
      </c>
      <c r="G1823" s="17">
        <v>3.98</v>
      </c>
      <c r="H1823" s="1">
        <f>B1823*$E$1867/E1823</f>
        <v>4190.0787784700096</v>
      </c>
      <c r="I1823" s="1">
        <f>C1823*$E$1867/E1823</f>
        <v>74.053179676923861</v>
      </c>
      <c r="J1823" s="26">
        <f t="shared" si="159"/>
        <v>2717358.5425043274</v>
      </c>
      <c r="K1823" s="1">
        <f>D1823*$E$1867/E1823</f>
        <v>205.11913172679849</v>
      </c>
      <c r="L1823" s="26">
        <f t="shared" ref="L1823:L1828" si="163">K1823*(J1823/H1823)</f>
        <v>133024.28290677918</v>
      </c>
      <c r="M1823" s="10">
        <f t="shared" si="162"/>
        <v>27.080766925400695</v>
      </c>
      <c r="N1823" s="4">
        <f t="shared" si="161"/>
        <v>29.346998336096643</v>
      </c>
      <c r="O1823" s="36">
        <f>1/M1823-(G1823/100-(((E1823/E1703)^(1/10))-1))</f>
        <v>2.2784690077350296E-2</v>
      </c>
      <c r="P1823" s="48">
        <v>3.72</v>
      </c>
      <c r="R1823" s="30"/>
      <c r="S1823" s="30"/>
    </row>
    <row r="1824" spans="1:19" ht="13" x14ac:dyDescent="0.3">
      <c r="A1824" s="52" t="s">
        <v>1840</v>
      </c>
      <c r="B1824" s="19">
        <v>3917.488571428571</v>
      </c>
      <c r="C1824" s="1">
        <f>C1822/3+C1825*2/3</f>
        <v>66.386101781169032</v>
      </c>
      <c r="D1824" s="6">
        <f>D1822/3+D1825*2/3</f>
        <v>177.57666666666665</v>
      </c>
      <c r="E1824" s="6">
        <v>297.71100000000001</v>
      </c>
      <c r="F1824" s="2">
        <f t="shared" ref="F1824:F1829" si="164">F1823+1/12</f>
        <v>2022.874999999862</v>
      </c>
      <c r="G1824" s="17">
        <v>3.89</v>
      </c>
      <c r="H1824" s="1">
        <f>B1824*$E$1867/E1824</f>
        <v>4409.8113165860268</v>
      </c>
      <c r="I1824" s="1">
        <f>C1824*$E$1867/E1824</f>
        <v>74.729045805965242</v>
      </c>
      <c r="J1824" s="26">
        <f t="shared" ref="J1824:J1829" si="165">J1823*((H1824+(I1824/12))/H1823)</f>
        <v>2863898.5614939998</v>
      </c>
      <c r="K1824" s="1">
        <f>D1824*$E$1867/E1824</f>
        <v>199.89326834021358</v>
      </c>
      <c r="L1824" s="26">
        <f t="shared" si="163"/>
        <v>129818.26263148779</v>
      </c>
      <c r="M1824" s="10">
        <f t="shared" si="162"/>
        <v>28.378949016273321</v>
      </c>
      <c r="N1824" s="4">
        <f t="shared" ref="N1824:N1829" si="166">J1824/AVERAGE(L1704:L1823)</f>
        <v>30.747932135302161</v>
      </c>
      <c r="O1824" s="36">
        <f>1/M1824-(G1824/100-(((E1824/E1704)^(1/10))-1))</f>
        <v>2.2379046474016215E-2</v>
      </c>
      <c r="P1824" s="48">
        <v>4.1500000000000004</v>
      </c>
      <c r="R1824" s="30"/>
      <c r="S1824" s="30"/>
    </row>
    <row r="1825" spans="1:19" ht="13" x14ac:dyDescent="0.3">
      <c r="A1825" s="52" t="s">
        <v>1841</v>
      </c>
      <c r="B1825" s="19">
        <v>3912.3809523809532</v>
      </c>
      <c r="C1825" s="1">
        <v>66.92</v>
      </c>
      <c r="D1825" s="6">
        <v>172.75</v>
      </c>
      <c r="E1825" s="6">
        <v>296.79700000000003</v>
      </c>
      <c r="F1825" s="2">
        <f t="shared" si="164"/>
        <v>2022.9583333331952</v>
      </c>
      <c r="G1825" s="17">
        <v>3.62</v>
      </c>
      <c r="H1825" s="1">
        <f>B1825*$E$1867/E1825</f>
        <v>4417.6243181767504</v>
      </c>
      <c r="I1825" s="1">
        <f>C1825*$E$1867/E1825</f>
        <v>75.562022965191701</v>
      </c>
      <c r="J1825" s="26">
        <f t="shared" si="165"/>
        <v>2873062.024173405</v>
      </c>
      <c r="K1825" s="1">
        <f>D1825*$E$1867/E1825</f>
        <v>195.05886830897884</v>
      </c>
      <c r="L1825" s="26">
        <f t="shared" si="163"/>
        <v>126859.18644346479</v>
      </c>
      <c r="M1825" s="10">
        <f t="shared" si="162"/>
        <v>28.31690128452729</v>
      </c>
      <c r="N1825" s="4">
        <f t="shared" si="166"/>
        <v>30.676157998177395</v>
      </c>
      <c r="O1825" s="36">
        <f>1/M1825-(G1825/100-(((E1825/E1705)^(1/10))-1))</f>
        <v>2.5117462709333217E-2</v>
      </c>
      <c r="P1825" s="48">
        <v>4.25</v>
      </c>
      <c r="R1825" s="30"/>
      <c r="S1825" s="30"/>
    </row>
    <row r="1826" spans="1:19" ht="13" x14ac:dyDescent="0.3">
      <c r="A1826" s="52" t="s">
        <v>1842</v>
      </c>
      <c r="B1826" s="19">
        <v>3960.6565000000001</v>
      </c>
      <c r="C1826" s="1">
        <f>C1825*2/3+C1828/3</f>
        <v>67.349999999999994</v>
      </c>
      <c r="D1826" s="6">
        <f>D1825*2/3+D1828/3</f>
        <v>173.55666666666667</v>
      </c>
      <c r="E1826" s="6">
        <v>299.17</v>
      </c>
      <c r="F1826" s="2">
        <f t="shared" si="164"/>
        <v>2023.0416666665285</v>
      </c>
      <c r="G1826" s="17">
        <v>3.53</v>
      </c>
      <c r="H1826" s="1">
        <f>B1826*$E$1867/E1826</f>
        <v>4436.6614290424332</v>
      </c>
      <c r="I1826" s="1">
        <f>C1826*$E$1867/E1826</f>
        <v>75.444347987766136</v>
      </c>
      <c r="J1826" s="26">
        <f t="shared" si="165"/>
        <v>2889531.9227658794</v>
      </c>
      <c r="K1826" s="1">
        <f>D1826*$E$1867/E1826</f>
        <v>194.41528664583123</v>
      </c>
      <c r="L1826" s="26">
        <f t="shared" si="163"/>
        <v>126619.79869806184</v>
      </c>
      <c r="M1826" s="10">
        <f t="shared" ref="M1826:M1831" si="167">H1826/AVERAGE(K1706:K1825)</f>
        <v>28.334813423755691</v>
      </c>
      <c r="N1826" s="4">
        <f t="shared" si="166"/>
        <v>30.691634492755622</v>
      </c>
      <c r="O1826" s="36">
        <f>1/M1826-(G1826/100-(((E1826/E1706)^(1/10))-1))</f>
        <v>2.6509359149697265E-2</v>
      </c>
      <c r="P1826" s="48">
        <v>4.54</v>
      </c>
      <c r="R1826" s="30"/>
      <c r="S1826" s="30"/>
    </row>
    <row r="1827" spans="1:19" ht="13" x14ac:dyDescent="0.3">
      <c r="A1827" s="52" t="s">
        <v>1843</v>
      </c>
      <c r="B1827" s="19">
        <v>4079.6847368421049</v>
      </c>
      <c r="C1827" s="1">
        <f>C1825/3+C1828*2/3</f>
        <v>67.78</v>
      </c>
      <c r="D1827" s="6">
        <f>D1825/3+D1828*2/3</f>
        <v>174.36333333333332</v>
      </c>
      <c r="E1827" s="6">
        <v>300.83999999999997</v>
      </c>
      <c r="F1827" s="2">
        <f t="shared" si="164"/>
        <v>2023.1249999998618</v>
      </c>
      <c r="G1827" s="17">
        <v>3.75</v>
      </c>
      <c r="H1827" s="1">
        <f>B1827*$E$1867/E1827</f>
        <v>4544.6262709592966</v>
      </c>
      <c r="I1827" s="1">
        <f>C1827*$E$1867/E1827</f>
        <v>75.504552070868243</v>
      </c>
      <c r="J1827" s="26">
        <f t="shared" si="165"/>
        <v>2963945.7427809853</v>
      </c>
      <c r="K1827" s="1">
        <f>D1827*$E$1867/E1827</f>
        <v>194.23466186067898</v>
      </c>
      <c r="L1827" s="26">
        <f t="shared" si="163"/>
        <v>126677.3029943654</v>
      </c>
      <c r="M1827" s="10">
        <f t="shared" si="167"/>
        <v>28.91976294386664</v>
      </c>
      <c r="N1827" s="4">
        <f t="shared" si="166"/>
        <v>31.320528304023156</v>
      </c>
      <c r="O1827" s="36">
        <f>1/M1827-(G1827/100-(((E1827/E1707)^(1/10))-1))</f>
        <v>2.3329672948302606E-2</v>
      </c>
      <c r="P1827" s="48">
        <v>4.6500000000000004</v>
      </c>
      <c r="R1827" s="30"/>
      <c r="S1827" s="30"/>
    </row>
    <row r="1828" spans="1:19" ht="13" x14ac:dyDescent="0.3">
      <c r="A1828" s="52" t="s">
        <v>1844</v>
      </c>
      <c r="B1828" s="19">
        <v>3968.5591304347827</v>
      </c>
      <c r="C1828" s="1">
        <v>68.209999999999994</v>
      </c>
      <c r="D1828" s="6">
        <v>175.17</v>
      </c>
      <c r="E1828" s="6">
        <v>301.83600000000001</v>
      </c>
      <c r="F1828" s="2">
        <f t="shared" si="164"/>
        <v>2023.208333333195</v>
      </c>
      <c r="G1828" s="17">
        <v>3.66</v>
      </c>
      <c r="H1828" s="1">
        <f>B1828*$E$1867/E1828</f>
        <v>4406.2483293137302</v>
      </c>
      <c r="I1828" s="1">
        <f>C1828*$E$1867/E1828</f>
        <v>75.732826112524663</v>
      </c>
      <c r="J1828" s="26">
        <f t="shared" si="165"/>
        <v>2877813.4577330891</v>
      </c>
      <c r="K1828" s="1">
        <f>D1828*$E$1867/E1828</f>
        <v>194.48935860036573</v>
      </c>
      <c r="L1828" s="26">
        <f t="shared" si="163"/>
        <v>127025.09067462901</v>
      </c>
      <c r="M1828" s="10">
        <f t="shared" si="167"/>
        <v>27.938131253997895</v>
      </c>
      <c r="N1828" s="4">
        <f t="shared" si="166"/>
        <v>30.254655354508127</v>
      </c>
      <c r="O1828" s="36">
        <f>1/M1828-(G1828/100-(((E1828/E1708)^(1/10))-1))</f>
        <v>2.5515858811858208E-2</v>
      </c>
      <c r="P1828" s="48">
        <v>4.6900000000000004</v>
      </c>
      <c r="R1828" s="30"/>
      <c r="S1828" s="30"/>
    </row>
    <row r="1829" spans="1:19" ht="13" x14ac:dyDescent="0.3">
      <c r="A1829" s="52" t="s">
        <v>1845</v>
      </c>
      <c r="B1829" s="19">
        <v>4121.4673684210529</v>
      </c>
      <c r="C1829" s="1">
        <f>C1828*2/3+C1831/3</f>
        <v>68.376666666666665</v>
      </c>
      <c r="D1829" s="6">
        <f>D1828*2/3+D1831/3</f>
        <v>177.11666666666665</v>
      </c>
      <c r="E1829" s="6">
        <v>303.363</v>
      </c>
      <c r="F1829" s="2">
        <f t="shared" si="164"/>
        <v>2023.2916666665283</v>
      </c>
      <c r="G1829" s="17">
        <v>3.46</v>
      </c>
      <c r="H1829" s="1">
        <f>B1829*$E$1867/E1829</f>
        <v>4552.9869569095354</v>
      </c>
      <c r="I1829" s="1">
        <f>C1829*$E$1867/E1829</f>
        <v>75.535736101084609</v>
      </c>
      <c r="J1829" s="26">
        <f t="shared" si="165"/>
        <v>2977762.7065060711</v>
      </c>
      <c r="K1829" s="1">
        <f>D1829*$E$1867/E1829</f>
        <v>195.66086568181791</v>
      </c>
      <c r="L1829" s="26">
        <f t="shared" ref="L1829:L1834" si="168">K1829*(J1829/H1829)</f>
        <v>127966.90051260065</v>
      </c>
      <c r="M1829" s="10">
        <f t="shared" si="167"/>
        <v>28.76484126761537</v>
      </c>
      <c r="N1829" s="4">
        <f t="shared" si="166"/>
        <v>31.145696913600144</v>
      </c>
      <c r="O1829" s="36">
        <f>1/M1829-(G1829/100-(((E1829/E1709)^(1/10))-1))</f>
        <v>2.7112004406285146E-2</v>
      </c>
      <c r="P1829" s="48">
        <v>4.92</v>
      </c>
      <c r="R1829" s="30"/>
      <c r="S1829" s="30"/>
    </row>
    <row r="1830" spans="1:19" ht="13" x14ac:dyDescent="0.3">
      <c r="A1830" s="52" t="s">
        <v>1846</v>
      </c>
      <c r="B1830" s="19">
        <v>4146.1731818181825</v>
      </c>
      <c r="C1830" s="1">
        <f>C1828/3+C1831*2/3</f>
        <v>68.543333333333322</v>
      </c>
      <c r="D1830" s="6">
        <f>D1828/3+D1831*2/3</f>
        <v>179.06333333333333</v>
      </c>
      <c r="E1830" s="6">
        <v>304.12700000000001</v>
      </c>
      <c r="F1830" s="2">
        <f t="shared" ref="F1830:F1865" si="169">F1829+1/12</f>
        <v>2023.3749999998615</v>
      </c>
      <c r="G1830" s="17">
        <v>3.57</v>
      </c>
      <c r="H1830" s="1">
        <f>B1830*$E$1867/E1830</f>
        <v>4568.7733220007231</v>
      </c>
      <c r="I1830" s="1">
        <f>C1830*$E$1867/E1830</f>
        <v>75.52963636627679</v>
      </c>
      <c r="J1830" s="26">
        <f t="shared" ref="J1830:J1835" si="170">J1829*((H1830+(I1830/12))/H1829)</f>
        <v>2992203.8842199678</v>
      </c>
      <c r="K1830" s="1">
        <f>D1830*$E$1867/E1830</f>
        <v>197.31442571414792</v>
      </c>
      <c r="L1830" s="26">
        <f t="shared" si="168"/>
        <v>129226.15096516979</v>
      </c>
      <c r="M1830" s="10">
        <f t="shared" si="167"/>
        <v>28.76205134313124</v>
      </c>
      <c r="N1830" s="4">
        <f t="shared" ref="N1830:N1835" si="171">J1830/AVERAGE(L1710:L1829)</f>
        <v>31.138125637345365</v>
      </c>
      <c r="O1830" s="36">
        <f>1/M1830-(G1830/100-(((E1830/E1710)^(1/10))-1))</f>
        <v>2.6091008325915099E-2</v>
      </c>
      <c r="P1830" s="48">
        <v>5.14</v>
      </c>
      <c r="R1830" s="30"/>
      <c r="S1830" s="30"/>
    </row>
    <row r="1831" spans="1:19" ht="13" x14ac:dyDescent="0.3">
      <c r="A1831" s="52" t="s">
        <v>1847</v>
      </c>
      <c r="B1831" s="19">
        <v>4345.3728571428574</v>
      </c>
      <c r="C1831" s="1">
        <v>68.709999999999994</v>
      </c>
      <c r="D1831" s="6">
        <v>181.01</v>
      </c>
      <c r="E1831" s="6">
        <v>305.10899999999998</v>
      </c>
      <c r="F1831" s="2">
        <f t="shared" si="169"/>
        <v>2023.4583333331948</v>
      </c>
      <c r="G1831" s="17">
        <v>3.75</v>
      </c>
      <c r="H1831" s="1">
        <f>B1831*$E$1867/E1831</f>
        <v>4772.8653205681067</v>
      </c>
      <c r="I1831" s="1">
        <f>C1831*$E$1867/E1831</f>
        <v>75.469605706485225</v>
      </c>
      <c r="J1831" s="26">
        <f t="shared" si="170"/>
        <v>3129987.7480924628</v>
      </c>
      <c r="K1831" s="1">
        <f>D1831*$E$1867/E1831</f>
        <v>198.81754226358447</v>
      </c>
      <c r="L1831" s="26">
        <f t="shared" si="168"/>
        <v>130382.15612520234</v>
      </c>
      <c r="M1831" s="10">
        <f t="shared" si="167"/>
        <v>29.940031645987499</v>
      </c>
      <c r="N1831" s="4">
        <f t="shared" si="171"/>
        <v>32.406543360990931</v>
      </c>
      <c r="O1831" s="36">
        <f>1/M1831-(G1831/100-(((E1831/E1711)^(1/10))-1))</f>
        <v>2.3007997787991841E-2</v>
      </c>
      <c r="P1831" s="48">
        <v>5.16</v>
      </c>
      <c r="R1831" s="30"/>
      <c r="S1831" s="30"/>
    </row>
    <row r="1832" spans="1:19" ht="13" x14ac:dyDescent="0.3">
      <c r="A1832" s="52" t="s">
        <v>1848</v>
      </c>
      <c r="B1832" s="19">
        <v>4508.0755000000008</v>
      </c>
      <c r="C1832" s="1">
        <f>C1831*2/3+C1834/3</f>
        <v>68.911045363540723</v>
      </c>
      <c r="D1832" s="6">
        <f>D1831*2/3+D1834/3</f>
        <v>182.09</v>
      </c>
      <c r="E1832" s="6">
        <v>305.69099999999997</v>
      </c>
      <c r="F1832" s="2">
        <f t="shared" si="169"/>
        <v>2023.541666666528</v>
      </c>
      <c r="G1832" s="17">
        <v>3.9</v>
      </c>
      <c r="H1832" s="1">
        <f>B1832*$E$1867/E1832</f>
        <v>4942.1472302304464</v>
      </c>
      <c r="I1832" s="1">
        <f>C1832*$E$1867/E1832</f>
        <v>75.546323919310439</v>
      </c>
      <c r="J1832" s="26">
        <f t="shared" si="170"/>
        <v>3245129.3221078264</v>
      </c>
      <c r="K1832" s="1">
        <f>D1832*$E$1867/E1832</f>
        <v>199.62300745687642</v>
      </c>
      <c r="L1832" s="26">
        <f t="shared" si="168"/>
        <v>131077.12997766209</v>
      </c>
      <c r="M1832" s="10">
        <f t="shared" ref="M1832:M1837" si="172">H1832/AVERAGE(K1712:K1831)</f>
        <v>30.891659813659938</v>
      </c>
      <c r="N1832" s="4">
        <f t="shared" si="171"/>
        <v>33.427875526957642</v>
      </c>
      <c r="O1832" s="36">
        <f>1/M1832-(G1832/100-(((E1832/E1712)^(1/10))-1))</f>
        <v>2.0634383972327502E-2</v>
      </c>
      <c r="P1832" s="48">
        <v>5.25</v>
      </c>
      <c r="R1832" s="30"/>
      <c r="S1832" s="30"/>
    </row>
    <row r="1833" spans="1:19" ht="13" x14ac:dyDescent="0.3">
      <c r="A1833" s="52" t="s">
        <v>1849</v>
      </c>
      <c r="B1833" s="19">
        <v>4457.358695652174</v>
      </c>
      <c r="C1833" s="1">
        <f>C1831/3+C1834*2/3</f>
        <v>69.112090727081437</v>
      </c>
      <c r="D1833" s="6">
        <f>D1831/3+D1834*2/3</f>
        <v>183.17</v>
      </c>
      <c r="E1833" s="6">
        <v>307.02600000000001</v>
      </c>
      <c r="F1833" s="2">
        <f t="shared" si="169"/>
        <v>2023.6249999998613</v>
      </c>
      <c r="G1833" s="17">
        <v>4.17</v>
      </c>
      <c r="H1833" s="1">
        <f>B1833*$E$1867/E1833</f>
        <v>4865.2995095532906</v>
      </c>
      <c r="I1833" s="1">
        <f>C1833*$E$1867/E1833</f>
        <v>75.437281151875894</v>
      </c>
      <c r="J1833" s="26">
        <f t="shared" si="170"/>
        <v>3198797.1369356047</v>
      </c>
      <c r="K1833" s="1">
        <f>D1833*$E$1867/E1833</f>
        <v>199.9338559030831</v>
      </c>
      <c r="L1833" s="26">
        <f t="shared" si="168"/>
        <v>131450.86845804448</v>
      </c>
      <c r="M1833" s="10">
        <f t="shared" si="172"/>
        <v>30.304748245365204</v>
      </c>
      <c r="N1833" s="4">
        <f t="shared" si="171"/>
        <v>32.784769089831507</v>
      </c>
      <c r="O1833" s="36">
        <f>1/M1833-(G1833/100-(((E1833/E1713)^(1/10))-1))</f>
        <v>1.8885514103789199E-2</v>
      </c>
      <c r="P1833" s="48">
        <v>5.3</v>
      </c>
      <c r="R1833" s="30"/>
      <c r="S1833" s="30"/>
    </row>
    <row r="1834" spans="1:19" ht="13" x14ac:dyDescent="0.3">
      <c r="A1834" s="52" t="s">
        <v>1850</v>
      </c>
      <c r="B1834" s="19">
        <v>4409.0949999999993</v>
      </c>
      <c r="C1834" s="1">
        <v>69.313136090622152</v>
      </c>
      <c r="D1834" s="6">
        <v>184.25</v>
      </c>
      <c r="E1834" s="6">
        <v>307.78899999999999</v>
      </c>
      <c r="F1834" s="2">
        <f t="shared" si="169"/>
        <v>2023.7083333331946</v>
      </c>
      <c r="G1834" s="17">
        <v>4.38</v>
      </c>
      <c r="H1834" s="1">
        <f>B1834*$E$1867/E1834</f>
        <v>4800.6883421719094</v>
      </c>
      <c r="I1834" s="1">
        <f>C1834*$E$1867/E1834</f>
        <v>75.469175508721136</v>
      </c>
      <c r="J1834" s="26">
        <f t="shared" si="170"/>
        <v>3160452.0220414535</v>
      </c>
      <c r="K1834" s="1">
        <f>D1834*$E$1867/E1834</f>
        <v>200.61414577031667</v>
      </c>
      <c r="L1834" s="26">
        <f t="shared" si="168"/>
        <v>132070.93180372342</v>
      </c>
      <c r="M1834" s="10">
        <f t="shared" si="172"/>
        <v>29.799681861350251</v>
      </c>
      <c r="N1834" s="4">
        <f t="shared" si="171"/>
        <v>32.231075598026585</v>
      </c>
      <c r="O1834" s="36">
        <f>1/M1834-(G1834/100-(((E1834/E1714)^(1/10))-1))</f>
        <v>1.7480411780019328E-2</v>
      </c>
      <c r="P1834" s="48">
        <v>5.32</v>
      </c>
      <c r="R1834" s="30"/>
      <c r="S1834" s="30"/>
    </row>
    <row r="1835" spans="1:19" ht="13" x14ac:dyDescent="0.3">
      <c r="A1835" s="52" t="s">
        <v>1851</v>
      </c>
      <c r="B1835" s="19">
        <v>4269.4009090909085</v>
      </c>
      <c r="C1835" s="1">
        <f>C1834*2/3+C1837/3</f>
        <v>69.643321374994017</v>
      </c>
      <c r="D1835" s="6">
        <f>D1834*2/3+D1837/3</f>
        <v>186.97666666666666</v>
      </c>
      <c r="E1835" s="6">
        <v>307.67099999999999</v>
      </c>
      <c r="F1835" s="2">
        <f t="shared" si="169"/>
        <v>2023.7916666665278</v>
      </c>
      <c r="G1835" s="17">
        <v>4.8</v>
      </c>
      <c r="H1835" s="1">
        <f>B1835*$E$1867/E1835</f>
        <v>4650.3701909160045</v>
      </c>
      <c r="I1835" s="1">
        <f>C1835*$E$1867/E1835</f>
        <v>75.857768481999329</v>
      </c>
      <c r="J1835" s="26">
        <f t="shared" si="170"/>
        <v>3065654.2480209558</v>
      </c>
      <c r="K1835" s="1">
        <f>D1835*$E$1867/E1835</f>
        <v>203.66106055115151</v>
      </c>
      <c r="L1835" s="26">
        <f t="shared" ref="L1835:L1843" si="173">K1835*(J1835/H1835)</f>
        <v>134259.07396677785</v>
      </c>
      <c r="M1835" s="10">
        <f t="shared" si="172"/>
        <v>28.769054954983986</v>
      </c>
      <c r="N1835" s="4">
        <f t="shared" si="171"/>
        <v>31.110796090030508</v>
      </c>
      <c r="O1835" s="36">
        <f>1/M1835-(G1835/100-(((E1835/E1715)^(1/10))-1))</f>
        <v>1.4708202841239318E-2</v>
      </c>
      <c r="P1835" s="48">
        <v>5.34</v>
      </c>
      <c r="R1835" s="30"/>
      <c r="S1835" s="30"/>
    </row>
    <row r="1836" spans="1:19" ht="13" x14ac:dyDescent="0.3">
      <c r="A1836" s="52" t="s">
        <v>1852</v>
      </c>
      <c r="B1836" s="19">
        <v>4460.0633333333317</v>
      </c>
      <c r="C1836" s="1">
        <f>C1834/3+C1837*2/3</f>
        <v>69.973506659365881</v>
      </c>
      <c r="D1836" s="6">
        <f>D1834/3+D1837*2/3</f>
        <v>189.70333333333332</v>
      </c>
      <c r="E1836" s="6">
        <v>307.05099999999999</v>
      </c>
      <c r="F1836" s="2">
        <f t="shared" si="169"/>
        <v>2023.8749999998611</v>
      </c>
      <c r="G1836" s="17">
        <v>4.5</v>
      </c>
      <c r="H1836" s="1">
        <f>B1836*$E$1867/E1836</f>
        <v>4867.8553061190687</v>
      </c>
      <c r="I1836" s="1">
        <f>C1836*$E$1867/E1836</f>
        <v>76.371315881064248</v>
      </c>
      <c r="J1836" s="26">
        <f t="shared" ref="J1836:J1841" si="174">J1835*((H1836+(I1836/12))/H1835)</f>
        <v>3213222.0350738196</v>
      </c>
      <c r="K1836" s="1">
        <f>D1836*$E$1867/E1836</f>
        <v>207.04826562742562</v>
      </c>
      <c r="L1836" s="26">
        <f t="shared" si="173"/>
        <v>136670.46524607364</v>
      </c>
      <c r="M1836" s="10">
        <f t="shared" si="172"/>
        <v>30.013224817381499</v>
      </c>
      <c r="N1836" s="4">
        <f t="shared" ref="N1836:N1841" si="175">J1836/AVERAGE(L1716:L1835)</f>
        <v>32.448080510002093</v>
      </c>
      <c r="O1836" s="36">
        <f>1/M1836-(G1836/100-(((E1836/E1716)^(1/10))-1))</f>
        <v>1.6270088123310975E-2</v>
      </c>
      <c r="P1836" s="48">
        <v>5.27</v>
      </c>
      <c r="R1836" s="30"/>
      <c r="S1836" s="30"/>
    </row>
    <row r="1837" spans="1:19" ht="13" x14ac:dyDescent="0.3">
      <c r="A1837" s="52" t="s">
        <v>1853</v>
      </c>
      <c r="B1837" s="19">
        <v>4685.0515000000005</v>
      </c>
      <c r="C1837" s="1">
        <v>70.303691943737746</v>
      </c>
      <c r="D1837" s="6">
        <v>192.42999999999998</v>
      </c>
      <c r="E1837" s="6">
        <v>306.74599999999998</v>
      </c>
      <c r="F1837" s="2">
        <f t="shared" si="169"/>
        <v>2023.9583333331943</v>
      </c>
      <c r="G1837" s="17">
        <v>4.0199999999999996</v>
      </c>
      <c r="H1837" s="1">
        <f>B1837*$E$1867/E1837</f>
        <v>5118.4988726841593</v>
      </c>
      <c r="I1837" s="1">
        <f>C1837*$E$1867/E1837</f>
        <v>76.807985559935915</v>
      </c>
      <c r="J1837" s="26">
        <f t="shared" si="174"/>
        <v>3382894.3318867725</v>
      </c>
      <c r="K1837" s="1">
        <f>D1837*$E$1867/E1837</f>
        <v>210.23306532929524</v>
      </c>
      <c r="L1837" s="26">
        <f t="shared" si="173"/>
        <v>138946.2541201461</v>
      </c>
      <c r="M1837" s="10">
        <f t="shared" si="172"/>
        <v>31.452310923844578</v>
      </c>
      <c r="N1837" s="4">
        <f t="shared" si="175"/>
        <v>33.992713288867655</v>
      </c>
      <c r="O1837" s="36">
        <f>1/M1837-(G1837/100-(((E1837/E1717)^(1/10))-1))</f>
        <v>1.9452275096519332E-2</v>
      </c>
      <c r="P1837" s="48">
        <v>5.24</v>
      </c>
      <c r="R1837" s="30"/>
      <c r="S1837" s="30"/>
    </row>
    <row r="1838" spans="1:19" ht="13" x14ac:dyDescent="0.3">
      <c r="A1838" s="52" t="s">
        <v>1854</v>
      </c>
      <c r="B1838" s="19">
        <v>4815.6139130434785</v>
      </c>
      <c r="C1838" s="1">
        <f>C1837*2/3+C1840/3</f>
        <v>70.477403206648589</v>
      </c>
      <c r="D1838" s="6">
        <f>D1837*2/3+D1840/3</f>
        <v>192.08333333333331</v>
      </c>
      <c r="E1838" s="6">
        <v>308.41699999999997</v>
      </c>
      <c r="F1838" s="2">
        <f t="shared" si="169"/>
        <v>2024.0416666665276</v>
      </c>
      <c r="G1838" s="17">
        <v>4.0599999999999996</v>
      </c>
      <c r="H1838" s="1">
        <f>B1838*$E$1867/E1838</f>
        <v>5232.6357383418363</v>
      </c>
      <c r="I1838" s="1">
        <f>C1838*$E$1867/E1838</f>
        <v>76.580595002801118</v>
      </c>
      <c r="J1838" s="26">
        <f t="shared" si="174"/>
        <v>3462546.9092857987</v>
      </c>
      <c r="K1838" s="1">
        <f>D1838*$E$1867/E1838</f>
        <v>208.71733757920825</v>
      </c>
      <c r="L1838" s="26">
        <f t="shared" si="173"/>
        <v>138112.72335541205</v>
      </c>
      <c r="M1838" s="10">
        <f t="shared" ref="M1838:M1843" si="176">H1838/AVERAGE(K1718:K1837)</f>
        <v>32.045123012596022</v>
      </c>
      <c r="N1838" s="4">
        <f t="shared" si="175"/>
        <v>34.620305475067724</v>
      </c>
      <c r="O1838" s="36">
        <f>1/M1838-(G1838/100-(((E1838/E1718)^(1/10))-1))</f>
        <v>1.8640848094390771E-2</v>
      </c>
      <c r="P1838" s="48">
        <v>5.22</v>
      </c>
      <c r="R1838" s="30"/>
      <c r="S1838" s="30"/>
    </row>
    <row r="1839" spans="1:19" ht="13" x14ac:dyDescent="0.3">
      <c r="A1839" s="52" t="s">
        <v>1855</v>
      </c>
      <c r="B1839" s="19">
        <v>5011.9615000000003</v>
      </c>
      <c r="C1839" s="1">
        <f>C1837/3+C1840*2/3</f>
        <v>70.651114469559431</v>
      </c>
      <c r="D1839" s="6">
        <f>D1837/3+D1840*2/3</f>
        <v>191.73666666666665</v>
      </c>
      <c r="E1839" s="6">
        <v>310.32600000000002</v>
      </c>
      <c r="F1839" s="2">
        <f t="shared" si="169"/>
        <v>2024.1249999998608</v>
      </c>
      <c r="G1839" s="17">
        <v>4.21</v>
      </c>
      <c r="H1839" s="1">
        <f>B1839*$E$1867/E1839</f>
        <v>5412.4850985024623</v>
      </c>
      <c r="I1839" s="1">
        <f>C1839*$E$1867/E1839</f>
        <v>76.297095310704606</v>
      </c>
      <c r="J1839" s="26">
        <f t="shared" si="174"/>
        <v>3585764.3598591522</v>
      </c>
      <c r="K1839" s="1">
        <f>D1839*$E$1867/E1839</f>
        <v>207.05902293340978</v>
      </c>
      <c r="L1839" s="26">
        <f t="shared" si="173"/>
        <v>137176.33421795588</v>
      </c>
      <c r="M1839" s="10">
        <f t="shared" si="176"/>
        <v>33.037192685599052</v>
      </c>
      <c r="N1839" s="4">
        <f t="shared" si="175"/>
        <v>35.677606889805951</v>
      </c>
      <c r="O1839" s="36">
        <f>1/M1839-(G1839/100-(((E1839/E1719)^(1/10))-1))</f>
        <v>1.6458700663730945E-2</v>
      </c>
      <c r="P1839" s="48">
        <v>5.24</v>
      </c>
      <c r="R1839" s="30"/>
      <c r="S1839" s="30"/>
    </row>
    <row r="1840" spans="1:19" ht="13" x14ac:dyDescent="0.3">
      <c r="A1840" s="52" t="s">
        <v>1856</v>
      </c>
      <c r="B1840" s="19">
        <v>5170.5724999999993</v>
      </c>
      <c r="C1840" s="1">
        <v>70.824825732470273</v>
      </c>
      <c r="D1840" s="6">
        <v>191.39</v>
      </c>
      <c r="E1840" s="6">
        <v>312.33199999999999</v>
      </c>
      <c r="F1840" s="2">
        <f t="shared" si="169"/>
        <v>2024.2083333331941</v>
      </c>
      <c r="G1840" s="17">
        <v>4.21</v>
      </c>
      <c r="H1840" s="1">
        <f>B1840*$E$1867/E1840</f>
        <v>5547.9086411434782</v>
      </c>
      <c r="I1840" s="1">
        <f>C1840*$E$1867/E1840</f>
        <v>75.993453856154773</v>
      </c>
      <c r="J1840" s="26">
        <f t="shared" si="174"/>
        <v>3679677.7449873611</v>
      </c>
      <c r="K1840" s="1">
        <f>D1840*$E$1867/E1840</f>
        <v>205.35718913687998</v>
      </c>
      <c r="L1840" s="26">
        <f t="shared" si="173"/>
        <v>136204.16764548435</v>
      </c>
      <c r="M1840" s="10">
        <f t="shared" si="176"/>
        <v>33.754920176406024</v>
      </c>
      <c r="N1840" s="4">
        <f t="shared" si="175"/>
        <v>36.437339841163158</v>
      </c>
      <c r="O1840" s="36">
        <f>1/M1840-(G1840/100-(((E1840/E1720)^(1/10))-1))</f>
        <v>1.581756066908651E-2</v>
      </c>
      <c r="P1840" s="48">
        <v>5.24</v>
      </c>
      <c r="R1840" s="30"/>
      <c r="S1840" s="30"/>
    </row>
    <row r="1841" spans="1:19" ht="13" x14ac:dyDescent="0.3">
      <c r="A1841" s="52" t="s">
        <v>1857</v>
      </c>
      <c r="B1841" s="19">
        <v>5112.4927272727282</v>
      </c>
      <c r="C1841" s="1">
        <f>C1840*2/3+C1843/3</f>
        <v>71.208483689883664</v>
      </c>
      <c r="D1841" s="6">
        <f>D1840*2/3+D1843/3</f>
        <v>193.17999999999998</v>
      </c>
      <c r="E1841" s="6">
        <v>313.548</v>
      </c>
      <c r="F1841" s="2">
        <f t="shared" si="169"/>
        <v>2024.2916666665274</v>
      </c>
      <c r="G1841" s="17">
        <v>4.54</v>
      </c>
      <c r="H1841" s="1">
        <f>B1841*$E$1867/E1841</f>
        <v>5464.3161600471212</v>
      </c>
      <c r="I1841" s="1">
        <f>C1841*$E$1867/E1841</f>
        <v>76.108796416156963</v>
      </c>
      <c r="J1841" s="26">
        <f t="shared" si="174"/>
        <v>3628441.2478324445</v>
      </c>
      <c r="K1841" s="1">
        <f>D1841*$E$1867/E1841</f>
        <v>206.47395548687916</v>
      </c>
      <c r="L1841" s="26">
        <f t="shared" si="173"/>
        <v>137103.81953544429</v>
      </c>
      <c r="M1841" s="10">
        <f t="shared" si="176"/>
        <v>33.141593030769812</v>
      </c>
      <c r="N1841" s="4">
        <f t="shared" si="175"/>
        <v>35.761600875700204</v>
      </c>
      <c r="O1841" s="36">
        <f>1/M1841-(G1841/100-(((E1841/E1721)^(1/10))-1))</f>
        <v>1.3126938242554186E-2</v>
      </c>
      <c r="P1841" s="48">
        <v>5.24</v>
      </c>
      <c r="R1841" s="30"/>
      <c r="S1841" s="30"/>
    </row>
    <row r="1842" spans="1:19" ht="13" x14ac:dyDescent="0.3">
      <c r="A1842" s="52" t="s">
        <v>1858</v>
      </c>
      <c r="B1842" s="19">
        <v>5235.2254545454543</v>
      </c>
      <c r="C1842" s="1">
        <f>C1840/3+C1843*2/3</f>
        <v>71.592141647297069</v>
      </c>
      <c r="D1842" s="6">
        <f>D1840/3+D1843*2/3</f>
        <v>194.96999999999997</v>
      </c>
      <c r="E1842" s="6">
        <v>314.06900000000002</v>
      </c>
      <c r="F1842" s="2">
        <f t="shared" si="169"/>
        <v>2024.3749999998606</v>
      </c>
      <c r="G1842" s="17">
        <v>4.4800000000000004</v>
      </c>
      <c r="H1842" s="1">
        <f>B1842*$E$1867/E1842</f>
        <v>5586.2127088662328</v>
      </c>
      <c r="I1842" s="1">
        <f>C1842*$E$1867/E1842</f>
        <v>76.391921417223088</v>
      </c>
      <c r="J1842" s="26">
        <f t="shared" ref="J1842:J1847" si="177">J1841*((H1842+(I1842/12))/H1841)</f>
        <v>3713610.7521757456</v>
      </c>
      <c r="K1842" s="1">
        <f>D1842*$E$1867/E1842</f>
        <v>208.04144946651846</v>
      </c>
      <c r="L1842" s="26">
        <f t="shared" si="173"/>
        <v>138302.10267698386</v>
      </c>
      <c r="M1842" s="10">
        <f t="shared" si="176"/>
        <v>33.773634540111985</v>
      </c>
      <c r="N1842" s="4">
        <f t="shared" ref="N1842:N1847" si="178">J1842/AVERAGE(L1722:L1841)</f>
        <v>36.428996869506598</v>
      </c>
      <c r="O1842" s="36">
        <f>1/M1842-(G1842/100-(((E1842/E1722)^(1/10))-1))</f>
        <v>1.2974480037317878E-2</v>
      </c>
      <c r="P1842" s="48">
        <v>5.25</v>
      </c>
      <c r="R1842" s="30"/>
      <c r="S1842" s="30"/>
    </row>
    <row r="1843" spans="1:19" ht="13" x14ac:dyDescent="0.3">
      <c r="A1843" s="52" t="s">
        <v>1859</v>
      </c>
      <c r="B1843" s="19">
        <v>5415.1405263157876</v>
      </c>
      <c r="C1843" s="1">
        <v>71.97579960471046</v>
      </c>
      <c r="D1843" s="6">
        <v>196.76</v>
      </c>
      <c r="E1843" s="6">
        <v>314.17500000000001</v>
      </c>
      <c r="F1843" s="2">
        <f t="shared" si="169"/>
        <v>2024.4583333331939</v>
      </c>
      <c r="G1843" s="17">
        <v>4.3099999999999996</v>
      </c>
      <c r="H1843" s="1">
        <f>B1843*$E$1867/E1843</f>
        <v>5776.2403840748302</v>
      </c>
      <c r="I1843" s="1">
        <f>C1843*$E$1867/E1843</f>
        <v>76.775388991735483</v>
      </c>
      <c r="J1843" s="26">
        <f t="shared" si="177"/>
        <v>3844190.8694013278</v>
      </c>
      <c r="K1843" s="1">
        <f>D1843*$E$1867/E1843</f>
        <v>209.88062127795018</v>
      </c>
      <c r="L1843" s="26">
        <f t="shared" si="173"/>
        <v>139679.29212319324</v>
      </c>
      <c r="M1843" s="10">
        <f t="shared" si="176"/>
        <v>34.810548780042993</v>
      </c>
      <c r="N1843" s="4">
        <f t="shared" si="178"/>
        <v>37.531221118283383</v>
      </c>
      <c r="O1843" s="36">
        <f>1/M1843-(G1843/100-(((E1843/E1723)^(1/10))-1))</f>
        <v>1.363593708551496E-2</v>
      </c>
      <c r="P1843" s="48">
        <v>5.24</v>
      </c>
      <c r="R1843" s="30"/>
      <c r="S1843" s="30"/>
    </row>
    <row r="1844" spans="1:19" ht="13" x14ac:dyDescent="0.3">
      <c r="A1844" s="52" t="s">
        <v>1860</v>
      </c>
      <c r="B1844" s="19">
        <v>5538.0045454545461</v>
      </c>
      <c r="C1844" s="1">
        <f>C1843*2/3+C1846/3</f>
        <v>72.450533069806966</v>
      </c>
      <c r="D1844" s="6">
        <f>D1843*2/3+D1846/3</f>
        <v>197.93</v>
      </c>
      <c r="E1844" s="6">
        <v>314.54000000000002</v>
      </c>
      <c r="F1844" s="2">
        <f t="shared" si="169"/>
        <v>2024.5416666665271</v>
      </c>
      <c r="G1844" s="17">
        <v>4.25</v>
      </c>
      <c r="H1844" s="1">
        <f>B1844*$E$1867/E1844</f>
        <v>5900.4424168518817</v>
      </c>
      <c r="I1844" s="1">
        <f>C1844*$E$1867/E1844</f>
        <v>77.192099598309667</v>
      </c>
      <c r="J1844" s="26">
        <f t="shared" si="177"/>
        <v>3931130.594437582</v>
      </c>
      <c r="K1844" s="1">
        <f>D1844*$E$1867/E1844</f>
        <v>210.88364192948433</v>
      </c>
      <c r="L1844" s="26">
        <f t="shared" ref="L1844:L1849" si="179">K1844*(J1844/H1844)</f>
        <v>140499.8266380381</v>
      </c>
      <c r="M1844" s="10">
        <f t="shared" ref="M1844:M1849" si="180">H1844/AVERAGE(K1724:K1843)</f>
        <v>35.44355307890725</v>
      </c>
      <c r="N1844" s="4">
        <f t="shared" si="178"/>
        <v>38.196496898915193</v>
      </c>
      <c r="O1844" s="36">
        <f>1/M1844-(G1844/100-(((E1844/E1724)^(1/10))-1))</f>
        <v>1.388238291797797E-2</v>
      </c>
      <c r="P1844" s="48">
        <v>5.2</v>
      </c>
      <c r="R1844" s="30"/>
      <c r="S1844" s="30"/>
    </row>
    <row r="1845" spans="1:19" ht="13" x14ac:dyDescent="0.3">
      <c r="A1845" s="52" t="s">
        <v>1861</v>
      </c>
      <c r="B1845" s="19">
        <v>5478.2145454545462</v>
      </c>
      <c r="C1845" s="1">
        <f>C1843/3+C1846*2/3</f>
        <v>72.925266534903486</v>
      </c>
      <c r="D1845" s="6">
        <f>D1843/3+D1846*2/3</f>
        <v>199.10000000000002</v>
      </c>
      <c r="E1845" s="6">
        <v>314.79599999999999</v>
      </c>
      <c r="F1845" s="2">
        <f t="shared" si="169"/>
        <v>2024.6249999998604</v>
      </c>
      <c r="G1845" s="17">
        <v>3.87</v>
      </c>
      <c r="H1845" s="1">
        <f>B1845*$E$1867/E1845</f>
        <v>5831.9928432988072</v>
      </c>
      <c r="I1845" s="1">
        <f>C1845*$E$1867/E1845</f>
        <v>77.634716384027001</v>
      </c>
      <c r="J1845" s="26">
        <f t="shared" si="177"/>
        <v>3889836.8216162692</v>
      </c>
      <c r="K1845" s="1">
        <f>D1845*$E$1867/E1845</f>
        <v>211.95770363981754</v>
      </c>
      <c r="L1845" s="26">
        <f t="shared" si="179"/>
        <v>141372.06652966875</v>
      </c>
      <c r="M1845" s="10">
        <f t="shared" si="180"/>
        <v>34.919631348614779</v>
      </c>
      <c r="N1845" s="4">
        <f t="shared" si="178"/>
        <v>37.615646194918924</v>
      </c>
      <c r="O1845" s="36">
        <f>1/M1845-(G1845/100-(((E1845/E1725)^(1/10))-1))</f>
        <v>1.836127351969969E-2</v>
      </c>
      <c r="P1845" s="48">
        <v>5.05</v>
      </c>
      <c r="R1845" s="30"/>
      <c r="S1845" s="30"/>
    </row>
    <row r="1846" spans="1:19" ht="13" x14ac:dyDescent="0.3">
      <c r="A1846" s="52" t="s">
        <v>1862</v>
      </c>
      <c r="B1846" s="19">
        <v>5621.2604999999985</v>
      </c>
      <c r="C1846" s="1">
        <v>73.400000000000006</v>
      </c>
      <c r="D1846" s="6">
        <v>200.27</v>
      </c>
      <c r="E1846" s="6">
        <v>315.30099999999999</v>
      </c>
      <c r="F1846" s="2">
        <f t="shared" si="169"/>
        <v>2024.7083333331937</v>
      </c>
      <c r="G1846" s="17">
        <v>3.72</v>
      </c>
      <c r="H1846" s="1">
        <f>B1846*$E$1867/E1846</f>
        <v>5974.6918987812423</v>
      </c>
      <c r="I1846" s="1">
        <f>C1846*$E$1867/E1846</f>
        <v>78.014955074674688</v>
      </c>
      <c r="J1846" s="26">
        <f t="shared" si="177"/>
        <v>3989350.8030447876</v>
      </c>
      <c r="K1846" s="1">
        <f>D1846*$E$1867/E1846</f>
        <v>212.86178546055993</v>
      </c>
      <c r="L1846" s="26">
        <f t="shared" si="179"/>
        <v>142129.56067874454</v>
      </c>
      <c r="M1846" s="10">
        <f t="shared" si="180"/>
        <v>35.660183635152123</v>
      </c>
      <c r="N1846" s="4">
        <f t="shared" si="178"/>
        <v>38.395926785941981</v>
      </c>
      <c r="O1846" s="36">
        <f>1/M1846-(G1846/100-(((E1846/E1726)^(1/10))-1))</f>
        <v>1.9354053101094486E-2</v>
      </c>
      <c r="P1846" s="48">
        <v>4.72</v>
      </c>
      <c r="R1846" s="30"/>
      <c r="S1846" s="30"/>
    </row>
    <row r="1847" spans="1:19" ht="13" x14ac:dyDescent="0.3">
      <c r="A1847" s="52" t="s">
        <v>1863</v>
      </c>
      <c r="B1847" s="19">
        <v>5792.3195652173899</v>
      </c>
      <c r="C1847" s="1">
        <f>C1846*2/3+C1849/3</f>
        <v>73.877418196586916</v>
      </c>
      <c r="D1847" s="6">
        <f>D1846*2/3+D1849/3</f>
        <v>203.57</v>
      </c>
      <c r="E1847" s="6">
        <v>315.66399999999999</v>
      </c>
      <c r="F1847" s="2">
        <f t="shared" si="169"/>
        <v>2024.7916666665269</v>
      </c>
      <c r="G1847" s="17">
        <v>4.0999999999999996</v>
      </c>
      <c r="H1847" s="1">
        <f>B1847*$E$1867/E1847</f>
        <v>6149.4264229477203</v>
      </c>
      <c r="I1847" s="1">
        <f>C1847*$E$1867/E1847</f>
        <v>78.432093119537669</v>
      </c>
      <c r="J1847" s="26">
        <f t="shared" si="177"/>
        <v>4110386.6245331909</v>
      </c>
      <c r="K1847" s="1">
        <f>D1847*$E$1867/E1847</f>
        <v>216.1204544784961</v>
      </c>
      <c r="L1847" s="26">
        <f t="shared" si="179"/>
        <v>144458.77782380566</v>
      </c>
      <c r="M1847" s="10">
        <f t="shared" si="180"/>
        <v>36.587210527930161</v>
      </c>
      <c r="N1847" s="4">
        <f t="shared" si="178"/>
        <v>39.375226098070698</v>
      </c>
      <c r="O1847" s="36">
        <f>1/M1847-(G1847/100-(((E1847/E1727)^(1/10))-1))</f>
        <v>1.5220655326476946E-2</v>
      </c>
      <c r="P1847" s="48">
        <v>4.51</v>
      </c>
      <c r="R1847" s="30"/>
      <c r="S1847" s="30"/>
    </row>
    <row r="1848" spans="1:19" ht="13" x14ac:dyDescent="0.3">
      <c r="A1848" s="52" t="s">
        <v>1864</v>
      </c>
      <c r="B1848" s="19">
        <v>5929.9160000000002</v>
      </c>
      <c r="C1848" s="1">
        <f>C1846/3+C1849*2/3</f>
        <v>74.354836393173827</v>
      </c>
      <c r="D1848" s="6">
        <f>D1846/3+D1849*2/3</f>
        <v>206.87</v>
      </c>
      <c r="E1848" s="38">
        <v>315.49299999999999</v>
      </c>
      <c r="F1848" s="14">
        <f t="shared" si="169"/>
        <v>2024.8749999998602</v>
      </c>
      <c r="G1848" s="39">
        <v>4.3600000000000003</v>
      </c>
      <c r="H1848" s="1">
        <f>B1848*$E$1867/E1848</f>
        <v>6298.9181439176145</v>
      </c>
      <c r="I1848" s="1">
        <f>C1848*$E$1867/E1848</f>
        <v>78.981730608829608</v>
      </c>
      <c r="J1848" s="40">
        <f t="shared" ref="J1848:J1853" si="181">J1847*((H1848+(I1848/12))/H1847)</f>
        <v>4214708.9651310435</v>
      </c>
      <c r="K1848" s="1">
        <f>D1848*$E$1867/E1848</f>
        <v>219.74294348052095</v>
      </c>
      <c r="L1848" s="26">
        <f t="shared" si="179"/>
        <v>147033.59096767288</v>
      </c>
      <c r="M1848" s="41">
        <f t="shared" si="180"/>
        <v>37.350195655078792</v>
      </c>
      <c r="N1848" s="42">
        <f t="shared" ref="N1848:N1853" si="182">J1848/AVERAGE(L1728:L1847)</f>
        <v>40.176632151959865</v>
      </c>
      <c r="O1848" s="43">
        <f>1/M1848-(G1848/100-(((E1848/E1728)^(1/10))-1))</f>
        <v>1.2563737358393084E-2</v>
      </c>
      <c r="P1848" s="48">
        <v>4.42</v>
      </c>
      <c r="Q1848" s="45"/>
      <c r="R1848" s="30"/>
      <c r="S1848" s="30"/>
    </row>
    <row r="1849" spans="1:19" ht="13" x14ac:dyDescent="0.3">
      <c r="A1849" s="52" t="s">
        <v>1865</v>
      </c>
      <c r="B1849" s="19">
        <v>6010.9085714285711</v>
      </c>
      <c r="C1849" s="14">
        <v>74.832254589760723</v>
      </c>
      <c r="D1849" s="38">
        <v>210.17</v>
      </c>
      <c r="E1849" s="38">
        <v>315.60500000000002</v>
      </c>
      <c r="F1849" s="14">
        <f t="shared" si="169"/>
        <v>2024.9583333331934</v>
      </c>
      <c r="G1849" s="39">
        <v>4.3899999999999997</v>
      </c>
      <c r="H1849" s="1">
        <f>B1849*$E$1867/E1849</f>
        <v>6382.684804509252</v>
      </c>
      <c r="I1849" s="1">
        <f>C1849*$E$1867/E1849</f>
        <v>79.460648682553213</v>
      </c>
      <c r="J1849" s="40">
        <f t="shared" si="181"/>
        <v>4275189.3067339351</v>
      </c>
      <c r="K1849" s="1">
        <f>D1849*$E$1867/E1849</f>
        <v>223.16906827363314</v>
      </c>
      <c r="L1849" s="26">
        <f t="shared" si="179"/>
        <v>149480.98543157958</v>
      </c>
      <c r="M1849" s="41">
        <f t="shared" si="180"/>
        <v>37.711191696434646</v>
      </c>
      <c r="N1849" s="42">
        <f t="shared" si="182"/>
        <v>40.544844739398236</v>
      </c>
      <c r="O1849" s="43">
        <f>1/M1849-(G1849/100-(((E1849/E1729)^(1/10))-1))</f>
        <v>1.2629503200459666E-2</v>
      </c>
      <c r="P1849" s="48">
        <v>4.2699999999999996</v>
      </c>
      <c r="Q1849" s="45"/>
      <c r="R1849" s="30"/>
      <c r="S1849" s="30"/>
    </row>
    <row r="1850" spans="1:19" ht="13" x14ac:dyDescent="0.3">
      <c r="A1850" s="52" t="s">
        <v>1866</v>
      </c>
      <c r="B1850" s="19">
        <v>5979.5155000000004</v>
      </c>
      <c r="C1850" s="1">
        <f>C1849*2/3+C1852/3</f>
        <v>75.269936724854603</v>
      </c>
      <c r="D1850" s="6">
        <f>D1849*2/3+D1852/3</f>
        <v>212.34333333333331</v>
      </c>
      <c r="E1850" s="38">
        <v>317.67099999999999</v>
      </c>
      <c r="F1850" s="14">
        <f t="shared" si="169"/>
        <v>2025.0416666665267</v>
      </c>
      <c r="G1850" s="39">
        <v>4.63</v>
      </c>
      <c r="H1850" s="1">
        <f>B1850*$E$1867/E1850</f>
        <v>6308.0565327536196</v>
      </c>
      <c r="I1850" s="1">
        <f>C1850*$E$1867/E1850</f>
        <v>79.405600015113365</v>
      </c>
      <c r="J1850" s="40">
        <f t="shared" si="181"/>
        <v>4229634.7320334874</v>
      </c>
      <c r="K1850" s="1">
        <f>D1850*$E$1867/E1850</f>
        <v>224.01041539569763</v>
      </c>
      <c r="L1850" s="26">
        <f t="shared" ref="L1850:L1855" si="183">K1850*(J1850/H1850)</f>
        <v>150201.9248520103</v>
      </c>
      <c r="M1850" s="41">
        <f t="shared" ref="M1850:M1855" si="184">H1850/AVERAGE(K1730:K1849)</f>
        <v>37.129219852198922</v>
      </c>
      <c r="N1850" s="42">
        <f t="shared" si="182"/>
        <v>39.899969411387978</v>
      </c>
      <c r="O1850" s="43">
        <f>1/M1850-(G1850/100-(((E1850/E1730)^(1/10))-1))</f>
        <v>1.1803714511061804E-2</v>
      </c>
      <c r="P1850" s="48">
        <v>4.21</v>
      </c>
      <c r="Q1850" s="45"/>
      <c r="R1850" s="30"/>
      <c r="S1850" s="30"/>
    </row>
    <row r="1851" spans="1:19" ht="13" x14ac:dyDescent="0.3">
      <c r="A1851" s="52" t="s">
        <v>1867</v>
      </c>
      <c r="B1851" s="19">
        <v>6038.69</v>
      </c>
      <c r="C1851" s="1">
        <f>C1849/3+C1852*2/3</f>
        <v>75.707618859948482</v>
      </c>
      <c r="D1851" s="6">
        <f>D1849/3+D1852*2/3</f>
        <v>214.51666666666665</v>
      </c>
      <c r="E1851" s="38">
        <v>319.08199999999999</v>
      </c>
      <c r="F1851" s="14">
        <f t="shared" si="169"/>
        <v>2025.1249999998599</v>
      </c>
      <c r="G1851" s="39">
        <v>4.45</v>
      </c>
      <c r="H1851" s="1">
        <f>B1851*$E$1867/E1851</f>
        <v>6342.3116813938104</v>
      </c>
      <c r="I1851" s="1">
        <f>C1851*$E$1867/E1851</f>
        <v>79.514152153192441</v>
      </c>
      <c r="J1851" s="40">
        <f t="shared" si="181"/>
        <v>4257046.1992333513</v>
      </c>
      <c r="K1851" s="1">
        <f>D1851*$E$1867/E1851</f>
        <v>225.30243494096607</v>
      </c>
      <c r="L1851" s="26">
        <f t="shared" si="183"/>
        <v>151226.07063875461</v>
      </c>
      <c r="M1851" s="41">
        <f t="shared" si="184"/>
        <v>37.1871755936969</v>
      </c>
      <c r="N1851" s="42">
        <f t="shared" si="182"/>
        <v>39.943400167691699</v>
      </c>
      <c r="O1851" s="43">
        <f>1/M1851-(G1851/100-(((E1851/E1731)^(1/10))-1))</f>
        <v>1.3571868642618751E-2</v>
      </c>
      <c r="P1851" s="48">
        <v>4.22</v>
      </c>
      <c r="Q1851" s="45"/>
      <c r="R1851" s="30"/>
      <c r="S1851" s="30"/>
    </row>
    <row r="1852" spans="1:19" ht="13" x14ac:dyDescent="0.3">
      <c r="A1852" s="52" t="s">
        <v>1868</v>
      </c>
      <c r="B1852" s="19">
        <v>5683.9833333333327</v>
      </c>
      <c r="C1852" s="14">
        <v>76.145300995042362</v>
      </c>
      <c r="D1852" s="38">
        <v>216.69</v>
      </c>
      <c r="E1852" s="38">
        <v>319.79899999999998</v>
      </c>
      <c r="F1852" s="14">
        <f t="shared" si="169"/>
        <v>2025.2083333331932</v>
      </c>
      <c r="G1852" s="39">
        <v>4.28</v>
      </c>
      <c r="H1852" s="1">
        <f>B1852*$E$1867/E1852</f>
        <v>5956.3861537377115</v>
      </c>
      <c r="I1852" s="1">
        <f>C1852*$E$1867/E1852</f>
        <v>79.794536669247933</v>
      </c>
      <c r="J1852" s="40">
        <f t="shared" si="181"/>
        <v>4002470.9808086697</v>
      </c>
      <c r="K1852" s="1">
        <f>D1852*$E$1867/E1852</f>
        <v>227.0747889221042</v>
      </c>
      <c r="L1852" s="26">
        <f t="shared" si="183"/>
        <v>152585.85150052002</v>
      </c>
      <c r="M1852" s="41">
        <f t="shared" si="184"/>
        <v>34.784750339850753</v>
      </c>
      <c r="N1852" s="42">
        <f t="shared" si="182"/>
        <v>37.348615407456563</v>
      </c>
      <c r="O1852" s="43">
        <f>1/M1852-(G1852/100-(((E1852/E1732)^(1/10))-1))</f>
        <v>1.6748720593000491E-2</v>
      </c>
      <c r="P1852" s="48">
        <v>4.2</v>
      </c>
      <c r="Q1852" s="45"/>
      <c r="R1852" s="30"/>
      <c r="S1852" s="30"/>
    </row>
    <row r="1853" spans="1:19" ht="13" x14ac:dyDescent="0.3">
      <c r="A1853" s="52" t="s">
        <v>1869</v>
      </c>
      <c r="B1853" s="19">
        <v>5369.4957142857147</v>
      </c>
      <c r="C1853" s="1">
        <f>C1852*2/3+C1855/3</f>
        <v>76.546867330028249</v>
      </c>
      <c r="D1853" s="6">
        <f>D1852*2/3+D1855/3</f>
        <v>218.63666666666666</v>
      </c>
      <c r="E1853" s="38">
        <v>320.79500000000002</v>
      </c>
      <c r="F1853" s="14">
        <f t="shared" si="169"/>
        <v>2025.2916666665265</v>
      </c>
      <c r="G1853" s="39">
        <v>4.28</v>
      </c>
      <c r="H1853" s="1">
        <f>B1853*$E$1867/E1853</f>
        <v>5609.3567344376588</v>
      </c>
      <c r="I1853" s="1">
        <f>C1853*$E$1867/E1853</f>
        <v>79.966296390818272</v>
      </c>
      <c r="J1853" s="40">
        <f t="shared" si="181"/>
        <v>3773757.9244892942</v>
      </c>
      <c r="K1853" s="1">
        <f>D1853*$E$1867/E1853</f>
        <v>228.40339648633341</v>
      </c>
      <c r="L1853" s="26">
        <f t="shared" si="183"/>
        <v>153660.95762440053</v>
      </c>
      <c r="M1853" s="41">
        <f t="shared" si="184"/>
        <v>32.621270341113537</v>
      </c>
      <c r="N1853" s="42">
        <f t="shared" si="182"/>
        <v>35.015341345574349</v>
      </c>
      <c r="O1853" s="43">
        <f>1/M1853-(G1853/100-(((E1853/E1733)^(1/10))-1))</f>
        <v>1.876654555473898E-2</v>
      </c>
      <c r="P1853" s="48">
        <v>4.21</v>
      </c>
      <c r="Q1853" s="45"/>
      <c r="R1853" s="30"/>
      <c r="S1853" s="30"/>
    </row>
    <row r="1854" spans="1:19" ht="13" x14ac:dyDescent="0.3">
      <c r="A1854" s="52" t="s">
        <v>1870</v>
      </c>
      <c r="B1854" s="19">
        <v>5810.9195238095244</v>
      </c>
      <c r="C1854" s="1">
        <f>C1852/3+C1855*2/3</f>
        <v>76.948433665014122</v>
      </c>
      <c r="D1854" s="6">
        <f>D1852/3+D1855*2/3</f>
        <v>220.58333333333331</v>
      </c>
      <c r="E1854" s="38">
        <v>321.46499999999997</v>
      </c>
      <c r="F1854" s="14">
        <f t="shared" si="169"/>
        <v>2025.3749999998597</v>
      </c>
      <c r="G1854" s="39">
        <v>4.42</v>
      </c>
      <c r="H1854" s="1">
        <f>B1854*$E$1867/E1854</f>
        <v>6057.8472248815515</v>
      </c>
      <c r="I1854" s="1">
        <f>C1854*$E$1867/E1854</f>
        <v>80.218260367680074</v>
      </c>
      <c r="J1854" s="40">
        <f t="shared" ref="J1854:J1859" si="185">J1853*((H1854+(I1854/12))/H1853)</f>
        <v>4079982.2650577985</v>
      </c>
      <c r="K1854" s="1">
        <f>D1854*$E$1867/E1854</f>
        <v>229.95674405974731</v>
      </c>
      <c r="L1854" s="26">
        <f t="shared" si="183"/>
        <v>154876.70828683686</v>
      </c>
      <c r="M1854" s="41">
        <f t="shared" si="184"/>
        <v>35.076697043727641</v>
      </c>
      <c r="N1854" s="42">
        <f t="shared" ref="N1854:N1859" si="186">J1854/AVERAGE(L1734:L1853)</f>
        <v>37.63733627717604</v>
      </c>
      <c r="O1854" s="43">
        <f>1/M1854-(G1854/100-(((E1854/E1734)^(1/10))-1))</f>
        <v>1.4911644872815804E-2</v>
      </c>
      <c r="P1854" s="48">
        <v>4.25</v>
      </c>
      <c r="Q1854" s="45"/>
      <c r="R1854" s="30"/>
      <c r="S1854" s="30"/>
    </row>
    <row r="1855" spans="1:19" ht="13" x14ac:dyDescent="0.3">
      <c r="A1855" s="52" t="s">
        <v>1871</v>
      </c>
      <c r="B1855" s="19">
        <v>6029.9514999999992</v>
      </c>
      <c r="C1855" s="14">
        <v>77.349999999999994</v>
      </c>
      <c r="D1855" s="38">
        <v>222.53</v>
      </c>
      <c r="E1855" s="38">
        <v>322.56099999999998</v>
      </c>
      <c r="F1855" s="14">
        <f t="shared" si="169"/>
        <v>2025.458333333193</v>
      </c>
      <c r="G1855" s="39">
        <v>4.38</v>
      </c>
      <c r="H1855" s="1">
        <f>B1855*$E$1867/E1855</f>
        <v>6264.8274401597673</v>
      </c>
      <c r="I1855" s="1">
        <f>C1855*$E$1867/E1855</f>
        <v>80.362902171992275</v>
      </c>
      <c r="J1855" s="40">
        <f t="shared" si="185"/>
        <v>4223894.5895451838</v>
      </c>
      <c r="K1855" s="1">
        <f>D1855*$E$1867/E1855</f>
        <v>231.19788778711626</v>
      </c>
      <c r="L1855" s="26">
        <f t="shared" si="183"/>
        <v>155879.07514869564</v>
      </c>
      <c r="M1855" s="41">
        <f t="shared" si="184"/>
        <v>36.111092133696928</v>
      </c>
      <c r="N1855" s="42">
        <f t="shared" si="186"/>
        <v>38.732624879467863</v>
      </c>
      <c r="O1855" s="43">
        <f>1/M1855-(G1855/100-(((E1855/E1735)^(1/10))-1))</f>
        <v>1.4485410773323274E-2</v>
      </c>
      <c r="P1855" s="48">
        <v>4.2300000000000004</v>
      </c>
      <c r="Q1855" s="45"/>
      <c r="R1855" s="30"/>
      <c r="S1855" s="30"/>
    </row>
    <row r="1856" spans="1:19" ht="13" x14ac:dyDescent="0.3">
      <c r="A1856" s="52" t="s">
        <v>1872</v>
      </c>
      <c r="B1856" s="19">
        <v>6296.4981818181832</v>
      </c>
      <c r="C1856" s="1">
        <f>C1855*2/3+C1858/3</f>
        <v>77.726666666666659</v>
      </c>
      <c r="D1856" s="6">
        <f>D1855*2/3+D1858/3</f>
        <v>226.76999999999998</v>
      </c>
      <c r="E1856" s="38">
        <v>323.048</v>
      </c>
      <c r="F1856" s="14">
        <f t="shared" si="169"/>
        <v>2025.5416666665262</v>
      </c>
      <c r="G1856" s="39">
        <v>4.3899999999999997</v>
      </c>
      <c r="H1856" s="1">
        <f>B1856*$E$1867/E1856</f>
        <v>6531.8947255713201</v>
      </c>
      <c r="I1856" s="1">
        <f>C1856*$E$1867/E1856</f>
        <v>80.632502285522065</v>
      </c>
      <c r="J1856" s="40">
        <f t="shared" si="185"/>
        <v>4408488.0209609093</v>
      </c>
      <c r="K1856" s="1">
        <f>D1856*$E$1867/E1856</f>
        <v>235.24786701202294</v>
      </c>
      <c r="L1856" s="26">
        <f t="shared" ref="L1856:L1864" si="187">K1856*(J1856/H1856)</f>
        <v>158772.82890354577</v>
      </c>
      <c r="M1856" s="41">
        <f t="shared" ref="M1856:M1861" si="188">H1856/AVERAGE(K1736:K1855)</f>
        <v>37.474246191646579</v>
      </c>
      <c r="N1856" s="42">
        <f t="shared" si="186"/>
        <v>40.178755836652726</v>
      </c>
      <c r="O1856" s="43">
        <f>1/M1856-(G1856/100-(((E1856/E1736)^(1/10))-1))</f>
        <v>1.352666347937246E-2</v>
      </c>
      <c r="P1856" s="48">
        <v>4.25</v>
      </c>
      <c r="Q1856" s="45"/>
      <c r="R1856" s="30"/>
      <c r="S1856" s="30"/>
    </row>
    <row r="1857" spans="1:19" ht="13" x14ac:dyDescent="0.3">
      <c r="A1857" s="52" t="s">
        <v>1873</v>
      </c>
      <c r="B1857" s="19">
        <v>6408.9495238095224</v>
      </c>
      <c r="C1857" s="1">
        <f>C1855/3+C1858*2/3</f>
        <v>78.103333333333325</v>
      </c>
      <c r="D1857" s="6">
        <f>D1855/3+D1858*2/3</f>
        <v>231.01</v>
      </c>
      <c r="E1857" s="38">
        <v>323.976</v>
      </c>
      <c r="F1857" s="14">
        <f t="shared" si="169"/>
        <v>2025.6249999998595</v>
      </c>
      <c r="G1857" s="39">
        <v>4.26</v>
      </c>
      <c r="H1857" s="1">
        <f>B1857*$E$1867/E1857</f>
        <v>6629.5059245254188</v>
      </c>
      <c r="I1857" s="1">
        <f>C1857*$E$1867/E1857</f>
        <v>80.79116696658599</v>
      </c>
      <c r="J1857" s="40">
        <f t="shared" si="185"/>
        <v>4478911.4424857944</v>
      </c>
      <c r="K1857" s="1">
        <f>D1857*$E$1867/E1857</f>
        <v>238.95993531156626</v>
      </c>
      <c r="L1857" s="26">
        <f t="shared" si="187"/>
        <v>161441.95370626458</v>
      </c>
      <c r="M1857" s="41">
        <f t="shared" si="188"/>
        <v>37.846145044881794</v>
      </c>
      <c r="N1857" s="42">
        <f t="shared" si="186"/>
        <v>40.561172012259753</v>
      </c>
      <c r="O1857" s="43">
        <f>1/M1857-(G1857/100-(((E1857/E1737)^(1/10))-1))</f>
        <v>1.5006290735751208E-2</v>
      </c>
      <c r="P1857" s="48">
        <v>4.12</v>
      </c>
      <c r="Q1857" s="45"/>
      <c r="R1857" s="30"/>
      <c r="S1857" s="30"/>
    </row>
    <row r="1858" spans="1:19" ht="13" x14ac:dyDescent="0.3">
      <c r="A1858" s="52" t="s">
        <v>1874</v>
      </c>
      <c r="B1858" s="19">
        <v>6584.0180952380952</v>
      </c>
      <c r="C1858" s="14">
        <v>78.48</v>
      </c>
      <c r="D1858" s="38">
        <v>235.25</v>
      </c>
      <c r="E1858" s="38">
        <v>324.8</v>
      </c>
      <c r="F1858" s="14">
        <f t="shared" si="169"/>
        <v>2025.7083333331927</v>
      </c>
      <c r="G1858" s="39">
        <v>4.12</v>
      </c>
      <c r="H1858" s="1">
        <f>B1858*$E$1867/E1858</f>
        <v>6793.3211520048972</v>
      </c>
      <c r="I1858" s="1">
        <f>C1858*$E$1867/E1858</f>
        <v>80.974844889162554</v>
      </c>
      <c r="J1858" s="40">
        <f t="shared" si="185"/>
        <v>4594144.3374836575</v>
      </c>
      <c r="K1858" s="1">
        <f>D1858*$E$1867/E1858</f>
        <v>242.72849465055415</v>
      </c>
      <c r="L1858" s="26">
        <f t="shared" si="187"/>
        <v>164150.89384014622</v>
      </c>
      <c r="M1858" s="41">
        <f t="shared" si="188"/>
        <v>38.580387325388465</v>
      </c>
      <c r="N1858" s="42">
        <f t="shared" si="186"/>
        <v>41.330933496626479</v>
      </c>
      <c r="O1858" s="43">
        <f>1/M1858-(G1858/100-(((E1858/E1738)^(1/10))-1))</f>
        <v>1.6326105961741926E-2</v>
      </c>
      <c r="P1858" s="48">
        <v>3.92</v>
      </c>
      <c r="Q1858" s="45"/>
      <c r="R1858" s="30"/>
      <c r="S1858" s="30"/>
    </row>
    <row r="1859" spans="1:19" ht="13" x14ac:dyDescent="0.3">
      <c r="A1859" s="52" t="s">
        <v>1875</v>
      </c>
      <c r="B1859" s="19">
        <v>6735.6917391304351</v>
      </c>
      <c r="C1859" s="1">
        <f>C1858*2/3+C1861/3</f>
        <v>78.826666666666668</v>
      </c>
      <c r="D1859" s="6">
        <f>D1858*2/3+D1861/3</f>
        <v>241.20333333333335</v>
      </c>
      <c r="E1859" s="38">
        <f>1.5*E1858-0.5*E1857</f>
        <v>325.21200000000005</v>
      </c>
      <c r="F1859" s="14">
        <f t="shared" si="169"/>
        <v>2025.791666666526</v>
      </c>
      <c r="G1859" s="39">
        <v>4.0599999999999996</v>
      </c>
      <c r="H1859" s="1">
        <f>B1859*$E$1867/E1859</f>
        <v>6941.0119491255591</v>
      </c>
      <c r="I1859" s="1">
        <f>C1859*$E$1867/E1859</f>
        <v>81.229494524597271</v>
      </c>
      <c r="J1859" s="40">
        <f t="shared" si="185"/>
        <v>4698601.5180886323</v>
      </c>
      <c r="K1859" s="1">
        <f>D1859*$E$1867/E1859</f>
        <v>248.55579555541203</v>
      </c>
      <c r="L1859" s="26">
        <f t="shared" si="187"/>
        <v>168255.67321974086</v>
      </c>
      <c r="M1859" s="41">
        <f t="shared" si="188"/>
        <v>39.205692171126508</v>
      </c>
      <c r="N1859" s="42">
        <f t="shared" si="186"/>
        <v>41.983073623103067</v>
      </c>
      <c r="O1859" s="43">
        <f>1/M1859-(G1859/100-(((E1859/E1739)^(1/10))-1))</f>
        <v>1.6689889449822783E-2</v>
      </c>
      <c r="P1859" s="48">
        <v>3.82</v>
      </c>
      <c r="Q1859" s="45"/>
      <c r="R1859" s="30"/>
      <c r="S1859" s="30"/>
    </row>
    <row r="1860" spans="1:19" ht="13" x14ac:dyDescent="0.3">
      <c r="A1860" s="52" t="s">
        <v>1876</v>
      </c>
      <c r="B1860" s="19">
        <v>6740.8857894736839</v>
      </c>
      <c r="C1860" s="1">
        <f>C1858/3+C1861*2/3</f>
        <v>79.173333333333332</v>
      </c>
      <c r="D1860" s="6">
        <f>D1858/3+D1861*2/3</f>
        <v>247.15666666666669</v>
      </c>
      <c r="E1860" s="38">
        <v>324.12200000000001</v>
      </c>
      <c r="F1860" s="14">
        <f t="shared" si="169"/>
        <v>2025.8749999998593</v>
      </c>
      <c r="G1860" s="39">
        <v>4.09</v>
      </c>
      <c r="H1860" s="1">
        <f>B1860*$E$1867/E1860</f>
        <v>6969.7244723246658</v>
      </c>
      <c r="I1860" s="1">
        <f>C1860*$E$1867/E1860</f>
        <v>81.861098989475153</v>
      </c>
      <c r="J1860" s="40">
        <f t="shared" ref="J1860:J1865" si="189">J1859*((H1860+(I1860/12))/H1859)</f>
        <v>4722655.8533902559</v>
      </c>
      <c r="K1860" s="1">
        <f>D1860*$E$1867/E1860</f>
        <v>255.54710789712928</v>
      </c>
      <c r="L1860" s="26">
        <f t="shared" si="187"/>
        <v>173157.64055229508</v>
      </c>
      <c r="M1860" s="41">
        <f t="shared" si="188"/>
        <v>39.141714873166279</v>
      </c>
      <c r="N1860" s="42">
        <f t="shared" ref="N1860:N1865" si="190">J1860/AVERAGE(L1740:L1859)</f>
        <v>41.897184898132778</v>
      </c>
      <c r="O1860" s="43">
        <f>1/M1860-(G1860/100-(((E1860/E1740)^(1/10))-1))</f>
        <v>1.6303195041500899E-2</v>
      </c>
      <c r="P1860" s="48">
        <v>3.78</v>
      </c>
      <c r="Q1860" s="45"/>
      <c r="R1860" s="30"/>
      <c r="S1860" s="30"/>
    </row>
    <row r="1861" spans="1:19" ht="13" x14ac:dyDescent="0.3">
      <c r="A1861" s="52" t="s">
        <v>1877</v>
      </c>
      <c r="B1861" s="19">
        <v>6853.0254545454527</v>
      </c>
      <c r="C1861" s="1">
        <v>79.52</v>
      </c>
      <c r="D1861" s="6">
        <v>253.11</v>
      </c>
      <c r="E1861" s="38">
        <v>324.05399999999997</v>
      </c>
      <c r="F1861" s="14">
        <f t="shared" si="169"/>
        <v>2025.9583333331925</v>
      </c>
      <c r="G1861" s="39">
        <v>4.1399999999999997</v>
      </c>
      <c r="H1861" s="1">
        <f>B1861*$E$1867/E1861</f>
        <v>7087.1579079749326</v>
      </c>
      <c r="I1861" s="1">
        <f>C1861*$E$1867/E1861</f>
        <v>82.236787325569196</v>
      </c>
      <c r="J1861" s="40">
        <f t="shared" si="189"/>
        <v>4806871.8614989109</v>
      </c>
      <c r="K1861" s="1">
        <f>D1861*$E$1867/E1861</f>
        <v>261.75746026125279</v>
      </c>
      <c r="L1861" s="26">
        <f t="shared" si="187"/>
        <v>177537.25634522518</v>
      </c>
      <c r="M1861" s="41">
        <f t="shared" si="188"/>
        <v>39.557918386828298</v>
      </c>
      <c r="N1861" s="42">
        <f t="shared" si="190"/>
        <v>42.324634261539288</v>
      </c>
      <c r="O1861" s="43">
        <f>1/M1861-(G1861/100-(((E1861/E1741)^(1/10))-1))</f>
        <v>1.5865930330932573E-2</v>
      </c>
      <c r="P1861" s="48">
        <v>3.59</v>
      </c>
      <c r="Q1861" s="45"/>
      <c r="R1861" s="30"/>
      <c r="S1861" s="30"/>
    </row>
    <row r="1862" spans="1:19" ht="13" x14ac:dyDescent="0.3">
      <c r="A1862" s="52" t="s">
        <v>1878</v>
      </c>
      <c r="B1862" s="19">
        <v>6929.1220000000003</v>
      </c>
      <c r="C1862" s="1">
        <f>C1861*2/3+C1864/3</f>
        <v>79.801766666666666</v>
      </c>
      <c r="D1862" s="6">
        <f>D1861*2/3+D1864/3</f>
        <v>266.59926666666667</v>
      </c>
      <c r="E1862" s="38">
        <v>325.25200000000001</v>
      </c>
      <c r="F1862" s="14">
        <f t="shared" si="169"/>
        <v>2026.0416666665258</v>
      </c>
      <c r="G1862" s="39">
        <v>4.21</v>
      </c>
      <c r="H1862" s="1">
        <f>B1862*$E$1867/E1862</f>
        <v>7139.4603031818406</v>
      </c>
      <c r="I1862" s="1">
        <f>C1862*$E$1867/E1862</f>
        <v>82.224204630896452</v>
      </c>
      <c r="J1862" s="40">
        <f t="shared" si="189"/>
        <v>4846993.4001277657</v>
      </c>
      <c r="K1862" s="1">
        <f>D1862*$E$1867/E1862</f>
        <v>274.69207227467729</v>
      </c>
      <c r="L1862" s="26">
        <f t="shared" si="187"/>
        <v>186488.9788363137</v>
      </c>
      <c r="M1862" s="41">
        <f t="shared" ref="M1862:M1867" si="191">H1862/AVERAGE(K1742:K1861)</f>
        <v>39.593576497716818</v>
      </c>
      <c r="N1862" s="42">
        <f t="shared" si="190"/>
        <v>42.344543073899061</v>
      </c>
      <c r="O1862" s="43">
        <f>1/M1862-(G1862/100-(((E1862/E1742)^(1/10))-1))</f>
        <v>1.535354113550353E-2</v>
      </c>
      <c r="P1862" s="48">
        <v>3.57</v>
      </c>
      <c r="Q1862" s="45"/>
      <c r="R1862" s="30"/>
      <c r="S1862" s="30"/>
    </row>
    <row r="1863" spans="1:19" ht="13" x14ac:dyDescent="0.3">
      <c r="A1863" s="52" t="s">
        <v>1879</v>
      </c>
      <c r="B1863" s="19">
        <v>6893.8063157894749</v>
      </c>
      <c r="C1863" s="1">
        <f>C1861/3+C1864*2/3</f>
        <v>80.083533333333335</v>
      </c>
      <c r="D1863" s="6">
        <f>D1861/3+D1864*2/3</f>
        <v>280.08853333333332</v>
      </c>
      <c r="E1863" s="38">
        <v>326.78500000000003</v>
      </c>
      <c r="F1863" s="14">
        <f t="shared" si="169"/>
        <v>2026.124999999859</v>
      </c>
      <c r="G1863" s="39">
        <v>4.13</v>
      </c>
      <c r="H1863" s="1">
        <f>B1863*$E$1867/E1863</f>
        <v>7069.7509525545138</v>
      </c>
      <c r="I1863" s="1">
        <f>C1863*$E$1867/E1863</f>
        <v>82.127435865222282</v>
      </c>
      <c r="J1863" s="40">
        <f t="shared" si="189"/>
        <v>4804313.960154593</v>
      </c>
      <c r="K1863" s="1">
        <f>D1863*$E$1867/E1863</f>
        <v>287.23698993364644</v>
      </c>
      <c r="L1863" s="26">
        <f t="shared" si="187"/>
        <v>195194.52522049236</v>
      </c>
      <c r="M1863" s="41">
        <f t="shared" si="191"/>
        <v>38.932895763328808</v>
      </c>
      <c r="N1863" s="42">
        <f t="shared" si="190"/>
        <v>41.619443555694531</v>
      </c>
      <c r="O1863" s="43">
        <f>1/M1863-(G1863/100-(((E1863/E1743)^(1/10))-1))</f>
        <v>1.6982653321543213E-2</v>
      </c>
      <c r="P1863" s="48">
        <v>3.6</v>
      </c>
      <c r="Q1863" s="45"/>
      <c r="R1863" s="30"/>
      <c r="S1863" s="30"/>
    </row>
    <row r="1864" spans="1:19" ht="13" x14ac:dyDescent="0.3">
      <c r="A1864" s="52" t="s">
        <v>1880</v>
      </c>
      <c r="B1864" s="19">
        <v>6654.4190909090894</v>
      </c>
      <c r="C1864" s="1">
        <v>80.365300000000005</v>
      </c>
      <c r="D1864" s="6">
        <v>293.57780000000002</v>
      </c>
      <c r="E1864" s="38">
        <v>330.21300000000002</v>
      </c>
      <c r="F1864" s="14">
        <f t="shared" si="169"/>
        <v>2026.2083333331923</v>
      </c>
      <c r="G1864" s="39">
        <v>4.25</v>
      </c>
      <c r="H1864" s="1">
        <f>B1864*$E$1867/E1864</f>
        <v>6753.4102577599342</v>
      </c>
      <c r="I1864" s="1">
        <f>C1864*$E$1867/E1864</f>
        <v>81.560814546444263</v>
      </c>
      <c r="J1864" s="40">
        <f t="shared" si="189"/>
        <v>4593960.5291092368</v>
      </c>
      <c r="K1864" s="1">
        <f>D1864*$E$1867/E1864</f>
        <v>297.94506460814682</v>
      </c>
      <c r="L1864" s="26">
        <f t="shared" si="187"/>
        <v>202675.0655463264</v>
      </c>
      <c r="M1864" s="41">
        <f t="shared" si="191"/>
        <v>36.911283304200843</v>
      </c>
      <c r="N1864" s="42">
        <f t="shared" si="190"/>
        <v>39.441519725668783</v>
      </c>
      <c r="O1864" s="43">
        <f>1/M1864-(G1864/100-(((E1864/E1744)^(1/10))-1))</f>
        <v>1.782349333063148E-2</v>
      </c>
      <c r="P1864" s="48">
        <v>3.61</v>
      </c>
      <c r="Q1864" s="45"/>
      <c r="R1864" s="30"/>
      <c r="S1864" s="30"/>
    </row>
    <row r="1865" spans="1:19" ht="13" x14ac:dyDescent="0.3">
      <c r="A1865" s="52" t="s">
        <v>1881</v>
      </c>
      <c r="B1865" s="19">
        <v>6957.0076190476175</v>
      </c>
      <c r="C1865" s="46"/>
      <c r="D1865"/>
      <c r="E1865" s="38">
        <v>333.02</v>
      </c>
      <c r="F1865" s="14">
        <f t="shared" si="169"/>
        <v>2026.2916666665255</v>
      </c>
      <c r="G1865" s="39">
        <v>4.32</v>
      </c>
      <c r="H1865" s="1">
        <f>B1865*$E$1867/E1865</f>
        <v>7000.9876811760178</v>
      </c>
      <c r="I1865" s="14"/>
      <c r="J1865" s="40">
        <f t="shared" si="189"/>
        <v>4762373.3557645073</v>
      </c>
      <c r="K1865" s="14"/>
      <c r="L1865" s="40"/>
      <c r="M1865" s="41">
        <f t="shared" si="191"/>
        <v>37.959631536062972</v>
      </c>
      <c r="N1865" s="42">
        <f t="shared" si="190"/>
        <v>40.503220164027852</v>
      </c>
      <c r="O1865" s="43">
        <f>1/M1865-(G1865/100-(((E1865/E1745)^(1/10))-1))</f>
        <v>1.6761243345001037E-2</v>
      </c>
      <c r="P1865" s="48">
        <v>3.61</v>
      </c>
      <c r="Q1865" s="45"/>
      <c r="R1865" s="30"/>
      <c r="S1865" s="30"/>
    </row>
    <row r="1866" spans="1:19" ht="13" x14ac:dyDescent="0.3">
      <c r="A1866" s="52" t="s">
        <v>1882</v>
      </c>
      <c r="B1866" s="19">
        <v>7412.5514999999996</v>
      </c>
      <c r="C1866" s="46"/>
      <c r="D1866"/>
      <c r="E1866" s="38">
        <f>1.5*E1865-0.5*E1864</f>
        <v>334.42349999999999</v>
      </c>
      <c r="F1866" s="14">
        <f>F1865+1/12</f>
        <v>2026.3749999998588</v>
      </c>
      <c r="G1866" s="39">
        <v>4.4800000000000004</v>
      </c>
      <c r="H1866" s="1">
        <f>B1866*$E$1867/E1866</f>
        <v>7428.1059033691563</v>
      </c>
      <c r="I1866" s="14"/>
      <c r="J1866" s="40">
        <f>J1865*((H1866+(I1866/12))/H1865)</f>
        <v>5052917.5666339686</v>
      </c>
      <c r="K1866" s="14"/>
      <c r="L1866" s="40"/>
      <c r="M1866" s="41">
        <f t="shared" si="191"/>
        <v>40.159958304090971</v>
      </c>
      <c r="N1866" s="42">
        <f>J1866/AVERAGE(L1746:L1865)</f>
        <v>42.8286495121489</v>
      </c>
      <c r="O1866" s="43">
        <f>1/M1866-(G1866/100-(((E1866/E1746)^(1/10))-1))</f>
        <v>1.3735254924910591E-2</v>
      </c>
      <c r="P1866" s="48">
        <v>3.6</v>
      </c>
      <c r="Q1866" s="45"/>
      <c r="R1866" s="30"/>
      <c r="S1866" s="30"/>
    </row>
    <row r="1867" spans="1:19" ht="13" x14ac:dyDescent="0.3">
      <c r="A1867" s="52" t="s">
        <v>1883</v>
      </c>
      <c r="B1867" s="19">
        <v>7609.78</v>
      </c>
      <c r="C1867" s="46"/>
      <c r="D1867"/>
      <c r="E1867" s="38">
        <f>1.5*E1866-0.5*E1865</f>
        <v>335.12524999999999</v>
      </c>
      <c r="F1867" s="14">
        <f>F1866+1/12</f>
        <v>2026.4583333331921</v>
      </c>
      <c r="G1867" s="39">
        <v>4.47</v>
      </c>
      <c r="H1867" s="1">
        <f>B1867*$E$1867/E1867</f>
        <v>7609.7800000000007</v>
      </c>
      <c r="I1867" s="14"/>
      <c r="J1867" s="40">
        <f>J1866*((H1867+(I1867/12))/H1866)</f>
        <v>5176500.1119302036</v>
      </c>
      <c r="K1867" s="14"/>
      <c r="L1867" s="40"/>
      <c r="M1867" s="41">
        <f t="shared" si="191"/>
        <v>41.022017041852187</v>
      </c>
      <c r="N1867" s="42">
        <f>J1867/AVERAGE(L1747:L1866)</f>
        <v>43.725390120726658</v>
      </c>
      <c r="O1867" s="43">
        <f>1/M1867-(G1867/100-(((E1867/E1747)^(1/10))-1))</f>
        <v>1.3189733355404271E-2</v>
      </c>
      <c r="P1867" s="44"/>
      <c r="Q1867" s="45"/>
      <c r="R1867" s="30"/>
      <c r="S1867" s="30"/>
    </row>
    <row r="1868" spans="1:19" s="25" customFormat="1" ht="38.5" customHeight="1" x14ac:dyDescent="0.3">
      <c r="A1868" s="54"/>
      <c r="B1868" s="22"/>
      <c r="C1868" s="23"/>
      <c r="D1868" s="22"/>
      <c r="E1868" s="22"/>
      <c r="F1868" s="23"/>
      <c r="G1868" s="22"/>
      <c r="H1868" s="23"/>
      <c r="I1868" s="23"/>
      <c r="J1868" s="28"/>
      <c r="K1868" s="23"/>
      <c r="L1868" s="28"/>
      <c r="M1868" s="24"/>
      <c r="N1868" s="12"/>
      <c r="O1868" s="47"/>
      <c r="P1868" s="31"/>
      <c r="Q1868" s="34"/>
    </row>
    <row r="1869" spans="1:19" ht="13" x14ac:dyDescent="0.3">
      <c r="A1869" s="52"/>
      <c r="B1869" s="6"/>
      <c r="C1869" s="1"/>
      <c r="D1869" s="6"/>
      <c r="E1869" s="6"/>
      <c r="F1869" s="1"/>
      <c r="G1869" s="17"/>
      <c r="H1869" s="1"/>
      <c r="I1869" s="1"/>
      <c r="J1869" s="26"/>
      <c r="K1869" s="1"/>
      <c r="L1869" s="26"/>
      <c r="M1869" s="3"/>
    </row>
    <row r="1870" spans="1:19" ht="13" x14ac:dyDescent="0.3">
      <c r="A1870" s="52"/>
      <c r="B1870" s="6"/>
      <c r="C1870" s="1"/>
      <c r="D1870" s="6"/>
      <c r="E1870" s="6"/>
      <c r="F1870" s="1"/>
      <c r="G1870" s="17"/>
      <c r="H1870" s="1"/>
      <c r="I1870" s="1"/>
      <c r="J1870" s="26"/>
      <c r="K1870" s="1"/>
      <c r="L1870" s="26"/>
      <c r="M1870" s="3"/>
      <c r="O1870" s="37"/>
    </row>
    <row r="1871" spans="1:19" ht="13" x14ac:dyDescent="0.3">
      <c r="A1871" s="52"/>
      <c r="B1871" s="6"/>
      <c r="C1871" s="1"/>
      <c r="D1871" s="6"/>
      <c r="E1871" s="6"/>
      <c r="F1871" s="1"/>
      <c r="G1871" s="17"/>
      <c r="H1871" s="1"/>
      <c r="I1871" s="1"/>
      <c r="J1871" s="26"/>
      <c r="K1871" s="1"/>
      <c r="L1871" s="26"/>
      <c r="M1871" s="3"/>
    </row>
    <row r="1872" spans="1:19" ht="13" x14ac:dyDescent="0.3">
      <c r="A1872" s="52"/>
      <c r="B1872" s="6"/>
      <c r="C1872" s="1"/>
      <c r="D1872" s="6"/>
      <c r="E1872" s="6"/>
      <c r="F1872" s="1"/>
      <c r="G1872" s="17"/>
      <c r="H1872" s="1"/>
      <c r="I1872" s="1"/>
      <c r="J1872" s="26"/>
      <c r="K1872" s="1"/>
      <c r="L1872" s="26"/>
      <c r="M1872" s="3"/>
    </row>
    <row r="1873" spans="1:13" ht="13" x14ac:dyDescent="0.3">
      <c r="A1873" s="52"/>
      <c r="B1873" s="6"/>
      <c r="C1873" s="1"/>
      <c r="D1873" s="6"/>
      <c r="E1873" s="6"/>
      <c r="F1873" s="1"/>
      <c r="G1873" s="17"/>
      <c r="H1873" s="1"/>
      <c r="I1873" s="1"/>
      <c r="J1873" s="26"/>
      <c r="K1873" s="1"/>
      <c r="L1873" s="26"/>
      <c r="M1873" s="3"/>
    </row>
    <row r="1874" spans="1:13" ht="13" x14ac:dyDescent="0.3">
      <c r="A1874" s="52"/>
      <c r="B1874" s="6"/>
      <c r="C1874" s="1"/>
      <c r="D1874" s="6"/>
      <c r="E1874" s="6"/>
      <c r="F1874" s="1"/>
      <c r="G1874" s="17"/>
      <c r="H1874" s="1"/>
      <c r="I1874" s="1"/>
      <c r="J1874" s="26"/>
      <c r="K1874" s="1"/>
      <c r="L1874" s="26"/>
      <c r="M1874" s="3"/>
    </row>
    <row r="1875" spans="1:13" ht="13" x14ac:dyDescent="0.3">
      <c r="A1875" s="52"/>
      <c r="B1875" s="6"/>
      <c r="C1875" s="1"/>
      <c r="D1875" s="6"/>
      <c r="E1875" s="6"/>
      <c r="F1875" s="1"/>
      <c r="G1875" s="17"/>
      <c r="H1875" s="1"/>
      <c r="I1875" s="1"/>
      <c r="J1875" s="26"/>
      <c r="K1875" s="1"/>
      <c r="L1875" s="26"/>
      <c r="M1875" s="3"/>
    </row>
    <row r="1876" spans="1:13" ht="13" x14ac:dyDescent="0.3">
      <c r="A1876" s="52"/>
      <c r="B1876" s="6"/>
      <c r="C1876" s="1"/>
      <c r="D1876" s="6"/>
      <c r="E1876" s="6"/>
      <c r="F1876" s="1"/>
      <c r="G1876" s="17"/>
      <c r="H1876" s="1"/>
      <c r="I1876" s="1"/>
      <c r="J1876" s="26"/>
      <c r="K1876" s="1"/>
      <c r="L1876" s="26"/>
      <c r="M1876" s="3"/>
    </row>
    <row r="1877" spans="1:13" ht="13" x14ac:dyDescent="0.3">
      <c r="A1877" s="52"/>
      <c r="B1877" s="6"/>
      <c r="C1877" s="1"/>
      <c r="D1877" s="6"/>
      <c r="E1877" s="6"/>
      <c r="F1877" s="1"/>
      <c r="G1877" s="17"/>
      <c r="H1877" s="1"/>
      <c r="I1877" s="1"/>
      <c r="J1877" s="26"/>
      <c r="K1877" s="1"/>
      <c r="L1877" s="26"/>
      <c r="M1877" s="3"/>
    </row>
    <row r="1878" spans="1:13" ht="13" x14ac:dyDescent="0.3">
      <c r="A1878" s="52"/>
      <c r="B1878" s="6"/>
      <c r="C1878" s="1"/>
      <c r="D1878" s="6"/>
      <c r="E1878" s="6"/>
      <c r="F1878" s="1"/>
      <c r="G1878" s="17"/>
      <c r="H1878" s="1"/>
      <c r="I1878" s="1"/>
      <c r="J1878" s="26"/>
      <c r="K1878" s="1"/>
      <c r="L1878" s="26"/>
      <c r="M1878" s="3"/>
    </row>
    <row r="1879" spans="1:13" ht="13" x14ac:dyDescent="0.3">
      <c r="A1879" s="52"/>
      <c r="B1879" s="6"/>
      <c r="C1879" s="1"/>
      <c r="D1879" s="6"/>
      <c r="E1879" s="6"/>
      <c r="F1879" s="1"/>
      <c r="G1879" s="17"/>
      <c r="H1879" s="1"/>
      <c r="I1879" s="1"/>
      <c r="J1879" s="26"/>
      <c r="K1879" s="1"/>
      <c r="L1879" s="26"/>
      <c r="M1879" s="3"/>
    </row>
    <row r="1880" spans="1:13" ht="13" x14ac:dyDescent="0.3">
      <c r="A1880" s="52"/>
      <c r="B1880" s="6"/>
      <c r="C1880" s="1"/>
      <c r="D1880" s="6"/>
      <c r="E1880" s="6"/>
      <c r="F1880" s="1"/>
      <c r="G1880" s="17"/>
      <c r="H1880" s="1"/>
      <c r="I1880" s="1"/>
      <c r="J1880" s="26"/>
      <c r="K1880" s="1"/>
      <c r="L1880" s="26"/>
      <c r="M1880" s="3"/>
    </row>
    <row r="1881" spans="1:13" ht="13" x14ac:dyDescent="0.3">
      <c r="A1881" s="52"/>
      <c r="B1881" s="6"/>
      <c r="C1881" s="1"/>
      <c r="D1881" s="6"/>
      <c r="E1881" s="6"/>
      <c r="F1881" s="1"/>
      <c r="G1881" s="17"/>
      <c r="H1881" s="1"/>
      <c r="I1881" s="1"/>
      <c r="J1881" s="26"/>
      <c r="K1881" s="1"/>
      <c r="L1881" s="26"/>
      <c r="M1881" s="3"/>
    </row>
    <row r="1882" spans="1:13" ht="13" x14ac:dyDescent="0.3">
      <c r="A1882" s="52"/>
      <c r="B1882" s="6"/>
      <c r="C1882" s="1"/>
      <c r="D1882" s="6"/>
      <c r="E1882" s="6"/>
      <c r="F1882" s="1"/>
      <c r="G1882" s="17"/>
      <c r="H1882" s="1"/>
      <c r="I1882" s="1"/>
      <c r="J1882" s="26"/>
      <c r="K1882" s="1"/>
      <c r="L1882" s="26"/>
      <c r="M1882" s="3"/>
    </row>
    <row r="1883" spans="1:13" ht="13" x14ac:dyDescent="0.3">
      <c r="A1883" s="52"/>
      <c r="B1883" s="6"/>
      <c r="C1883" s="1"/>
      <c r="D1883" s="6"/>
      <c r="E1883" s="6"/>
      <c r="F1883" s="1"/>
      <c r="G1883" s="17"/>
      <c r="H1883" s="1"/>
      <c r="I1883" s="1"/>
      <c r="J1883" s="26"/>
      <c r="K1883" s="1"/>
      <c r="L1883" s="26"/>
      <c r="M1883" s="3"/>
    </row>
    <row r="1884" spans="1:13" ht="13" x14ac:dyDescent="0.3">
      <c r="A1884" s="52"/>
      <c r="B1884" s="6"/>
      <c r="C1884" s="1"/>
      <c r="D1884" s="6"/>
      <c r="E1884" s="6"/>
      <c r="F1884" s="1"/>
      <c r="G1884" s="17"/>
      <c r="H1884" s="1"/>
      <c r="I1884" s="1"/>
      <c r="J1884" s="26"/>
      <c r="K1884" s="1"/>
      <c r="L1884" s="26"/>
      <c r="M1884" s="3"/>
    </row>
    <row r="1885" spans="1:13" ht="13" x14ac:dyDescent="0.3">
      <c r="A1885" s="52"/>
      <c r="B1885" s="6"/>
      <c r="C1885" s="1"/>
      <c r="D1885" s="6"/>
      <c r="E1885" s="6"/>
      <c r="F1885" s="1"/>
      <c r="G1885" s="17"/>
      <c r="H1885" s="1"/>
      <c r="I1885" s="1"/>
      <c r="J1885" s="26"/>
      <c r="K1885" s="1"/>
      <c r="L1885" s="26"/>
      <c r="M1885" s="3"/>
    </row>
    <row r="1886" spans="1:13" ht="13" x14ac:dyDescent="0.3">
      <c r="A1886" s="52"/>
      <c r="B1886" s="6"/>
      <c r="C1886" s="1"/>
      <c r="D1886" s="6"/>
      <c r="E1886" s="6"/>
      <c r="F1886" s="1"/>
      <c r="G1886" s="17"/>
      <c r="H1886" s="1"/>
      <c r="I1886" s="1"/>
      <c r="J1886" s="26"/>
      <c r="K1886" s="1"/>
      <c r="L1886" s="26"/>
      <c r="M1886" s="3"/>
    </row>
    <row r="1887" spans="1:13" ht="13" x14ac:dyDescent="0.3">
      <c r="A1887" s="52"/>
      <c r="B1887" s="6"/>
      <c r="C1887" s="1"/>
      <c r="D1887" s="6"/>
      <c r="E1887" s="6"/>
      <c r="F1887" s="1"/>
      <c r="G1887" s="17"/>
      <c r="H1887" s="1"/>
      <c r="I1887" s="1"/>
      <c r="J1887" s="26"/>
      <c r="K1887" s="1"/>
      <c r="L1887" s="26"/>
      <c r="M1887" s="3"/>
    </row>
    <row r="1888" spans="1:13" ht="13" x14ac:dyDescent="0.3">
      <c r="A1888" s="52"/>
      <c r="B1888" s="6"/>
      <c r="C1888" s="1"/>
      <c r="D1888" s="6"/>
      <c r="E1888" s="6"/>
      <c r="F1888" s="1"/>
      <c r="G1888" s="17"/>
      <c r="H1888" s="1"/>
      <c r="I1888" s="1"/>
      <c r="J1888" s="26"/>
      <c r="K1888" s="1"/>
      <c r="L1888" s="26"/>
      <c r="M1888" s="3"/>
    </row>
    <row r="1889" spans="1:13" ht="13" x14ac:dyDescent="0.3">
      <c r="A1889" s="52"/>
      <c r="B1889" s="6"/>
      <c r="C1889" s="1"/>
      <c r="D1889" s="6"/>
      <c r="E1889" s="6"/>
      <c r="F1889" s="1"/>
      <c r="G1889" s="17"/>
      <c r="H1889" s="1"/>
      <c r="I1889" s="1"/>
      <c r="J1889" s="26"/>
      <c r="K1889" s="1"/>
      <c r="L1889" s="26"/>
      <c r="M1889" s="3"/>
    </row>
    <row r="1890" spans="1:13" ht="13" x14ac:dyDescent="0.3">
      <c r="A1890" s="52"/>
      <c r="B1890" s="6"/>
      <c r="C1890" s="1"/>
      <c r="D1890" s="6"/>
      <c r="E1890" s="6"/>
      <c r="F1890" s="1"/>
      <c r="G1890" s="17"/>
      <c r="H1890" s="1"/>
      <c r="I1890" s="1"/>
      <c r="J1890" s="26"/>
      <c r="K1890" s="1"/>
      <c r="L1890" s="26"/>
      <c r="M1890" s="3"/>
    </row>
    <row r="1891" spans="1:13" ht="13" x14ac:dyDescent="0.3">
      <c r="A1891" s="52"/>
      <c r="B1891" s="6"/>
      <c r="C1891" s="1"/>
      <c r="D1891" s="6"/>
      <c r="E1891" s="6"/>
      <c r="F1891" s="1"/>
      <c r="G1891" s="17"/>
      <c r="H1891" s="1"/>
      <c r="I1891" s="1"/>
      <c r="J1891" s="26"/>
      <c r="K1891" s="1"/>
      <c r="L1891" s="26"/>
      <c r="M1891" s="3"/>
    </row>
    <row r="1892" spans="1:13" ht="13" x14ac:dyDescent="0.3">
      <c r="A1892" s="52"/>
      <c r="B1892" s="6"/>
      <c r="C1892" s="1"/>
      <c r="D1892" s="6"/>
      <c r="E1892" s="6"/>
      <c r="F1892" s="1"/>
      <c r="G1892" s="17"/>
      <c r="H1892" s="1"/>
      <c r="I1892" s="1"/>
      <c r="J1892" s="26"/>
      <c r="K1892" s="1"/>
      <c r="L1892" s="26"/>
      <c r="M1892" s="3"/>
    </row>
    <row r="1893" spans="1:13" ht="13" x14ac:dyDescent="0.3">
      <c r="A1893" s="52"/>
      <c r="B1893" s="6"/>
      <c r="C1893" s="1"/>
      <c r="D1893" s="6"/>
      <c r="E1893" s="6"/>
      <c r="F1893" s="1"/>
      <c r="G1893" s="17"/>
      <c r="H1893" s="1"/>
      <c r="I1893" s="1"/>
      <c r="J1893" s="26"/>
      <c r="K1893" s="1"/>
      <c r="L1893" s="26"/>
      <c r="M1893" s="3"/>
    </row>
    <row r="1894" spans="1:13" ht="13" x14ac:dyDescent="0.3">
      <c r="A1894" s="52"/>
      <c r="B1894" s="6"/>
      <c r="C1894" s="1"/>
      <c r="D1894" s="6"/>
      <c r="E1894" s="6"/>
      <c r="F1894" s="1"/>
      <c r="G1894" s="17"/>
      <c r="H1894" s="1"/>
      <c r="I1894" s="1"/>
      <c r="J1894" s="26"/>
      <c r="K1894" s="1"/>
      <c r="L1894" s="26"/>
      <c r="M1894" s="3"/>
    </row>
    <row r="1895" spans="1:13" ht="13" x14ac:dyDescent="0.3">
      <c r="A1895" s="52"/>
      <c r="B1895" s="6"/>
      <c r="C1895" s="1"/>
      <c r="D1895" s="6"/>
      <c r="E1895" s="6"/>
      <c r="F1895" s="1"/>
      <c r="G1895" s="17"/>
      <c r="H1895" s="1"/>
      <c r="I1895" s="1"/>
      <c r="J1895" s="26"/>
      <c r="K1895" s="1"/>
      <c r="L1895" s="26"/>
      <c r="M1895" s="3"/>
    </row>
    <row r="1896" spans="1:13" ht="13" x14ac:dyDescent="0.3">
      <c r="A1896" s="52"/>
      <c r="B1896" s="6"/>
      <c r="C1896" s="1"/>
      <c r="D1896" s="6"/>
      <c r="E1896" s="6"/>
      <c r="F1896" s="1"/>
      <c r="G1896" s="17"/>
      <c r="H1896" s="1"/>
      <c r="I1896" s="1"/>
      <c r="J1896" s="26"/>
      <c r="K1896" s="1"/>
      <c r="L1896" s="26"/>
      <c r="M1896" s="3"/>
    </row>
    <row r="1897" spans="1:13" ht="13" x14ac:dyDescent="0.3">
      <c r="A1897" s="52"/>
      <c r="B1897" s="6"/>
      <c r="C1897" s="1"/>
      <c r="D1897" s="6"/>
      <c r="E1897" s="6"/>
      <c r="F1897" s="1"/>
      <c r="G1897" s="17"/>
      <c r="H1897" s="1"/>
      <c r="I1897" s="1"/>
      <c r="J1897" s="26"/>
      <c r="K1897" s="1"/>
      <c r="L1897" s="26"/>
      <c r="M1897" s="3"/>
    </row>
    <row r="1898" spans="1:13" ht="13" x14ac:dyDescent="0.3">
      <c r="A1898" s="52"/>
      <c r="B1898" s="6"/>
      <c r="C1898" s="1"/>
      <c r="D1898" s="6"/>
      <c r="E1898" s="6"/>
      <c r="F1898" s="1"/>
      <c r="G1898" s="17"/>
      <c r="H1898" s="1"/>
      <c r="I1898" s="1"/>
      <c r="J1898" s="26"/>
      <c r="K1898" s="1"/>
      <c r="L1898" s="26"/>
      <c r="M1898" s="3"/>
    </row>
    <row r="1899" spans="1:13" ht="13" x14ac:dyDescent="0.3">
      <c r="A1899" s="52"/>
      <c r="B1899" s="6"/>
      <c r="C1899" s="1"/>
      <c r="D1899" s="6"/>
      <c r="E1899" s="6"/>
      <c r="F1899" s="1"/>
      <c r="G1899" s="17"/>
      <c r="H1899" s="1"/>
      <c r="I1899" s="1"/>
      <c r="J1899" s="26"/>
      <c r="K1899" s="1"/>
      <c r="L1899" s="26"/>
      <c r="M1899" s="3"/>
    </row>
    <row r="1900" spans="1:13" ht="13" x14ac:dyDescent="0.3">
      <c r="A1900" s="52"/>
      <c r="B1900" s="6"/>
      <c r="C1900" s="1"/>
      <c r="D1900" s="6"/>
      <c r="E1900" s="6"/>
      <c r="F1900" s="1"/>
      <c r="G1900" s="17"/>
      <c r="H1900" s="1"/>
      <c r="I1900" s="1"/>
      <c r="J1900" s="26"/>
      <c r="K1900" s="1"/>
      <c r="L1900" s="26"/>
      <c r="M1900" s="3"/>
    </row>
    <row r="1901" spans="1:13" ht="13" x14ac:dyDescent="0.3">
      <c r="A1901" s="52"/>
      <c r="B1901" s="6"/>
      <c r="C1901" s="1"/>
      <c r="D1901" s="6"/>
      <c r="E1901" s="6"/>
      <c r="F1901" s="1"/>
      <c r="G1901" s="17"/>
      <c r="H1901" s="1"/>
      <c r="I1901" s="1"/>
      <c r="J1901" s="26"/>
      <c r="K1901" s="1"/>
      <c r="L1901" s="26"/>
      <c r="M1901" s="3"/>
    </row>
    <row r="1902" spans="1:13" ht="13" x14ac:dyDescent="0.3">
      <c r="A1902" s="52"/>
      <c r="B1902" s="6"/>
      <c r="C1902" s="1"/>
      <c r="D1902" s="6"/>
      <c r="E1902" s="6"/>
      <c r="F1902" s="1"/>
      <c r="G1902" s="17"/>
      <c r="H1902" s="1"/>
      <c r="I1902" s="1"/>
      <c r="J1902" s="26"/>
      <c r="K1902" s="1"/>
      <c r="L1902" s="26"/>
      <c r="M1902" s="3"/>
    </row>
    <row r="1903" spans="1:13" ht="13" x14ac:dyDescent="0.3">
      <c r="A1903" s="52"/>
      <c r="B1903" s="6"/>
      <c r="C1903" s="1"/>
      <c r="D1903" s="6"/>
      <c r="E1903" s="6"/>
      <c r="F1903" s="1"/>
      <c r="G1903" s="17"/>
      <c r="H1903" s="1"/>
      <c r="I1903" s="1"/>
      <c r="J1903" s="26"/>
      <c r="K1903" s="1"/>
      <c r="L1903" s="26"/>
      <c r="M1903" s="3"/>
    </row>
    <row r="1904" spans="1:13" ht="13" x14ac:dyDescent="0.3">
      <c r="A1904" s="52"/>
      <c r="B1904" s="6"/>
      <c r="C1904" s="1"/>
      <c r="D1904" s="6"/>
      <c r="E1904" s="6"/>
      <c r="F1904" s="1"/>
      <c r="G1904" s="17"/>
      <c r="H1904" s="1"/>
      <c r="I1904" s="1"/>
      <c r="J1904" s="26"/>
      <c r="K1904" s="1"/>
      <c r="L1904" s="26"/>
      <c r="M1904" s="3"/>
    </row>
    <row r="1905" spans="1:13" ht="13" x14ac:dyDescent="0.3">
      <c r="A1905" s="52"/>
      <c r="B1905" s="6"/>
      <c r="C1905" s="1"/>
      <c r="D1905" s="6"/>
      <c r="E1905" s="6"/>
      <c r="F1905" s="1"/>
      <c r="G1905" s="17"/>
      <c r="H1905" s="1"/>
      <c r="I1905" s="1"/>
      <c r="J1905" s="26"/>
      <c r="K1905" s="1"/>
      <c r="L1905" s="26"/>
      <c r="M1905" s="3"/>
    </row>
    <row r="1906" spans="1:13" ht="13" x14ac:dyDescent="0.3">
      <c r="A1906" s="52"/>
      <c r="B1906" s="6"/>
      <c r="C1906" s="1"/>
      <c r="D1906" s="6"/>
      <c r="E1906" s="6"/>
      <c r="F1906" s="1"/>
      <c r="G1906" s="17"/>
      <c r="H1906" s="1"/>
      <c r="I1906" s="1"/>
      <c r="J1906" s="26"/>
      <c r="K1906" s="1"/>
      <c r="L1906" s="26"/>
      <c r="M1906" s="3"/>
    </row>
    <row r="1907" spans="1:13" ht="13" x14ac:dyDescent="0.3">
      <c r="A1907" s="52"/>
      <c r="B1907" s="6"/>
      <c r="C1907" s="1"/>
      <c r="D1907" s="6"/>
      <c r="E1907" s="6"/>
      <c r="F1907" s="1"/>
      <c r="G1907" s="17"/>
      <c r="H1907" s="1"/>
      <c r="I1907" s="1"/>
      <c r="J1907" s="26"/>
      <c r="K1907" s="1"/>
      <c r="L1907" s="26"/>
      <c r="M1907" s="3"/>
    </row>
    <row r="1908" spans="1:13" ht="13" x14ac:dyDescent="0.3">
      <c r="A1908" s="52"/>
      <c r="B1908" s="6"/>
      <c r="C1908" s="1"/>
      <c r="D1908" s="6"/>
      <c r="E1908" s="6"/>
      <c r="F1908" s="1"/>
      <c r="G1908" s="17"/>
      <c r="H1908" s="1"/>
      <c r="I1908" s="1"/>
      <c r="J1908" s="26"/>
      <c r="K1908" s="1"/>
      <c r="L1908" s="26"/>
      <c r="M1908" s="3"/>
    </row>
    <row r="1909" spans="1:13" ht="13" x14ac:dyDescent="0.3">
      <c r="A1909" s="52"/>
      <c r="B1909" s="6"/>
      <c r="C1909" s="1"/>
      <c r="D1909" s="6"/>
      <c r="E1909" s="6"/>
      <c r="F1909" s="1"/>
      <c r="G1909" s="17"/>
      <c r="H1909" s="1"/>
      <c r="I1909" s="1"/>
      <c r="J1909" s="26"/>
      <c r="K1909" s="1"/>
      <c r="L1909" s="26"/>
      <c r="M1909" s="3"/>
    </row>
    <row r="1910" spans="1:13" ht="13" x14ac:dyDescent="0.3">
      <c r="A1910" s="52"/>
      <c r="B1910" s="6"/>
      <c r="C1910" s="1"/>
      <c r="D1910" s="6"/>
      <c r="E1910" s="6"/>
      <c r="F1910" s="1"/>
      <c r="G1910" s="17"/>
      <c r="H1910" s="1"/>
      <c r="I1910" s="1"/>
      <c r="J1910" s="26"/>
      <c r="K1910" s="1"/>
      <c r="L1910" s="26"/>
      <c r="M1910" s="3"/>
    </row>
    <row r="1911" spans="1:13" ht="13" x14ac:dyDescent="0.3">
      <c r="A1911" s="52"/>
      <c r="B1911" s="6"/>
      <c r="C1911" s="1"/>
      <c r="D1911" s="6"/>
      <c r="E1911" s="6"/>
      <c r="F1911" s="1"/>
      <c r="G1911" s="17"/>
      <c r="H1911" s="1"/>
      <c r="I1911" s="1"/>
      <c r="J1911" s="26"/>
      <c r="K1911" s="1"/>
      <c r="L1911" s="26"/>
      <c r="M1911" s="3"/>
    </row>
    <row r="1912" spans="1:13" ht="13" x14ac:dyDescent="0.3">
      <c r="A1912" s="52"/>
      <c r="B1912" s="6"/>
      <c r="C1912" s="1"/>
      <c r="D1912" s="6"/>
      <c r="E1912" s="6"/>
      <c r="F1912" s="1"/>
      <c r="G1912" s="17"/>
      <c r="H1912" s="1"/>
      <c r="I1912" s="1"/>
      <c r="J1912" s="26"/>
      <c r="K1912" s="1"/>
      <c r="L1912" s="26"/>
      <c r="M1912" s="3"/>
    </row>
    <row r="1913" spans="1:13" ht="13" x14ac:dyDescent="0.3">
      <c r="A1913" s="52"/>
      <c r="B1913" s="6"/>
      <c r="C1913" s="1"/>
      <c r="D1913" s="6"/>
      <c r="E1913" s="6"/>
      <c r="F1913" s="1"/>
      <c r="G1913" s="17"/>
      <c r="H1913" s="1"/>
      <c r="I1913" s="1"/>
      <c r="J1913" s="26"/>
      <c r="K1913" s="1"/>
      <c r="L1913" s="26"/>
      <c r="M1913" s="3"/>
    </row>
    <row r="1914" spans="1:13" ht="13" x14ac:dyDescent="0.3">
      <c r="A1914" s="52"/>
      <c r="B1914" s="6"/>
      <c r="C1914" s="1"/>
      <c r="D1914" s="6"/>
      <c r="E1914" s="6"/>
      <c r="F1914" s="1"/>
      <c r="G1914" s="17"/>
      <c r="H1914" s="1"/>
      <c r="I1914" s="1"/>
      <c r="J1914" s="26"/>
      <c r="K1914" s="1"/>
      <c r="L1914" s="26"/>
      <c r="M1914" s="3"/>
    </row>
    <row r="1915" spans="1:13" ht="13" x14ac:dyDescent="0.3">
      <c r="A1915" s="52"/>
      <c r="B1915" s="6"/>
      <c r="C1915" s="1"/>
      <c r="D1915" s="6"/>
      <c r="E1915" s="6"/>
      <c r="F1915" s="1"/>
      <c r="G1915" s="17"/>
      <c r="H1915" s="1"/>
      <c r="I1915" s="1"/>
      <c r="J1915" s="26"/>
      <c r="K1915" s="1"/>
      <c r="L1915" s="26"/>
      <c r="M1915" s="3"/>
    </row>
    <row r="1916" spans="1:13" ht="13" x14ac:dyDescent="0.3">
      <c r="A1916" s="52"/>
      <c r="B1916" s="6"/>
      <c r="C1916" s="1"/>
      <c r="D1916" s="6"/>
      <c r="E1916" s="6"/>
      <c r="F1916" s="1"/>
      <c r="G1916" s="17"/>
      <c r="H1916" s="1"/>
      <c r="I1916" s="1"/>
      <c r="J1916" s="26"/>
      <c r="K1916" s="1"/>
      <c r="L1916" s="26"/>
      <c r="M1916" s="3"/>
    </row>
    <row r="1917" spans="1:13" ht="13" x14ac:dyDescent="0.3">
      <c r="A1917" s="52"/>
      <c r="B1917" s="6"/>
      <c r="C1917" s="1"/>
      <c r="D1917" s="6"/>
      <c r="E1917" s="6"/>
      <c r="F1917" s="1"/>
      <c r="G1917" s="17"/>
      <c r="H1917" s="1"/>
      <c r="I1917" s="1"/>
      <c r="J1917" s="26"/>
      <c r="K1917" s="1"/>
      <c r="L1917" s="26"/>
      <c r="M1917" s="3"/>
    </row>
    <row r="1918" spans="1:13" ht="13" x14ac:dyDescent="0.3">
      <c r="A1918" s="52"/>
      <c r="B1918" s="6"/>
      <c r="C1918" s="1"/>
      <c r="D1918" s="6"/>
      <c r="E1918" s="6"/>
      <c r="F1918" s="1"/>
      <c r="G1918" s="17"/>
      <c r="H1918" s="1"/>
      <c r="I1918" s="1"/>
      <c r="J1918" s="26"/>
      <c r="K1918" s="1"/>
      <c r="L1918" s="26"/>
      <c r="M1918" s="3"/>
    </row>
    <row r="1919" spans="1:13" ht="13" x14ac:dyDescent="0.3">
      <c r="A1919" s="52"/>
      <c r="B1919" s="6"/>
      <c r="C1919" s="1"/>
      <c r="D1919" s="6"/>
      <c r="E1919" s="6"/>
      <c r="F1919" s="1"/>
      <c r="G1919" s="17"/>
      <c r="H1919" s="1"/>
      <c r="I1919" s="1"/>
      <c r="J1919" s="26"/>
      <c r="K1919" s="1"/>
      <c r="L1919" s="26"/>
      <c r="M1919" s="3"/>
    </row>
    <row r="1920" spans="1:13" ht="13" x14ac:dyDescent="0.3">
      <c r="A1920" s="52"/>
      <c r="B1920" s="6"/>
      <c r="C1920" s="1"/>
      <c r="D1920" s="6"/>
      <c r="E1920" s="6"/>
      <c r="F1920" s="1"/>
      <c r="G1920" s="17"/>
      <c r="H1920" s="1"/>
      <c r="I1920" s="1"/>
      <c r="J1920" s="26"/>
      <c r="K1920" s="1"/>
      <c r="L1920" s="26"/>
      <c r="M1920" s="3"/>
    </row>
    <row r="1921" spans="1:13" ht="13" x14ac:dyDescent="0.3">
      <c r="A1921" s="52"/>
      <c r="B1921" s="6"/>
      <c r="C1921" s="1"/>
      <c r="D1921" s="6"/>
      <c r="E1921" s="6"/>
      <c r="F1921" s="1"/>
      <c r="G1921" s="17"/>
      <c r="H1921" s="1"/>
      <c r="I1921" s="1"/>
      <c r="J1921" s="26"/>
      <c r="K1921" s="1"/>
      <c r="L1921" s="26"/>
      <c r="M1921" s="3"/>
    </row>
    <row r="1922" spans="1:13" ht="13" x14ac:dyDescent="0.3">
      <c r="A1922" s="52"/>
      <c r="B1922" s="6"/>
      <c r="C1922" s="1"/>
      <c r="D1922" s="6"/>
      <c r="E1922" s="6"/>
      <c r="F1922" s="1"/>
      <c r="G1922" s="17"/>
      <c r="H1922" s="1"/>
      <c r="I1922" s="1"/>
      <c r="J1922" s="26"/>
      <c r="K1922" s="1"/>
      <c r="L1922" s="26"/>
      <c r="M1922" s="3"/>
    </row>
    <row r="1923" spans="1:13" ht="13" x14ac:dyDescent="0.3">
      <c r="A1923" s="52"/>
      <c r="B1923" s="6"/>
      <c r="C1923" s="1"/>
      <c r="D1923" s="6"/>
      <c r="E1923" s="6"/>
      <c r="F1923" s="1"/>
      <c r="G1923" s="17"/>
      <c r="H1923" s="1"/>
      <c r="I1923" s="1"/>
      <c r="J1923" s="26"/>
      <c r="K1923" s="1"/>
      <c r="L1923" s="26"/>
      <c r="M1923" s="3"/>
    </row>
    <row r="1924" spans="1:13" ht="13" x14ac:dyDescent="0.3">
      <c r="A1924" s="52"/>
      <c r="B1924" s="6"/>
      <c r="C1924" s="1"/>
      <c r="D1924" s="6"/>
      <c r="E1924" s="6"/>
      <c r="F1924" s="1"/>
      <c r="G1924" s="17"/>
      <c r="H1924" s="1"/>
      <c r="I1924" s="1"/>
      <c r="J1924" s="26"/>
      <c r="K1924" s="1"/>
      <c r="L1924" s="26"/>
      <c r="M1924" s="3"/>
    </row>
    <row r="1925" spans="1:13" ht="13" x14ac:dyDescent="0.3">
      <c r="A1925" s="52"/>
      <c r="B1925" s="6"/>
      <c r="C1925" s="1"/>
      <c r="D1925" s="6"/>
      <c r="E1925" s="6"/>
      <c r="F1925" s="1"/>
      <c r="G1925" s="17"/>
      <c r="H1925" s="1"/>
      <c r="I1925" s="1"/>
      <c r="J1925" s="26"/>
      <c r="K1925" s="1"/>
      <c r="L1925" s="26"/>
      <c r="M1925" s="3"/>
    </row>
    <row r="1926" spans="1:13" ht="13" x14ac:dyDescent="0.3">
      <c r="A1926" s="52"/>
      <c r="B1926" s="6"/>
      <c r="C1926" s="1"/>
      <c r="D1926" s="6"/>
      <c r="E1926" s="6"/>
      <c r="F1926" s="1"/>
      <c r="G1926" s="17"/>
      <c r="H1926" s="1"/>
      <c r="I1926" s="1"/>
      <c r="J1926" s="26"/>
      <c r="K1926" s="1"/>
      <c r="L1926" s="26"/>
      <c r="M1926" s="3"/>
    </row>
    <row r="1927" spans="1:13" ht="13" x14ac:dyDescent="0.3">
      <c r="A1927" s="52"/>
      <c r="B1927" s="6"/>
      <c r="C1927" s="1"/>
      <c r="D1927" s="6"/>
      <c r="E1927" s="6"/>
      <c r="F1927" s="1"/>
      <c r="G1927" s="17"/>
      <c r="H1927" s="1"/>
      <c r="I1927" s="1"/>
      <c r="J1927" s="26"/>
      <c r="K1927" s="1"/>
      <c r="L1927" s="26"/>
      <c r="M1927" s="3"/>
    </row>
    <row r="1928" spans="1:13" ht="13" x14ac:dyDescent="0.3">
      <c r="A1928" s="52"/>
      <c r="B1928" s="6"/>
      <c r="C1928" s="1"/>
      <c r="D1928" s="6"/>
      <c r="E1928" s="6"/>
      <c r="F1928" s="1"/>
      <c r="G1928" s="17"/>
      <c r="H1928" s="1"/>
      <c r="I1928" s="1"/>
      <c r="J1928" s="26"/>
      <c r="K1928" s="1"/>
      <c r="L1928" s="26"/>
      <c r="M1928" s="3"/>
    </row>
    <row r="1929" spans="1:13" ht="13" x14ac:dyDescent="0.3">
      <c r="A1929" s="52"/>
      <c r="B1929" s="6"/>
      <c r="C1929" s="1"/>
      <c r="D1929" s="6"/>
      <c r="E1929" s="6"/>
      <c r="F1929" s="1"/>
      <c r="G1929" s="17"/>
      <c r="H1929" s="1"/>
      <c r="I1929" s="1"/>
      <c r="J1929" s="26"/>
      <c r="K1929" s="1"/>
      <c r="L1929" s="26"/>
      <c r="M1929" s="3"/>
    </row>
    <row r="1930" spans="1:13" ht="13" x14ac:dyDescent="0.3">
      <c r="A1930" s="52"/>
      <c r="B1930" s="6"/>
      <c r="C1930" s="1"/>
      <c r="D1930" s="6"/>
      <c r="E1930" s="6"/>
      <c r="F1930" s="1"/>
      <c r="G1930" s="17"/>
      <c r="H1930" s="1"/>
      <c r="I1930" s="1"/>
      <c r="J1930" s="26"/>
      <c r="K1930" s="1"/>
      <c r="L1930" s="26"/>
      <c r="M1930" s="3"/>
    </row>
    <row r="1931" spans="1:13" ht="13" x14ac:dyDescent="0.3">
      <c r="A1931" s="52"/>
      <c r="B1931" s="6"/>
      <c r="C1931" s="1"/>
      <c r="D1931" s="6"/>
      <c r="E1931" s="6"/>
      <c r="F1931" s="1"/>
      <c r="G1931" s="17"/>
      <c r="H1931" s="1"/>
      <c r="I1931" s="1"/>
      <c r="J1931" s="26"/>
      <c r="K1931" s="1"/>
      <c r="L1931" s="26"/>
      <c r="M1931" s="3"/>
    </row>
    <row r="1932" spans="1:13" ht="13" x14ac:dyDescent="0.3">
      <c r="A1932" s="52"/>
      <c r="B1932" s="6"/>
      <c r="C1932" s="1"/>
      <c r="D1932" s="6"/>
      <c r="E1932" s="6"/>
      <c r="F1932" s="1"/>
      <c r="G1932" s="17"/>
      <c r="H1932" s="1"/>
      <c r="I1932" s="1"/>
      <c r="J1932" s="26"/>
      <c r="K1932" s="1"/>
      <c r="L1932" s="26"/>
      <c r="M1932" s="3"/>
    </row>
    <row r="1933" spans="1:13" ht="13" x14ac:dyDescent="0.3">
      <c r="A1933" s="52"/>
      <c r="B1933" s="6"/>
      <c r="C1933" s="1"/>
      <c r="D1933" s="6"/>
      <c r="E1933" s="6"/>
      <c r="F1933" s="1"/>
      <c r="G1933" s="17"/>
      <c r="H1933" s="1"/>
      <c r="I1933" s="1"/>
      <c r="J1933" s="26"/>
      <c r="K1933" s="1"/>
      <c r="L1933" s="26"/>
      <c r="M1933" s="3"/>
    </row>
    <row r="1934" spans="1:13" ht="13" x14ac:dyDescent="0.3">
      <c r="A1934" s="52"/>
      <c r="B1934" s="6"/>
      <c r="C1934" s="1"/>
      <c r="D1934" s="6"/>
      <c r="E1934" s="6"/>
      <c r="F1934" s="1"/>
      <c r="G1934" s="17"/>
      <c r="H1934" s="1"/>
      <c r="I1934" s="1"/>
      <c r="J1934" s="26"/>
      <c r="K1934" s="1"/>
      <c r="L1934" s="26"/>
      <c r="M1934" s="3"/>
    </row>
    <row r="1935" spans="1:13" ht="13" x14ac:dyDescent="0.3">
      <c r="A1935" s="52"/>
      <c r="B1935" s="6"/>
      <c r="C1935" s="1"/>
      <c r="D1935" s="6"/>
      <c r="E1935" s="6"/>
      <c r="F1935" s="1"/>
      <c r="G1935" s="17"/>
      <c r="H1935" s="1"/>
      <c r="I1935" s="1"/>
      <c r="J1935" s="26"/>
      <c r="K1935" s="1"/>
      <c r="L1935" s="26"/>
      <c r="M1935" s="3"/>
    </row>
    <row r="1936" spans="1:13" ht="13" x14ac:dyDescent="0.3">
      <c r="A1936" s="52"/>
      <c r="B1936" s="6"/>
      <c r="C1936" s="1"/>
      <c r="D1936" s="6"/>
      <c r="E1936" s="6"/>
      <c r="F1936" s="1"/>
      <c r="G1936" s="17"/>
      <c r="H1936" s="1"/>
      <c r="I1936" s="1"/>
      <c r="J1936" s="26"/>
      <c r="K1936" s="1"/>
      <c r="L1936" s="26"/>
      <c r="M1936" s="3"/>
    </row>
    <row r="1937" spans="1:13" ht="13" x14ac:dyDescent="0.3">
      <c r="A1937" s="52"/>
      <c r="B1937" s="6"/>
      <c r="C1937" s="1"/>
      <c r="D1937" s="6"/>
      <c r="E1937" s="6"/>
      <c r="F1937" s="1"/>
      <c r="G1937" s="17"/>
      <c r="H1937" s="1"/>
      <c r="I1937" s="1"/>
      <c r="J1937" s="26"/>
      <c r="K1937" s="1"/>
      <c r="L1937" s="26"/>
      <c r="M1937" s="3"/>
    </row>
    <row r="1938" spans="1:13" ht="13" x14ac:dyDescent="0.3">
      <c r="A1938" s="52"/>
      <c r="B1938" s="6"/>
      <c r="C1938" s="1"/>
      <c r="D1938" s="6"/>
      <c r="E1938" s="6"/>
      <c r="F1938" s="1"/>
      <c r="G1938" s="17"/>
      <c r="H1938" s="1"/>
      <c r="I1938" s="1"/>
      <c r="J1938" s="26"/>
      <c r="K1938" s="1"/>
      <c r="L1938" s="26"/>
      <c r="M1938" s="3"/>
    </row>
    <row r="1939" spans="1:13" ht="13" x14ac:dyDescent="0.3">
      <c r="A1939" s="52"/>
      <c r="B1939" s="6"/>
      <c r="C1939" s="1"/>
      <c r="D1939" s="6"/>
      <c r="E1939" s="6"/>
      <c r="F1939" s="1"/>
      <c r="G1939" s="17"/>
      <c r="H1939" s="1"/>
      <c r="I1939" s="1"/>
      <c r="J1939" s="26"/>
      <c r="K1939" s="1"/>
      <c r="L1939" s="26"/>
      <c r="M1939" s="3"/>
    </row>
    <row r="1940" spans="1:13" ht="13" x14ac:dyDescent="0.3">
      <c r="A1940" s="52"/>
      <c r="B1940" s="6"/>
      <c r="C1940" s="1"/>
      <c r="D1940" s="6"/>
      <c r="E1940" s="6"/>
      <c r="F1940" s="1"/>
      <c r="G1940" s="17"/>
      <c r="H1940" s="1"/>
      <c r="I1940" s="1"/>
      <c r="J1940" s="26"/>
      <c r="K1940" s="1"/>
      <c r="L1940" s="26"/>
      <c r="M1940" s="3"/>
    </row>
    <row r="1941" spans="1:13" ht="13" x14ac:dyDescent="0.3">
      <c r="A1941" s="52"/>
      <c r="B1941" s="6"/>
      <c r="C1941" s="1"/>
      <c r="D1941" s="6"/>
      <c r="E1941" s="6"/>
      <c r="F1941" s="1"/>
      <c r="G1941" s="17"/>
      <c r="H1941" s="1"/>
      <c r="I1941" s="1"/>
      <c r="J1941" s="26"/>
      <c r="K1941" s="1"/>
      <c r="L1941" s="26"/>
      <c r="M1941" s="3"/>
    </row>
    <row r="1942" spans="1:13" ht="13" x14ac:dyDescent="0.3">
      <c r="A1942" s="52"/>
      <c r="B1942" s="6"/>
      <c r="C1942" s="1"/>
      <c r="D1942" s="6"/>
      <c r="E1942" s="6"/>
      <c r="F1942" s="1"/>
      <c r="G1942" s="17"/>
      <c r="H1942" s="1"/>
      <c r="I1942" s="1"/>
      <c r="J1942" s="26"/>
      <c r="K1942" s="1"/>
      <c r="L1942" s="26"/>
      <c r="M1942" s="3"/>
    </row>
    <row r="1943" spans="1:13" ht="13" x14ac:dyDescent="0.3">
      <c r="A1943" s="52"/>
      <c r="B1943" s="6"/>
      <c r="C1943" s="1"/>
      <c r="D1943" s="6"/>
      <c r="E1943" s="6"/>
      <c r="F1943" s="1"/>
      <c r="G1943" s="17"/>
      <c r="H1943" s="1"/>
      <c r="I1943" s="1"/>
      <c r="J1943" s="26"/>
      <c r="K1943" s="1"/>
      <c r="L1943" s="26"/>
      <c r="M1943" s="3"/>
    </row>
    <row r="1944" spans="1:13" ht="13" x14ac:dyDescent="0.3">
      <c r="A1944" s="52"/>
      <c r="B1944" s="6"/>
      <c r="C1944" s="1"/>
      <c r="D1944" s="6"/>
      <c r="E1944" s="6"/>
      <c r="F1944" s="1"/>
      <c r="G1944" s="17"/>
      <c r="H1944" s="1"/>
      <c r="I1944" s="1"/>
      <c r="J1944" s="26"/>
      <c r="K1944" s="1"/>
      <c r="L1944" s="26"/>
      <c r="M1944" s="3"/>
    </row>
    <row r="1945" spans="1:13" ht="13" x14ac:dyDescent="0.3">
      <c r="A1945" s="52"/>
      <c r="B1945" s="6"/>
      <c r="C1945" s="1"/>
      <c r="D1945" s="6"/>
      <c r="E1945" s="6"/>
      <c r="F1945" s="1"/>
      <c r="G1945" s="17"/>
      <c r="H1945" s="1"/>
      <c r="I1945" s="1"/>
      <c r="J1945" s="26"/>
      <c r="K1945" s="1"/>
      <c r="L1945" s="26"/>
      <c r="M1945" s="3"/>
    </row>
    <row r="1946" spans="1:13" ht="13" x14ac:dyDescent="0.3">
      <c r="A1946" s="52"/>
      <c r="B1946" s="6"/>
      <c r="C1946" s="1"/>
      <c r="D1946" s="6"/>
      <c r="E1946" s="6"/>
      <c r="F1946" s="1"/>
      <c r="G1946" s="17"/>
      <c r="H1946" s="1"/>
      <c r="I1946" s="1"/>
      <c r="J1946" s="26"/>
      <c r="K1946" s="1"/>
      <c r="L1946" s="26"/>
      <c r="M1946" s="3"/>
    </row>
    <row r="1947" spans="1:13" ht="13" x14ac:dyDescent="0.3">
      <c r="A1947" s="52"/>
      <c r="B1947" s="6"/>
      <c r="C1947" s="1"/>
      <c r="D1947" s="6"/>
      <c r="E1947" s="6"/>
      <c r="F1947" s="1"/>
      <c r="G1947" s="17"/>
      <c r="H1947" s="1"/>
      <c r="I1947" s="1"/>
      <c r="J1947" s="26"/>
      <c r="K1947" s="1"/>
      <c r="L1947" s="26"/>
      <c r="M1947" s="3"/>
    </row>
    <row r="1948" spans="1:13" ht="13" x14ac:dyDescent="0.3">
      <c r="A1948" s="52"/>
      <c r="B1948" s="6"/>
      <c r="C1948" s="1"/>
      <c r="D1948" s="6"/>
      <c r="E1948" s="6"/>
      <c r="F1948" s="1"/>
      <c r="G1948" s="17"/>
      <c r="H1948" s="1"/>
      <c r="I1948" s="1"/>
      <c r="J1948" s="26"/>
      <c r="K1948" s="1"/>
      <c r="L1948" s="26"/>
      <c r="M1948" s="3"/>
    </row>
    <row r="1949" spans="1:13" ht="13" x14ac:dyDescent="0.3">
      <c r="A1949" s="52"/>
      <c r="B1949" s="6"/>
      <c r="C1949" s="1"/>
      <c r="D1949" s="6"/>
      <c r="E1949" s="6"/>
      <c r="F1949" s="1"/>
      <c r="G1949" s="17"/>
      <c r="H1949" s="1"/>
      <c r="I1949" s="1"/>
      <c r="J1949" s="26"/>
      <c r="K1949" s="1"/>
      <c r="L1949" s="26"/>
      <c r="M1949" s="3"/>
    </row>
    <row r="1950" spans="1:13" ht="13" x14ac:dyDescent="0.3">
      <c r="A1950" s="52"/>
      <c r="B1950" s="6"/>
      <c r="C1950" s="1"/>
      <c r="D1950" s="6"/>
      <c r="E1950" s="6"/>
      <c r="F1950" s="1"/>
      <c r="G1950" s="17"/>
      <c r="H1950" s="1"/>
      <c r="I1950" s="1"/>
      <c r="J1950" s="26"/>
      <c r="K1950" s="1"/>
      <c r="L1950" s="26"/>
      <c r="M1950" s="3"/>
    </row>
    <row r="1951" spans="1:13" ht="13" x14ac:dyDescent="0.3">
      <c r="A1951" s="52"/>
      <c r="B1951" s="6"/>
      <c r="C1951" s="1"/>
      <c r="D1951" s="6"/>
      <c r="E1951" s="6"/>
      <c r="F1951" s="1"/>
      <c r="G1951" s="17"/>
      <c r="H1951" s="1"/>
      <c r="I1951" s="1"/>
      <c r="J1951" s="26"/>
      <c r="K1951" s="1"/>
      <c r="L1951" s="26"/>
      <c r="M1951" s="3"/>
    </row>
    <row r="1952" spans="1:13" ht="13" x14ac:dyDescent="0.3">
      <c r="A1952" s="52"/>
      <c r="B1952" s="6"/>
      <c r="C1952" s="1"/>
      <c r="D1952" s="6"/>
      <c r="E1952" s="6"/>
      <c r="F1952" s="1"/>
      <c r="G1952" s="17"/>
      <c r="H1952" s="1"/>
      <c r="I1952" s="1"/>
      <c r="J1952" s="26"/>
      <c r="K1952" s="1"/>
      <c r="L1952" s="26"/>
      <c r="M1952" s="3"/>
    </row>
    <row r="1953" spans="1:13" ht="13" x14ac:dyDescent="0.3">
      <c r="A1953" s="52"/>
      <c r="B1953" s="6"/>
      <c r="C1953" s="1"/>
      <c r="D1953" s="6"/>
      <c r="E1953" s="6"/>
      <c r="F1953" s="1"/>
      <c r="G1953" s="17"/>
      <c r="H1953" s="1"/>
      <c r="I1953" s="1"/>
      <c r="J1953" s="26"/>
      <c r="K1953" s="1"/>
      <c r="L1953" s="26"/>
      <c r="M1953" s="3"/>
    </row>
    <row r="1954" spans="1:13" ht="13" x14ac:dyDescent="0.3">
      <c r="A1954" s="52"/>
      <c r="B1954" s="6"/>
      <c r="C1954" s="1"/>
      <c r="D1954" s="6"/>
      <c r="E1954" s="6"/>
      <c r="F1954" s="1"/>
      <c r="G1954" s="17"/>
      <c r="H1954" s="1"/>
      <c r="I1954" s="1"/>
      <c r="J1954" s="26"/>
      <c r="K1954" s="1"/>
      <c r="L1954" s="26"/>
      <c r="M1954" s="3"/>
    </row>
    <row r="1955" spans="1:13" ht="13" x14ac:dyDescent="0.3">
      <c r="A1955" s="52"/>
      <c r="B1955" s="6"/>
      <c r="C1955" s="1"/>
      <c r="D1955" s="6"/>
      <c r="E1955" s="6"/>
      <c r="F1955" s="1"/>
      <c r="G1955" s="17"/>
      <c r="H1955" s="1"/>
      <c r="I1955" s="1"/>
      <c r="J1955" s="26"/>
      <c r="K1955" s="1"/>
      <c r="L1955" s="26"/>
      <c r="M1955" s="3"/>
    </row>
    <row r="1956" spans="1:13" ht="13" x14ac:dyDescent="0.3">
      <c r="A1956" s="52"/>
      <c r="B1956" s="6"/>
      <c r="C1956" s="1"/>
      <c r="D1956" s="6"/>
      <c r="E1956" s="6"/>
      <c r="F1956" s="1"/>
      <c r="G1956" s="17"/>
      <c r="H1956" s="1"/>
      <c r="I1956" s="1"/>
      <c r="J1956" s="26"/>
      <c r="K1956" s="1"/>
      <c r="L1956" s="26"/>
      <c r="M1956" s="3"/>
    </row>
    <row r="1957" spans="1:13" ht="13" x14ac:dyDescent="0.3">
      <c r="A1957" s="52"/>
      <c r="B1957" s="6"/>
      <c r="C1957" s="1"/>
      <c r="D1957" s="6"/>
      <c r="E1957" s="6"/>
      <c r="F1957" s="1"/>
      <c r="G1957" s="17"/>
      <c r="H1957" s="1"/>
      <c r="I1957" s="1"/>
      <c r="J1957" s="26"/>
      <c r="K1957" s="1"/>
      <c r="L1957" s="26"/>
      <c r="M1957" s="3"/>
    </row>
    <row r="1958" spans="1:13" ht="13" x14ac:dyDescent="0.3">
      <c r="A1958" s="52"/>
      <c r="B1958" s="6"/>
      <c r="C1958" s="1"/>
      <c r="D1958" s="6"/>
      <c r="E1958" s="6"/>
      <c r="F1958" s="1"/>
      <c r="G1958" s="17"/>
      <c r="H1958" s="1"/>
      <c r="I1958" s="1"/>
      <c r="J1958" s="26"/>
      <c r="K1958" s="1"/>
      <c r="L1958" s="26"/>
      <c r="M1958" s="3"/>
    </row>
    <row r="1959" spans="1:13" ht="13" x14ac:dyDescent="0.3">
      <c r="A1959" s="52"/>
      <c r="B1959" s="6"/>
      <c r="C1959" s="1"/>
      <c r="D1959" s="6"/>
      <c r="E1959" s="6"/>
      <c r="F1959" s="1"/>
      <c r="G1959" s="17"/>
      <c r="H1959" s="1"/>
      <c r="I1959" s="1"/>
      <c r="J1959" s="26"/>
      <c r="K1959" s="1"/>
      <c r="L1959" s="26"/>
      <c r="M1959" s="3"/>
    </row>
    <row r="1960" spans="1:13" ht="13" x14ac:dyDescent="0.3">
      <c r="A1960" s="52"/>
      <c r="B1960" s="6"/>
      <c r="C1960" s="1"/>
      <c r="D1960" s="6"/>
      <c r="E1960" s="6"/>
      <c r="F1960" s="1"/>
      <c r="G1960" s="17"/>
      <c r="H1960" s="1"/>
      <c r="I1960" s="1"/>
      <c r="J1960" s="26"/>
      <c r="K1960" s="1"/>
      <c r="L1960" s="26"/>
      <c r="M1960" s="3"/>
    </row>
    <row r="1961" spans="1:13" ht="13" x14ac:dyDescent="0.3">
      <c r="A1961" s="52"/>
      <c r="B1961" s="6"/>
      <c r="C1961" s="1"/>
      <c r="D1961" s="6"/>
      <c r="E1961" s="6"/>
      <c r="F1961" s="1"/>
      <c r="G1961" s="17"/>
      <c r="H1961" s="1"/>
      <c r="I1961" s="1"/>
      <c r="J1961" s="26"/>
      <c r="K1961" s="1"/>
      <c r="L1961" s="26"/>
      <c r="M1961" s="3"/>
    </row>
    <row r="1962" spans="1:13" ht="13" x14ac:dyDescent="0.3">
      <c r="A1962" s="52"/>
      <c r="B1962" s="6"/>
      <c r="C1962" s="1"/>
      <c r="D1962" s="6"/>
      <c r="E1962" s="6"/>
      <c r="F1962" s="1"/>
      <c r="G1962" s="17"/>
      <c r="H1962" s="1"/>
      <c r="I1962" s="1"/>
      <c r="J1962" s="26"/>
      <c r="K1962" s="1"/>
      <c r="L1962" s="26"/>
      <c r="M1962" s="3"/>
    </row>
    <row r="1963" spans="1:13" ht="13" x14ac:dyDescent="0.3">
      <c r="A1963" s="52"/>
      <c r="B1963" s="6"/>
      <c r="C1963" s="1"/>
      <c r="D1963" s="6"/>
      <c r="E1963" s="6"/>
      <c r="F1963" s="1"/>
      <c r="G1963" s="17"/>
      <c r="H1963" s="1"/>
      <c r="I1963" s="1"/>
      <c r="J1963" s="26"/>
      <c r="K1963" s="1"/>
      <c r="L1963" s="26"/>
      <c r="M1963" s="3"/>
    </row>
    <row r="1964" spans="1:13" ht="13" x14ac:dyDescent="0.3">
      <c r="A1964" s="52"/>
      <c r="B1964" s="6"/>
      <c r="C1964" s="1"/>
      <c r="D1964" s="6"/>
      <c r="E1964" s="6"/>
      <c r="F1964" s="1"/>
      <c r="G1964" s="17"/>
      <c r="H1964" s="1"/>
      <c r="I1964" s="1"/>
      <c r="J1964" s="26"/>
      <c r="K1964" s="1"/>
      <c r="L1964" s="26"/>
      <c r="M1964" s="3"/>
    </row>
    <row r="1965" spans="1:13" ht="13" x14ac:dyDescent="0.3">
      <c r="A1965" s="52"/>
      <c r="B1965" s="6"/>
      <c r="C1965" s="1"/>
      <c r="D1965" s="6"/>
      <c r="E1965" s="6"/>
      <c r="F1965" s="1"/>
      <c r="G1965" s="17"/>
      <c r="H1965" s="1"/>
      <c r="I1965" s="1"/>
      <c r="J1965" s="26"/>
      <c r="K1965" s="1"/>
      <c r="L1965" s="26"/>
      <c r="M1965" s="3"/>
    </row>
    <row r="1966" spans="1:13" ht="13" x14ac:dyDescent="0.3">
      <c r="A1966" s="52"/>
      <c r="B1966" s="6"/>
      <c r="C1966" s="1"/>
      <c r="D1966" s="6"/>
      <c r="E1966" s="6"/>
      <c r="F1966" s="1"/>
      <c r="G1966" s="17"/>
      <c r="H1966" s="1"/>
      <c r="I1966" s="1"/>
      <c r="J1966" s="26"/>
      <c r="K1966" s="1"/>
      <c r="L1966" s="26"/>
      <c r="M1966" s="3"/>
    </row>
    <row r="1967" spans="1:13" ht="13" x14ac:dyDescent="0.3">
      <c r="A1967" s="52"/>
      <c r="B1967" s="6"/>
      <c r="C1967" s="1"/>
      <c r="D1967" s="6"/>
      <c r="E1967" s="6"/>
      <c r="F1967" s="1"/>
      <c r="G1967" s="17"/>
      <c r="H1967" s="1"/>
      <c r="I1967" s="1"/>
      <c r="J1967" s="26"/>
      <c r="K1967" s="1"/>
      <c r="L1967" s="26"/>
      <c r="M1967" s="3"/>
    </row>
    <row r="1968" spans="1:13" ht="13" x14ac:dyDescent="0.3">
      <c r="A1968" s="52"/>
      <c r="B1968" s="6"/>
      <c r="C1968" s="1"/>
      <c r="D1968" s="6"/>
      <c r="E1968" s="6"/>
      <c r="F1968" s="1"/>
      <c r="G1968" s="17"/>
      <c r="H1968" s="1"/>
      <c r="I1968" s="1"/>
      <c r="J1968" s="26"/>
      <c r="K1968" s="1"/>
      <c r="L1968" s="26"/>
      <c r="M1968" s="3"/>
    </row>
    <row r="1969" spans="1:13" ht="13" x14ac:dyDescent="0.3">
      <c r="A1969" s="52"/>
      <c r="B1969" s="6"/>
      <c r="C1969" s="1"/>
      <c r="D1969" s="6"/>
      <c r="E1969" s="6"/>
      <c r="F1969" s="1"/>
      <c r="G1969" s="17"/>
      <c r="H1969" s="1"/>
      <c r="I1969" s="1"/>
      <c r="J1969" s="26"/>
      <c r="K1969" s="1"/>
      <c r="L1969" s="26"/>
      <c r="M1969" s="3"/>
    </row>
    <row r="1970" spans="1:13" ht="13" x14ac:dyDescent="0.3">
      <c r="A1970" s="52"/>
      <c r="B1970" s="6"/>
      <c r="C1970" s="1"/>
      <c r="D1970" s="6"/>
      <c r="E1970" s="6"/>
      <c r="F1970" s="1"/>
      <c r="G1970" s="17"/>
      <c r="H1970" s="1"/>
      <c r="I1970" s="1"/>
      <c r="J1970" s="26"/>
      <c r="K1970" s="1"/>
      <c r="L1970" s="26"/>
      <c r="M1970" s="3"/>
    </row>
    <row r="1971" spans="1:13" ht="13" x14ac:dyDescent="0.3">
      <c r="A1971" s="52"/>
      <c r="B1971" s="6"/>
      <c r="C1971" s="1"/>
      <c r="D1971" s="6"/>
      <c r="E1971" s="6"/>
      <c r="F1971" s="1"/>
      <c r="G1971" s="17"/>
      <c r="H1971" s="1"/>
      <c r="I1971" s="1"/>
      <c r="J1971" s="26"/>
      <c r="K1971" s="1"/>
      <c r="L1971" s="26"/>
      <c r="M1971" s="3"/>
    </row>
    <row r="1972" spans="1:13" ht="13" x14ac:dyDescent="0.3">
      <c r="A1972" s="52"/>
      <c r="B1972" s="6"/>
      <c r="C1972" s="1"/>
      <c r="D1972" s="6"/>
      <c r="E1972" s="6"/>
      <c r="F1972" s="1"/>
      <c r="G1972" s="17"/>
      <c r="H1972" s="1"/>
      <c r="I1972" s="1"/>
      <c r="J1972" s="26"/>
      <c r="K1972" s="1"/>
      <c r="L1972" s="26"/>
      <c r="M1972" s="3"/>
    </row>
    <row r="1973" spans="1:13" ht="13" x14ac:dyDescent="0.3">
      <c r="A1973" s="52"/>
      <c r="B1973" s="6"/>
      <c r="C1973" s="1"/>
      <c r="D1973" s="6"/>
      <c r="E1973" s="6"/>
      <c r="F1973" s="1"/>
      <c r="G1973" s="17"/>
      <c r="H1973" s="1"/>
      <c r="I1973" s="1"/>
      <c r="J1973" s="26"/>
      <c r="K1973" s="1"/>
      <c r="L1973" s="26"/>
      <c r="M1973" s="3"/>
    </row>
    <row r="1974" spans="1:13" ht="13" x14ac:dyDescent="0.3">
      <c r="A1974" s="52"/>
      <c r="B1974" s="6"/>
      <c r="C1974" s="1"/>
      <c r="D1974" s="6"/>
      <c r="E1974" s="6"/>
      <c r="F1974" s="1"/>
      <c r="G1974" s="17"/>
      <c r="H1974" s="1"/>
      <c r="I1974" s="1"/>
      <c r="J1974" s="26"/>
      <c r="K1974" s="1"/>
      <c r="L1974" s="26"/>
      <c r="M1974" s="3"/>
    </row>
    <row r="1975" spans="1:13" ht="13" x14ac:dyDescent="0.3">
      <c r="A1975" s="52"/>
      <c r="B1975" s="6"/>
      <c r="C1975" s="1"/>
      <c r="D1975" s="6"/>
      <c r="E1975" s="6"/>
      <c r="F1975" s="1"/>
      <c r="G1975" s="17"/>
      <c r="H1975" s="1"/>
      <c r="I1975" s="1"/>
      <c r="J1975" s="26"/>
      <c r="K1975" s="1"/>
      <c r="L1975" s="26"/>
      <c r="M1975" s="3"/>
    </row>
    <row r="1976" spans="1:13" ht="13" x14ac:dyDescent="0.3">
      <c r="A1976" s="52"/>
      <c r="B1976" s="6"/>
      <c r="C1976" s="1"/>
      <c r="D1976" s="6"/>
      <c r="E1976" s="6"/>
      <c r="F1976" s="1"/>
      <c r="G1976" s="17"/>
      <c r="H1976" s="1"/>
      <c r="I1976" s="1"/>
      <c r="J1976" s="26"/>
      <c r="K1976" s="1"/>
      <c r="L1976" s="26"/>
      <c r="M1976" s="3"/>
    </row>
    <row r="1977" spans="1:13" ht="13" x14ac:dyDescent="0.3">
      <c r="A1977" s="52"/>
      <c r="B1977" s="6"/>
      <c r="C1977" s="1"/>
      <c r="D1977" s="6"/>
      <c r="E1977" s="6"/>
      <c r="F1977" s="1"/>
      <c r="G1977" s="17"/>
      <c r="H1977" s="1"/>
      <c r="I1977" s="1"/>
      <c r="J1977" s="26"/>
      <c r="K1977" s="1"/>
      <c r="L1977" s="26"/>
      <c r="M1977" s="3"/>
    </row>
    <row r="1978" spans="1:13" ht="13" x14ac:dyDescent="0.3">
      <c r="A1978" s="52"/>
      <c r="B1978" s="6"/>
      <c r="C1978" s="1"/>
      <c r="D1978" s="6"/>
      <c r="E1978" s="6"/>
      <c r="F1978" s="1"/>
      <c r="G1978" s="17"/>
      <c r="H1978" s="1"/>
      <c r="I1978" s="1"/>
      <c r="J1978" s="26"/>
      <c r="K1978" s="1"/>
      <c r="L1978" s="26"/>
      <c r="M1978" s="3"/>
    </row>
    <row r="1979" spans="1:13" ht="13" x14ac:dyDescent="0.3">
      <c r="A1979" s="52"/>
      <c r="B1979" s="6"/>
      <c r="C1979" s="1"/>
      <c r="D1979" s="6"/>
      <c r="E1979" s="6"/>
      <c r="F1979" s="1"/>
      <c r="G1979" s="17"/>
      <c r="H1979" s="1"/>
      <c r="I1979" s="1"/>
      <c r="J1979" s="26"/>
      <c r="K1979" s="1"/>
      <c r="L1979" s="26"/>
      <c r="M1979" s="3"/>
    </row>
    <row r="1980" spans="1:13" ht="13" x14ac:dyDescent="0.3">
      <c r="A1980" s="52"/>
      <c r="B1980" s="6"/>
      <c r="C1980" s="1"/>
      <c r="D1980" s="6"/>
      <c r="E1980" s="6"/>
      <c r="F1980" s="1"/>
      <c r="G1980" s="17"/>
      <c r="H1980" s="1"/>
      <c r="I1980" s="1"/>
      <c r="J1980" s="26"/>
      <c r="K1980" s="1"/>
      <c r="L1980" s="26"/>
      <c r="M1980" s="3"/>
    </row>
    <row r="1981" spans="1:13" ht="13" x14ac:dyDescent="0.3">
      <c r="A1981" s="52"/>
      <c r="B1981" s="6"/>
      <c r="C1981" s="1"/>
      <c r="D1981" s="6"/>
      <c r="E1981" s="6"/>
      <c r="F1981" s="1"/>
      <c r="G1981" s="17"/>
      <c r="H1981" s="1"/>
      <c r="I1981" s="1"/>
      <c r="J1981" s="26"/>
      <c r="K1981" s="1"/>
      <c r="L1981" s="26"/>
      <c r="M1981" s="3"/>
    </row>
    <row r="1982" spans="1:13" ht="13" x14ac:dyDescent="0.3">
      <c r="A1982" s="52"/>
      <c r="B1982" s="6"/>
      <c r="C1982" s="1"/>
      <c r="D1982" s="6"/>
      <c r="E1982" s="6"/>
      <c r="F1982" s="1"/>
      <c r="G1982" s="17"/>
      <c r="H1982" s="1"/>
      <c r="I1982" s="1"/>
      <c r="J1982" s="26"/>
      <c r="K1982" s="1"/>
      <c r="L1982" s="26"/>
      <c r="M1982" s="3"/>
    </row>
    <row r="1983" spans="1:13" ht="13" x14ac:dyDescent="0.3">
      <c r="A1983" s="52"/>
      <c r="B1983" s="6"/>
      <c r="C1983" s="1"/>
      <c r="D1983" s="6"/>
      <c r="E1983" s="6"/>
      <c r="F1983" s="1"/>
      <c r="G1983" s="17"/>
      <c r="H1983" s="1"/>
      <c r="I1983" s="1"/>
      <c r="J1983" s="26"/>
      <c r="K1983" s="1"/>
      <c r="L1983" s="26"/>
      <c r="M1983" s="3"/>
    </row>
    <row r="1984" spans="1:13" ht="13" x14ac:dyDescent="0.3">
      <c r="A1984" s="52"/>
      <c r="B1984" s="6"/>
      <c r="C1984" s="1"/>
      <c r="D1984" s="6"/>
      <c r="E1984" s="6"/>
      <c r="F1984" s="1"/>
      <c r="G1984" s="17"/>
      <c r="H1984" s="1"/>
      <c r="I1984" s="1"/>
      <c r="J1984" s="26"/>
      <c r="K1984" s="1"/>
      <c r="L1984" s="26"/>
      <c r="M1984" s="3"/>
    </row>
    <row r="1985" spans="1:13" ht="13" x14ac:dyDescent="0.3">
      <c r="A1985" s="52"/>
      <c r="B1985" s="6"/>
      <c r="C1985" s="1"/>
      <c r="D1985" s="6"/>
      <c r="E1985" s="6"/>
      <c r="F1985" s="1"/>
      <c r="G1985" s="17"/>
      <c r="H1985" s="1"/>
      <c r="I1985" s="1"/>
      <c r="J1985" s="26"/>
      <c r="K1985" s="1"/>
      <c r="L1985" s="26"/>
      <c r="M1985" s="3"/>
    </row>
    <row r="1986" spans="1:13" ht="13" x14ac:dyDescent="0.3">
      <c r="A1986" s="52"/>
      <c r="B1986" s="6"/>
      <c r="C1986" s="1"/>
      <c r="D1986" s="6"/>
      <c r="E1986" s="6"/>
      <c r="F1986" s="1"/>
      <c r="G1986" s="17"/>
      <c r="H1986" s="1"/>
      <c r="I1986" s="1"/>
      <c r="J1986" s="26"/>
      <c r="K1986" s="1"/>
      <c r="L1986" s="26"/>
      <c r="M1986" s="3"/>
    </row>
    <row r="1987" spans="1:13" ht="13" x14ac:dyDescent="0.3">
      <c r="A1987" s="52"/>
      <c r="B1987" s="6"/>
      <c r="C1987" s="1"/>
      <c r="D1987" s="6"/>
      <c r="E1987" s="6"/>
      <c r="F1987" s="1"/>
      <c r="G1987" s="17"/>
      <c r="H1987" s="1"/>
      <c r="I1987" s="1"/>
      <c r="J1987" s="26"/>
      <c r="K1987" s="1"/>
      <c r="L1987" s="26"/>
      <c r="M1987" s="3"/>
    </row>
    <row r="1988" spans="1:13" ht="13" x14ac:dyDescent="0.3">
      <c r="A1988" s="52"/>
      <c r="B1988" s="6"/>
      <c r="C1988" s="1"/>
      <c r="D1988" s="6"/>
      <c r="E1988" s="6"/>
      <c r="F1988" s="1"/>
      <c r="G1988" s="17"/>
      <c r="H1988" s="1"/>
      <c r="I1988" s="1"/>
      <c r="J1988" s="26"/>
      <c r="K1988" s="1"/>
      <c r="L1988" s="26"/>
      <c r="M1988" s="3"/>
    </row>
    <row r="1989" spans="1:13" ht="13" x14ac:dyDescent="0.3">
      <c r="A1989" s="52"/>
      <c r="B1989" s="6"/>
      <c r="C1989" s="1"/>
      <c r="D1989" s="6"/>
      <c r="E1989" s="6"/>
      <c r="F1989" s="1"/>
      <c r="G1989" s="17"/>
      <c r="H1989" s="1"/>
      <c r="I1989" s="1"/>
      <c r="J1989" s="26"/>
      <c r="K1989" s="1"/>
      <c r="L1989" s="26"/>
      <c r="M1989" s="3"/>
    </row>
    <row r="1990" spans="1:13" ht="13" x14ac:dyDescent="0.3">
      <c r="A1990" s="52"/>
      <c r="B1990" s="6"/>
      <c r="C1990" s="1"/>
      <c r="D1990" s="6"/>
      <c r="E1990" s="6"/>
      <c r="F1990" s="1"/>
      <c r="G1990" s="17"/>
      <c r="H1990" s="1"/>
      <c r="I1990" s="1"/>
      <c r="J1990" s="26"/>
      <c r="K1990" s="1"/>
      <c r="L1990" s="26"/>
      <c r="M1990" s="3"/>
    </row>
    <row r="1991" spans="1:13" ht="13" x14ac:dyDescent="0.3">
      <c r="A1991" s="52"/>
      <c r="B1991" s="6"/>
      <c r="C1991" s="1"/>
      <c r="D1991" s="6"/>
      <c r="E1991" s="6"/>
      <c r="F1991" s="1"/>
      <c r="G1991" s="17"/>
      <c r="H1991" s="1"/>
      <c r="I1991" s="1"/>
      <c r="J1991" s="26"/>
      <c r="K1991" s="1"/>
      <c r="L1991" s="26"/>
      <c r="M1991" s="3"/>
    </row>
    <row r="1992" spans="1:13" ht="13" x14ac:dyDescent="0.3">
      <c r="A1992" s="52"/>
      <c r="B1992" s="6"/>
      <c r="C1992" s="1"/>
      <c r="D1992" s="6"/>
      <c r="E1992" s="6"/>
      <c r="F1992" s="1"/>
      <c r="G1992" s="17"/>
      <c r="H1992" s="1"/>
      <c r="I1992" s="1"/>
      <c r="J1992" s="26"/>
      <c r="K1992" s="1"/>
      <c r="L1992" s="26"/>
      <c r="M1992" s="3"/>
    </row>
    <row r="1993" spans="1:13" ht="13" x14ac:dyDescent="0.3">
      <c r="A1993" s="52"/>
      <c r="B1993" s="6"/>
      <c r="C1993" s="1"/>
      <c r="D1993" s="6"/>
      <c r="E1993" s="6"/>
      <c r="F1993" s="1"/>
      <c r="G1993" s="17"/>
      <c r="H1993" s="1"/>
      <c r="I1993" s="1"/>
      <c r="J1993" s="26"/>
      <c r="K1993" s="1"/>
      <c r="L1993" s="26"/>
      <c r="M1993" s="3"/>
    </row>
    <row r="1994" spans="1:13" ht="13" x14ac:dyDescent="0.3">
      <c r="A1994" s="52"/>
      <c r="B1994" s="6"/>
      <c r="C1994" s="1"/>
      <c r="D1994" s="6"/>
      <c r="E1994" s="6"/>
      <c r="F1994" s="1"/>
      <c r="G1994" s="17"/>
      <c r="H1994" s="1"/>
      <c r="I1994" s="1"/>
      <c r="J1994" s="26"/>
      <c r="K1994" s="1"/>
      <c r="L1994" s="26"/>
      <c r="M1994" s="3"/>
    </row>
    <row r="1995" spans="1:13" ht="13" x14ac:dyDescent="0.3">
      <c r="A1995" s="52"/>
      <c r="B1995" s="6"/>
      <c r="C1995" s="1"/>
      <c r="D1995" s="6"/>
      <c r="E1995" s="6"/>
      <c r="F1995" s="1"/>
      <c r="G1995" s="17"/>
      <c r="H1995" s="1"/>
      <c r="I1995" s="1"/>
      <c r="J1995" s="26"/>
      <c r="K1995" s="1"/>
      <c r="L1995" s="26"/>
      <c r="M1995" s="3"/>
    </row>
    <row r="1996" spans="1:13" ht="13" x14ac:dyDescent="0.3">
      <c r="A1996" s="52"/>
      <c r="B1996" s="6"/>
      <c r="C1996" s="1"/>
      <c r="D1996" s="6"/>
      <c r="E1996" s="6"/>
      <c r="F1996" s="1"/>
      <c r="G1996" s="17"/>
      <c r="H1996" s="1"/>
      <c r="I1996" s="1"/>
      <c r="J1996" s="26"/>
      <c r="K1996" s="1"/>
      <c r="L1996" s="26"/>
      <c r="M1996" s="3"/>
    </row>
    <row r="1997" spans="1:13" ht="13" x14ac:dyDescent="0.3">
      <c r="A1997" s="52"/>
      <c r="B1997" s="6"/>
      <c r="C1997" s="1"/>
      <c r="D1997" s="6"/>
      <c r="E1997" s="6"/>
      <c r="F1997" s="1"/>
      <c r="G1997" s="17"/>
      <c r="H1997" s="1"/>
      <c r="I1997" s="1"/>
      <c r="J1997" s="26"/>
      <c r="K1997" s="1"/>
      <c r="L1997" s="26"/>
      <c r="M1997" s="3"/>
    </row>
    <row r="1998" spans="1:13" ht="13" x14ac:dyDescent="0.3">
      <c r="A1998" s="52"/>
      <c r="B1998" s="6"/>
      <c r="C1998" s="1"/>
      <c r="D1998" s="6"/>
      <c r="E1998" s="6"/>
      <c r="F1998" s="1"/>
      <c r="G1998" s="17"/>
      <c r="H1998" s="1"/>
      <c r="I1998" s="1"/>
      <c r="J1998" s="26"/>
      <c r="K1998" s="1"/>
      <c r="L1998" s="26"/>
      <c r="M1998" s="3"/>
    </row>
    <row r="1999" spans="1:13" ht="13" x14ac:dyDescent="0.3">
      <c r="A1999" s="52"/>
      <c r="B1999" s="6"/>
      <c r="C1999" s="1"/>
      <c r="D1999" s="6"/>
      <c r="E1999" s="6"/>
      <c r="F1999" s="1"/>
      <c r="G1999" s="17"/>
      <c r="H1999" s="1"/>
      <c r="I1999" s="1"/>
      <c r="J1999" s="26"/>
      <c r="K1999" s="1"/>
      <c r="L1999" s="26"/>
      <c r="M1999" s="3"/>
    </row>
    <row r="2000" spans="1:13" ht="13" x14ac:dyDescent="0.3">
      <c r="A2000" s="52"/>
      <c r="B2000" s="6"/>
      <c r="C2000" s="1"/>
      <c r="D2000" s="6"/>
      <c r="E2000" s="6"/>
      <c r="F2000" s="1"/>
      <c r="G2000" s="17"/>
      <c r="H2000" s="1"/>
      <c r="I2000" s="1"/>
      <c r="J2000" s="26"/>
      <c r="K2000" s="1"/>
      <c r="L2000" s="26"/>
      <c r="M2000" s="3"/>
    </row>
    <row r="2001" spans="1:13" ht="13" x14ac:dyDescent="0.3">
      <c r="A2001" s="52"/>
      <c r="B2001" s="6"/>
      <c r="C2001" s="1"/>
      <c r="D2001" s="6"/>
      <c r="E2001" s="6"/>
      <c r="F2001" s="1"/>
      <c r="G2001" s="17"/>
      <c r="H2001" s="1"/>
      <c r="I2001" s="1"/>
      <c r="J2001" s="26"/>
      <c r="K2001" s="1"/>
      <c r="L2001" s="26"/>
      <c r="M2001" s="3"/>
    </row>
    <row r="2002" spans="1:13" ht="13" x14ac:dyDescent="0.3">
      <c r="A2002" s="52"/>
      <c r="B2002" s="6"/>
      <c r="C2002" s="1"/>
      <c r="D2002" s="6"/>
      <c r="E2002" s="6"/>
      <c r="F2002" s="1"/>
      <c r="G2002" s="17"/>
      <c r="H2002" s="1"/>
      <c r="I2002" s="1"/>
      <c r="J2002" s="26"/>
      <c r="K2002" s="1"/>
      <c r="L2002" s="26"/>
      <c r="M2002" s="3"/>
    </row>
    <row r="2003" spans="1:13" ht="13" x14ac:dyDescent="0.3">
      <c r="A2003" s="52"/>
      <c r="B2003" s="6"/>
      <c r="C2003" s="1"/>
      <c r="D2003" s="6"/>
      <c r="E2003" s="6"/>
      <c r="F2003" s="1"/>
      <c r="G2003" s="17"/>
      <c r="H2003" s="1"/>
      <c r="I2003" s="1"/>
      <c r="J2003" s="26"/>
      <c r="K2003" s="1"/>
      <c r="L2003" s="26"/>
      <c r="M2003" s="3"/>
    </row>
    <row r="2004" spans="1:13" ht="13" x14ac:dyDescent="0.3">
      <c r="A2004" s="52"/>
      <c r="B2004" s="6"/>
      <c r="C2004" s="1"/>
      <c r="D2004" s="6"/>
      <c r="E2004" s="6"/>
      <c r="F2004" s="1"/>
      <c r="G2004" s="17"/>
      <c r="H2004" s="1"/>
      <c r="I2004" s="1"/>
      <c r="J2004" s="26"/>
      <c r="K2004" s="1"/>
      <c r="L2004" s="26"/>
      <c r="M2004" s="3"/>
    </row>
    <row r="2005" spans="1:13" ht="13" x14ac:dyDescent="0.3">
      <c r="A2005" s="52"/>
      <c r="B2005" s="6"/>
      <c r="C2005" s="1"/>
      <c r="D2005" s="6"/>
      <c r="E2005" s="6"/>
      <c r="F2005" s="1"/>
      <c r="G2005" s="17"/>
      <c r="H2005" s="1"/>
      <c r="I2005" s="1"/>
      <c r="J2005" s="26"/>
      <c r="K2005" s="1"/>
      <c r="L2005" s="26"/>
      <c r="M2005" s="3"/>
    </row>
    <row r="2006" spans="1:13" ht="13" x14ac:dyDescent="0.3">
      <c r="A2006" s="52"/>
      <c r="B2006" s="6"/>
      <c r="C2006" s="1"/>
      <c r="D2006" s="6"/>
      <c r="E2006" s="6"/>
      <c r="F2006" s="1"/>
      <c r="G2006" s="17"/>
      <c r="H2006" s="1"/>
      <c r="I2006" s="1"/>
      <c r="J2006" s="26"/>
      <c r="K2006" s="1"/>
      <c r="L2006" s="26"/>
      <c r="M2006" s="3"/>
    </row>
    <row r="2007" spans="1:13" ht="13" x14ac:dyDescent="0.3">
      <c r="A2007" s="52"/>
      <c r="B2007" s="6"/>
      <c r="C2007" s="1"/>
      <c r="D2007" s="6"/>
      <c r="E2007" s="6"/>
      <c r="F2007" s="1"/>
      <c r="G2007" s="17"/>
      <c r="H2007" s="1"/>
      <c r="I2007" s="1"/>
      <c r="J2007" s="26"/>
      <c r="K2007" s="1"/>
      <c r="L2007" s="26"/>
      <c r="M2007" s="3"/>
    </row>
    <row r="2008" spans="1:13" ht="13" x14ac:dyDescent="0.3">
      <c r="A2008" s="52"/>
      <c r="B2008" s="6"/>
      <c r="C2008" s="1"/>
      <c r="D2008" s="6"/>
      <c r="E2008" s="6"/>
      <c r="F2008" s="1"/>
      <c r="G2008" s="17"/>
      <c r="H2008" s="1"/>
      <c r="I2008" s="1"/>
      <c r="J2008" s="26"/>
      <c r="K2008" s="1"/>
      <c r="L2008" s="26"/>
      <c r="M2008" s="3"/>
    </row>
    <row r="2009" spans="1:13" ht="13" x14ac:dyDescent="0.3">
      <c r="A2009" s="52"/>
      <c r="B2009" s="6"/>
      <c r="C2009" s="1"/>
      <c r="D2009" s="6"/>
      <c r="E2009" s="6"/>
      <c r="F2009" s="1"/>
      <c r="G2009" s="17"/>
      <c r="H2009" s="1"/>
      <c r="I2009" s="1"/>
      <c r="J2009" s="26"/>
      <c r="K2009" s="1"/>
      <c r="L2009" s="26"/>
      <c r="M2009" s="3"/>
    </row>
    <row r="2010" spans="1:13" ht="13" x14ac:dyDescent="0.3">
      <c r="A2010" s="52"/>
      <c r="B2010" s="6"/>
      <c r="C2010" s="1"/>
      <c r="D2010" s="6"/>
      <c r="E2010" s="6"/>
      <c r="F2010" s="1"/>
      <c r="G2010" s="17"/>
      <c r="H2010" s="1"/>
      <c r="I2010" s="1"/>
      <c r="J2010" s="26"/>
      <c r="K2010" s="1"/>
      <c r="L2010" s="26"/>
      <c r="M2010" s="3"/>
    </row>
    <row r="2011" spans="1:13" ht="13" x14ac:dyDescent="0.3">
      <c r="A2011" s="52"/>
      <c r="B2011" s="6"/>
      <c r="C2011" s="1"/>
      <c r="D2011" s="6"/>
      <c r="E2011" s="6"/>
      <c r="F2011" s="1"/>
      <c r="G2011" s="17"/>
      <c r="H2011" s="1"/>
      <c r="I2011" s="1"/>
      <c r="J2011" s="26"/>
      <c r="K2011" s="1"/>
      <c r="L2011" s="26"/>
      <c r="M2011" s="3"/>
    </row>
    <row r="2012" spans="1:13" ht="13" x14ac:dyDescent="0.3">
      <c r="A2012" s="52"/>
      <c r="B2012" s="6"/>
      <c r="C2012" s="1"/>
      <c r="D2012" s="6"/>
      <c r="E2012" s="6"/>
      <c r="F2012" s="1"/>
      <c r="G2012" s="17"/>
      <c r="H2012" s="1"/>
      <c r="I2012" s="1"/>
      <c r="J2012" s="26"/>
      <c r="K2012" s="1"/>
      <c r="L2012" s="26"/>
      <c r="M2012" s="3"/>
    </row>
    <row r="2013" spans="1:13" ht="13" x14ac:dyDescent="0.3">
      <c r="A2013" s="52"/>
      <c r="B2013" s="6"/>
      <c r="C2013" s="1"/>
      <c r="D2013" s="6"/>
      <c r="E2013" s="6"/>
      <c r="F2013" s="1"/>
      <c r="G2013" s="17"/>
      <c r="H2013" s="1"/>
      <c r="I2013" s="1"/>
      <c r="J2013" s="26"/>
      <c r="K2013" s="1"/>
      <c r="L2013" s="26"/>
      <c r="M2013" s="3"/>
    </row>
    <row r="2014" spans="1:13" ht="13" x14ac:dyDescent="0.3">
      <c r="A2014" s="52"/>
      <c r="B2014" s="6"/>
      <c r="C2014" s="1"/>
      <c r="D2014" s="6"/>
      <c r="E2014" s="6"/>
      <c r="F2014" s="1"/>
      <c r="G2014" s="17"/>
      <c r="H2014" s="1"/>
      <c r="I2014" s="1"/>
      <c r="J2014" s="26"/>
      <c r="K2014" s="1"/>
      <c r="L2014" s="26"/>
      <c r="M2014" s="3"/>
    </row>
    <row r="2015" spans="1:13" ht="13" x14ac:dyDescent="0.3">
      <c r="A2015" s="52"/>
      <c r="B2015" s="6"/>
      <c r="C2015" s="1"/>
      <c r="D2015" s="6"/>
      <c r="E2015" s="6"/>
      <c r="F2015" s="1"/>
      <c r="G2015" s="17"/>
      <c r="H2015" s="1"/>
      <c r="I2015" s="1"/>
      <c r="J2015" s="26"/>
      <c r="K2015" s="1"/>
      <c r="L2015" s="26"/>
      <c r="M2015" s="3"/>
    </row>
    <row r="2016" spans="1:13" ht="13" x14ac:dyDescent="0.3">
      <c r="A2016" s="52"/>
      <c r="B2016" s="6"/>
      <c r="C2016" s="1"/>
      <c r="D2016" s="6"/>
      <c r="E2016" s="6"/>
      <c r="F2016" s="1"/>
      <c r="G2016" s="17"/>
      <c r="H2016" s="1"/>
      <c r="I2016" s="1"/>
      <c r="J2016" s="26"/>
      <c r="K2016" s="1"/>
      <c r="L2016" s="26"/>
      <c r="M2016" s="3"/>
    </row>
    <row r="2017" spans="1:13" ht="13" x14ac:dyDescent="0.3">
      <c r="A2017" s="52"/>
      <c r="B2017" s="6"/>
      <c r="C2017" s="1"/>
      <c r="D2017" s="6"/>
      <c r="E2017" s="6"/>
      <c r="F2017" s="1"/>
      <c r="G2017" s="17"/>
      <c r="H2017" s="1"/>
      <c r="I2017" s="1"/>
      <c r="J2017" s="26"/>
      <c r="K2017" s="1"/>
      <c r="L2017" s="26"/>
      <c r="M2017" s="3"/>
    </row>
    <row r="2018" spans="1:13" ht="13" x14ac:dyDescent="0.3">
      <c r="A2018" s="52"/>
      <c r="B2018" s="6"/>
      <c r="C2018" s="1"/>
      <c r="D2018" s="6"/>
      <c r="E2018" s="6"/>
      <c r="F2018" s="1"/>
      <c r="G2018" s="17"/>
      <c r="H2018" s="1"/>
      <c r="I2018" s="1"/>
      <c r="J2018" s="26"/>
      <c r="K2018" s="1"/>
      <c r="L2018" s="26"/>
      <c r="M2018" s="3"/>
    </row>
    <row r="2019" spans="1:13" ht="13" x14ac:dyDescent="0.3">
      <c r="A2019" s="52"/>
      <c r="B2019" s="6"/>
      <c r="C2019" s="1"/>
      <c r="D2019" s="6"/>
      <c r="E2019" s="6"/>
      <c r="F2019" s="1"/>
      <c r="G2019" s="17"/>
      <c r="H2019" s="1"/>
      <c r="I2019" s="1"/>
      <c r="J2019" s="26"/>
      <c r="K2019" s="1"/>
      <c r="L2019" s="26"/>
      <c r="M2019" s="3"/>
    </row>
    <row r="2020" spans="1:13" ht="13" x14ac:dyDescent="0.3">
      <c r="A2020" s="52"/>
      <c r="B2020" s="6"/>
      <c r="C2020" s="1"/>
      <c r="D2020" s="6"/>
      <c r="E2020" s="6"/>
      <c r="F2020" s="1"/>
      <c r="G2020" s="17"/>
      <c r="H2020" s="1"/>
      <c r="I2020" s="1"/>
      <c r="J2020" s="26"/>
      <c r="K2020" s="1"/>
      <c r="L2020" s="26"/>
      <c r="M2020" s="3"/>
    </row>
    <row r="2021" spans="1:13" ht="13" x14ac:dyDescent="0.3">
      <c r="A2021" s="52"/>
      <c r="B2021" s="6"/>
      <c r="C2021" s="1"/>
      <c r="D2021" s="6"/>
      <c r="E2021" s="6"/>
      <c r="F2021" s="1"/>
      <c r="G2021" s="17"/>
      <c r="H2021" s="1"/>
      <c r="I2021" s="1"/>
      <c r="J2021" s="26"/>
      <c r="K2021" s="1"/>
      <c r="L2021" s="26"/>
      <c r="M2021" s="3"/>
    </row>
    <row r="2022" spans="1:13" ht="13" x14ac:dyDescent="0.3">
      <c r="A2022" s="52"/>
      <c r="B2022" s="6"/>
      <c r="C2022" s="1"/>
      <c r="D2022" s="6"/>
      <c r="E2022" s="6"/>
      <c r="F2022" s="1"/>
      <c r="G2022" s="17"/>
      <c r="H2022" s="1"/>
      <c r="I2022" s="1"/>
      <c r="J2022" s="26"/>
      <c r="K2022" s="1"/>
      <c r="L2022" s="26"/>
      <c r="M2022" s="3"/>
    </row>
    <row r="2023" spans="1:13" ht="13" x14ac:dyDescent="0.3">
      <c r="A2023" s="52"/>
      <c r="B2023" s="6"/>
      <c r="C2023" s="1"/>
      <c r="D2023" s="6"/>
      <c r="E2023" s="6"/>
      <c r="F2023" s="1"/>
      <c r="G2023" s="17"/>
      <c r="H2023" s="1"/>
      <c r="I2023" s="1"/>
      <c r="J2023" s="26"/>
      <c r="K2023" s="1"/>
      <c r="L2023" s="26"/>
      <c r="M2023" s="3"/>
    </row>
    <row r="2024" spans="1:13" ht="13" x14ac:dyDescent="0.3">
      <c r="A2024" s="52"/>
      <c r="B2024" s="6"/>
      <c r="C2024" s="1"/>
      <c r="D2024" s="6"/>
      <c r="E2024" s="6"/>
      <c r="F2024" s="1"/>
      <c r="G2024" s="17"/>
      <c r="H2024" s="1"/>
      <c r="I2024" s="1"/>
      <c r="J2024" s="26"/>
      <c r="K2024" s="1"/>
      <c r="L2024" s="26"/>
      <c r="M2024" s="3"/>
    </row>
    <row r="2025" spans="1:13" ht="13" x14ac:dyDescent="0.3">
      <c r="A2025" s="52"/>
      <c r="B2025" s="6"/>
      <c r="C2025" s="1"/>
      <c r="D2025" s="6"/>
      <c r="E2025" s="6"/>
      <c r="F2025" s="1"/>
      <c r="G2025" s="17"/>
      <c r="H2025" s="1"/>
      <c r="I2025" s="1"/>
      <c r="J2025" s="26"/>
      <c r="K2025" s="1"/>
      <c r="L2025" s="26"/>
      <c r="M2025" s="3"/>
    </row>
    <row r="2026" spans="1:13" ht="13" x14ac:dyDescent="0.3">
      <c r="A2026" s="52"/>
      <c r="B2026" s="6"/>
      <c r="C2026" s="1"/>
      <c r="D2026" s="6"/>
      <c r="E2026" s="6"/>
      <c r="F2026" s="1"/>
      <c r="G2026" s="17"/>
      <c r="H2026" s="1"/>
      <c r="I2026" s="1"/>
      <c r="J2026" s="26"/>
      <c r="K2026" s="1"/>
      <c r="L2026" s="26"/>
      <c r="M2026" s="3"/>
    </row>
    <row r="2027" spans="1:13" ht="13" x14ac:dyDescent="0.3">
      <c r="A2027" s="52"/>
      <c r="B2027" s="6"/>
      <c r="C2027" s="1"/>
      <c r="D2027" s="6"/>
      <c r="E2027" s="6"/>
      <c r="F2027" s="1"/>
      <c r="G2027" s="17"/>
      <c r="H2027" s="1"/>
      <c r="I2027" s="1"/>
      <c r="J2027" s="26"/>
      <c r="K2027" s="1"/>
      <c r="L2027" s="26"/>
      <c r="M2027" s="3"/>
    </row>
    <row r="2028" spans="1:13" ht="13" x14ac:dyDescent="0.3">
      <c r="A2028" s="52"/>
      <c r="B2028" s="6"/>
      <c r="C2028" s="1"/>
      <c r="D2028" s="6"/>
      <c r="E2028" s="6"/>
      <c r="F2028" s="1"/>
      <c r="G2028" s="17"/>
      <c r="H2028" s="1"/>
      <c r="I2028" s="1"/>
      <c r="J2028" s="26"/>
      <c r="K2028" s="1"/>
      <c r="L2028" s="26"/>
      <c r="M2028" s="3"/>
    </row>
    <row r="2029" spans="1:13" ht="13" x14ac:dyDescent="0.3">
      <c r="A2029" s="52"/>
      <c r="B2029" s="6"/>
      <c r="C2029" s="1"/>
      <c r="D2029" s="6"/>
      <c r="E2029" s="6"/>
      <c r="F2029" s="1"/>
      <c r="G2029" s="17"/>
      <c r="H2029" s="1"/>
      <c r="I2029" s="1"/>
      <c r="J2029" s="26"/>
      <c r="K2029" s="1"/>
      <c r="L2029" s="26"/>
      <c r="M2029" s="3"/>
    </row>
    <row r="2030" spans="1:13" ht="13" x14ac:dyDescent="0.3">
      <c r="A2030" s="52"/>
      <c r="B2030" s="6"/>
      <c r="C2030" s="1"/>
      <c r="D2030" s="6"/>
      <c r="E2030" s="6"/>
      <c r="F2030" s="1"/>
      <c r="G2030" s="17"/>
      <c r="H2030" s="1"/>
      <c r="I2030" s="1"/>
      <c r="J2030" s="26"/>
      <c r="K2030" s="1"/>
      <c r="L2030" s="26"/>
      <c r="M2030" s="3"/>
    </row>
    <row r="2031" spans="1:13" ht="13" x14ac:dyDescent="0.3">
      <c r="A2031" s="52"/>
      <c r="B2031" s="6"/>
      <c r="C2031" s="1"/>
      <c r="D2031" s="6"/>
      <c r="E2031" s="6"/>
      <c r="F2031" s="1"/>
      <c r="G2031" s="17"/>
      <c r="H2031" s="1"/>
      <c r="I2031" s="1"/>
      <c r="J2031" s="26"/>
      <c r="K2031" s="1"/>
      <c r="L2031" s="26"/>
      <c r="M2031" s="3"/>
    </row>
    <row r="2032" spans="1:13" ht="13" x14ac:dyDescent="0.3">
      <c r="A2032" s="52"/>
      <c r="B2032" s="6"/>
      <c r="C2032" s="1"/>
      <c r="D2032" s="6"/>
      <c r="E2032" s="6"/>
      <c r="F2032" s="1"/>
      <c r="G2032" s="17"/>
      <c r="H2032" s="1"/>
      <c r="I2032" s="1"/>
      <c r="J2032" s="26"/>
      <c r="K2032" s="1"/>
      <c r="L2032" s="26"/>
      <c r="M2032" s="3"/>
    </row>
    <row r="2033" spans="1:13" ht="13" x14ac:dyDescent="0.3">
      <c r="A2033" s="52"/>
      <c r="B2033" s="6"/>
      <c r="C2033" s="1"/>
      <c r="D2033" s="6"/>
      <c r="E2033" s="6"/>
      <c r="F2033" s="1"/>
      <c r="G2033" s="17"/>
      <c r="H2033" s="1"/>
      <c r="I2033" s="1"/>
      <c r="J2033" s="26"/>
      <c r="K2033" s="1"/>
      <c r="L2033" s="26"/>
      <c r="M2033" s="3"/>
    </row>
    <row r="2034" spans="1:13" ht="13" x14ac:dyDescent="0.3">
      <c r="A2034" s="52"/>
      <c r="B2034" s="6"/>
      <c r="C2034" s="1"/>
      <c r="D2034" s="6"/>
      <c r="E2034" s="6"/>
      <c r="F2034" s="1"/>
      <c r="G2034" s="17"/>
      <c r="H2034" s="1"/>
      <c r="I2034" s="1"/>
      <c r="J2034" s="26"/>
      <c r="K2034" s="1"/>
      <c r="L2034" s="26"/>
      <c r="M2034" s="3"/>
    </row>
    <row r="2035" spans="1:13" ht="13" x14ac:dyDescent="0.3">
      <c r="A2035" s="52"/>
      <c r="B2035" s="6"/>
      <c r="C2035" s="1"/>
      <c r="D2035" s="6"/>
      <c r="E2035" s="6"/>
      <c r="F2035" s="1"/>
      <c r="G2035" s="17"/>
      <c r="H2035" s="1"/>
      <c r="I2035" s="1"/>
      <c r="J2035" s="26"/>
      <c r="K2035" s="1"/>
      <c r="L2035" s="26"/>
      <c r="M2035" s="3"/>
    </row>
    <row r="2036" spans="1:13" ht="13" x14ac:dyDescent="0.3">
      <c r="A2036" s="52"/>
      <c r="B2036" s="6"/>
      <c r="C2036" s="1"/>
      <c r="D2036" s="6"/>
      <c r="E2036" s="6"/>
      <c r="F2036" s="1"/>
      <c r="G2036" s="17"/>
      <c r="H2036" s="1"/>
      <c r="I2036" s="1"/>
      <c r="J2036" s="26"/>
      <c r="K2036" s="1"/>
      <c r="L2036" s="26"/>
      <c r="M2036" s="3"/>
    </row>
    <row r="2037" spans="1:13" ht="13" x14ac:dyDescent="0.3">
      <c r="A2037" s="52"/>
      <c r="B2037" s="6"/>
      <c r="C2037" s="1"/>
      <c r="D2037" s="6"/>
      <c r="E2037" s="6"/>
      <c r="F2037" s="1"/>
      <c r="G2037" s="17"/>
      <c r="H2037" s="1"/>
      <c r="I2037" s="1"/>
      <c r="J2037" s="26"/>
      <c r="K2037" s="1"/>
      <c r="L2037" s="26"/>
      <c r="M2037" s="3"/>
    </row>
    <row r="2038" spans="1:13" ht="13" x14ac:dyDescent="0.3">
      <c r="A2038" s="52"/>
      <c r="B2038" s="6"/>
      <c r="C2038" s="1"/>
      <c r="D2038" s="6"/>
      <c r="E2038" s="6"/>
      <c r="F2038" s="1"/>
      <c r="G2038" s="17"/>
      <c r="H2038" s="1"/>
      <c r="I2038" s="1"/>
      <c r="J2038" s="26"/>
      <c r="K2038" s="1"/>
      <c r="L2038" s="26"/>
      <c r="M2038" s="3"/>
    </row>
    <row r="2039" spans="1:13" ht="13" x14ac:dyDescent="0.3">
      <c r="A2039" s="52"/>
      <c r="B2039" s="6"/>
      <c r="C2039" s="1"/>
      <c r="D2039" s="6"/>
      <c r="E2039" s="6"/>
      <c r="F2039" s="1"/>
      <c r="G2039" s="17"/>
      <c r="H2039" s="1"/>
      <c r="I2039" s="1"/>
      <c r="J2039" s="26"/>
      <c r="K2039" s="1"/>
      <c r="L2039" s="26"/>
      <c r="M2039" s="3"/>
    </row>
    <row r="2040" spans="1:13" ht="13" x14ac:dyDescent="0.3">
      <c r="A2040" s="52"/>
      <c r="B2040" s="6"/>
      <c r="C2040" s="1"/>
      <c r="D2040" s="6"/>
      <c r="E2040" s="6"/>
      <c r="F2040" s="1"/>
      <c r="G2040" s="17"/>
      <c r="H2040" s="1"/>
      <c r="I2040" s="1"/>
      <c r="J2040" s="26"/>
      <c r="K2040" s="1"/>
      <c r="L2040" s="26"/>
      <c r="M2040" s="3"/>
    </row>
    <row r="2041" spans="1:13" ht="13" x14ac:dyDescent="0.3">
      <c r="A2041" s="52"/>
      <c r="B2041" s="6"/>
      <c r="C2041" s="1"/>
      <c r="D2041" s="6"/>
      <c r="E2041" s="6"/>
      <c r="F2041" s="1"/>
      <c r="G2041" s="17"/>
      <c r="H2041" s="1"/>
      <c r="I2041" s="1"/>
      <c r="J2041" s="26"/>
      <c r="K2041" s="1"/>
      <c r="L2041" s="26"/>
      <c r="M2041" s="3"/>
    </row>
    <row r="2042" spans="1:13" ht="13" x14ac:dyDescent="0.3">
      <c r="A2042" s="52"/>
      <c r="B2042" s="6"/>
      <c r="C2042" s="1"/>
      <c r="D2042" s="6"/>
      <c r="E2042" s="6"/>
      <c r="F2042" s="1"/>
      <c r="G2042" s="17"/>
      <c r="H2042" s="1"/>
      <c r="I2042" s="1"/>
      <c r="J2042" s="26"/>
      <c r="K2042" s="1"/>
      <c r="L2042" s="26"/>
      <c r="M2042" s="3"/>
    </row>
    <row r="2043" spans="1:13" ht="13" x14ac:dyDescent="0.3">
      <c r="A2043" s="52"/>
      <c r="B2043" s="6"/>
      <c r="C2043" s="1"/>
      <c r="D2043" s="6"/>
      <c r="E2043" s="6"/>
      <c r="F2043" s="1"/>
      <c r="G2043" s="17"/>
      <c r="H2043" s="1"/>
      <c r="I2043" s="1"/>
      <c r="J2043" s="26"/>
      <c r="K2043" s="1"/>
      <c r="L2043" s="26"/>
      <c r="M2043" s="3"/>
    </row>
    <row r="2044" spans="1:13" ht="13" x14ac:dyDescent="0.3">
      <c r="A2044" s="52"/>
      <c r="B2044" s="6"/>
      <c r="C2044" s="1"/>
      <c r="D2044" s="6"/>
      <c r="E2044" s="6"/>
      <c r="F2044" s="1"/>
      <c r="G2044" s="17"/>
      <c r="H2044" s="1"/>
      <c r="I2044" s="1"/>
      <c r="J2044" s="26"/>
      <c r="K2044" s="1"/>
      <c r="L2044" s="26"/>
      <c r="M2044" s="3"/>
    </row>
    <row r="2045" spans="1:13" ht="13" x14ac:dyDescent="0.3">
      <c r="A2045" s="52"/>
      <c r="B2045" s="6"/>
      <c r="C2045" s="1"/>
      <c r="D2045" s="6"/>
      <c r="E2045" s="6"/>
      <c r="F2045" s="1"/>
      <c r="G2045" s="17"/>
      <c r="H2045" s="1"/>
      <c r="I2045" s="1"/>
      <c r="J2045" s="26"/>
      <c r="K2045" s="1"/>
      <c r="L2045" s="26"/>
      <c r="M2045" s="3"/>
    </row>
    <row r="2046" spans="1:13" ht="13" x14ac:dyDescent="0.3">
      <c r="A2046" s="52"/>
      <c r="B2046" s="6"/>
      <c r="C2046" s="1"/>
      <c r="D2046" s="6"/>
      <c r="E2046" s="6"/>
      <c r="F2046" s="1"/>
      <c r="G2046" s="17"/>
      <c r="H2046" s="1"/>
      <c r="I2046" s="1"/>
      <c r="J2046" s="26"/>
      <c r="K2046" s="1"/>
      <c r="L2046" s="26"/>
      <c r="M2046" s="3"/>
    </row>
    <row r="2047" spans="1:13" ht="13" x14ac:dyDescent="0.3">
      <c r="A2047" s="52"/>
      <c r="B2047" s="6"/>
      <c r="C2047" s="1"/>
      <c r="D2047" s="6"/>
      <c r="E2047" s="6"/>
      <c r="F2047" s="1"/>
      <c r="G2047" s="17"/>
      <c r="H2047" s="1"/>
      <c r="I2047" s="1"/>
      <c r="J2047" s="26"/>
      <c r="K2047" s="1"/>
      <c r="L2047" s="26"/>
      <c r="M2047" s="3"/>
    </row>
    <row r="2048" spans="1:13" ht="13" x14ac:dyDescent="0.3">
      <c r="A2048" s="52"/>
      <c r="B2048" s="6"/>
      <c r="C2048" s="1"/>
      <c r="D2048" s="6"/>
      <c r="E2048" s="6"/>
      <c r="F2048" s="1"/>
      <c r="G2048" s="17"/>
      <c r="H2048" s="1"/>
      <c r="I2048" s="1"/>
      <c r="J2048" s="26"/>
      <c r="K2048" s="1"/>
      <c r="L2048" s="26"/>
      <c r="M2048" s="3"/>
    </row>
    <row r="2049" spans="1:13" ht="13" x14ac:dyDescent="0.3">
      <c r="A2049" s="52"/>
      <c r="B2049" s="6"/>
      <c r="C2049" s="1"/>
      <c r="D2049" s="6"/>
      <c r="E2049" s="6"/>
      <c r="F2049" s="1"/>
      <c r="G2049" s="17"/>
      <c r="H2049" s="1"/>
      <c r="I2049" s="1"/>
      <c r="J2049" s="26"/>
      <c r="K2049" s="1"/>
      <c r="L2049" s="26"/>
      <c r="M2049" s="3"/>
    </row>
    <row r="2050" spans="1:13" ht="13" x14ac:dyDescent="0.3">
      <c r="A2050" s="52"/>
      <c r="B2050" s="6"/>
      <c r="C2050" s="1"/>
      <c r="D2050" s="6"/>
      <c r="E2050" s="6"/>
      <c r="F2050" s="1"/>
      <c r="G2050" s="17"/>
      <c r="H2050" s="1"/>
      <c r="I2050" s="1"/>
      <c r="J2050" s="26"/>
      <c r="K2050" s="1"/>
      <c r="L2050" s="26"/>
      <c r="M2050" s="3"/>
    </row>
    <row r="2051" spans="1:13" ht="13" x14ac:dyDescent="0.3">
      <c r="A2051" s="52"/>
      <c r="B2051" s="6"/>
      <c r="C2051" s="1"/>
      <c r="D2051" s="6"/>
      <c r="E2051" s="6"/>
      <c r="F2051" s="1"/>
      <c r="G2051" s="17"/>
      <c r="H2051" s="1"/>
      <c r="I2051" s="1"/>
      <c r="J2051" s="26"/>
      <c r="K2051" s="1"/>
      <c r="L2051" s="26"/>
      <c r="M2051" s="3"/>
    </row>
    <row r="2052" spans="1:13" ht="13" x14ac:dyDescent="0.3">
      <c r="A2052" s="52"/>
      <c r="B2052" s="6"/>
      <c r="C2052" s="1"/>
      <c r="D2052" s="6"/>
      <c r="E2052" s="6"/>
      <c r="F2052" s="1"/>
      <c r="G2052" s="17"/>
      <c r="H2052" s="1"/>
      <c r="I2052" s="1"/>
      <c r="J2052" s="26"/>
      <c r="K2052" s="1"/>
      <c r="L2052" s="26"/>
      <c r="M2052" s="3"/>
    </row>
    <row r="2053" spans="1:13" ht="13" x14ac:dyDescent="0.3">
      <c r="A2053" s="52"/>
      <c r="B2053" s="6"/>
      <c r="C2053" s="1"/>
      <c r="D2053" s="6"/>
      <c r="E2053" s="6"/>
      <c r="F2053" s="1"/>
      <c r="G2053" s="17"/>
      <c r="H2053" s="1"/>
      <c r="I2053" s="1"/>
      <c r="J2053" s="26"/>
      <c r="K2053" s="1"/>
      <c r="L2053" s="26"/>
      <c r="M2053" s="3"/>
    </row>
    <row r="2054" spans="1:13" ht="13" x14ac:dyDescent="0.3">
      <c r="A2054" s="52"/>
      <c r="B2054" s="6"/>
      <c r="C2054" s="1"/>
      <c r="D2054" s="6"/>
      <c r="E2054" s="6"/>
      <c r="F2054" s="1"/>
      <c r="G2054" s="17"/>
      <c r="H2054" s="1"/>
      <c r="I2054" s="1"/>
      <c r="J2054" s="26"/>
      <c r="K2054" s="1"/>
      <c r="L2054" s="26"/>
      <c r="M2054" s="3"/>
    </row>
    <row r="2055" spans="1:13" ht="13" x14ac:dyDescent="0.3">
      <c r="A2055" s="52"/>
      <c r="B2055" s="6"/>
      <c r="C2055" s="1"/>
      <c r="D2055" s="6"/>
      <c r="E2055" s="6"/>
      <c r="F2055" s="1"/>
      <c r="G2055" s="17"/>
      <c r="H2055" s="1"/>
      <c r="I2055" s="1"/>
      <c r="J2055" s="26"/>
      <c r="K2055" s="1"/>
      <c r="L2055" s="26"/>
      <c r="M2055" s="3"/>
    </row>
    <row r="2056" spans="1:13" ht="13" x14ac:dyDescent="0.3">
      <c r="A2056" s="52"/>
      <c r="B2056" s="6"/>
      <c r="C2056" s="1"/>
      <c r="D2056" s="6"/>
      <c r="E2056" s="6"/>
      <c r="F2056" s="1"/>
      <c r="G2056" s="17"/>
      <c r="H2056" s="1"/>
      <c r="I2056" s="1"/>
      <c r="J2056" s="26"/>
      <c r="K2056" s="1"/>
      <c r="L2056" s="26"/>
      <c r="M2056" s="3"/>
    </row>
    <row r="2057" spans="1:13" ht="13" x14ac:dyDescent="0.3">
      <c r="A2057" s="52"/>
      <c r="B2057" s="6"/>
      <c r="C2057" s="1"/>
      <c r="D2057" s="6"/>
      <c r="E2057" s="6"/>
      <c r="F2057" s="1"/>
      <c r="G2057" s="17"/>
      <c r="H2057" s="1"/>
      <c r="I2057" s="1"/>
      <c r="J2057" s="26"/>
      <c r="K2057" s="1"/>
      <c r="L2057" s="26"/>
      <c r="M2057" s="3"/>
    </row>
    <row r="2058" spans="1:13" ht="13" x14ac:dyDescent="0.3">
      <c r="A2058" s="52"/>
      <c r="B2058" s="6"/>
      <c r="C2058" s="1"/>
      <c r="D2058" s="6"/>
      <c r="E2058" s="6"/>
      <c r="F2058" s="1"/>
      <c r="G2058" s="17"/>
      <c r="H2058" s="1"/>
      <c r="I2058" s="1"/>
      <c r="J2058" s="26"/>
      <c r="K2058" s="1"/>
      <c r="L2058" s="26"/>
      <c r="M2058" s="3"/>
    </row>
    <row r="2059" spans="1:13" ht="13" x14ac:dyDescent="0.3">
      <c r="A2059" s="52"/>
      <c r="B2059" s="6"/>
      <c r="C2059" s="1"/>
      <c r="D2059" s="6"/>
      <c r="E2059" s="6"/>
      <c r="F2059" s="1"/>
      <c r="G2059" s="17"/>
      <c r="H2059" s="1"/>
      <c r="I2059" s="1"/>
      <c r="J2059" s="26"/>
      <c r="K2059" s="1"/>
      <c r="L2059" s="26"/>
      <c r="M2059" s="3"/>
    </row>
    <row r="2060" spans="1:13" ht="13" x14ac:dyDescent="0.3">
      <c r="A2060" s="52"/>
      <c r="B2060" s="6"/>
      <c r="C2060" s="1"/>
      <c r="D2060" s="6"/>
      <c r="E2060" s="6"/>
      <c r="F2060" s="1"/>
      <c r="G2060" s="17"/>
      <c r="H2060" s="1"/>
      <c r="I2060" s="1"/>
      <c r="J2060" s="26"/>
      <c r="K2060" s="1"/>
      <c r="L2060" s="26"/>
      <c r="M2060" s="3"/>
    </row>
    <row r="2061" spans="1:13" ht="13" x14ac:dyDescent="0.3">
      <c r="A2061" s="52"/>
      <c r="B2061" s="6"/>
      <c r="C2061" s="1"/>
      <c r="D2061" s="6"/>
      <c r="E2061" s="6"/>
      <c r="F2061" s="1"/>
      <c r="G2061" s="17"/>
      <c r="H2061" s="1"/>
      <c r="I2061" s="1"/>
      <c r="J2061" s="26"/>
      <c r="K2061" s="1"/>
      <c r="L2061" s="26"/>
      <c r="M2061" s="3"/>
    </row>
    <row r="2062" spans="1:13" ht="13" x14ac:dyDescent="0.3">
      <c r="A2062" s="52"/>
      <c r="B2062" s="6"/>
      <c r="C2062" s="1"/>
      <c r="D2062" s="6"/>
      <c r="E2062" s="6"/>
      <c r="F2062" s="1"/>
      <c r="G2062" s="17"/>
      <c r="H2062" s="1"/>
      <c r="I2062" s="1"/>
      <c r="J2062" s="26"/>
      <c r="K2062" s="1"/>
      <c r="L2062" s="26"/>
      <c r="M2062" s="3"/>
    </row>
    <row r="2063" spans="1:13" ht="13" x14ac:dyDescent="0.3">
      <c r="A2063" s="52"/>
      <c r="B2063" s="6"/>
      <c r="C2063" s="1"/>
      <c r="D2063" s="6"/>
      <c r="E2063" s="6"/>
      <c r="F2063" s="1"/>
      <c r="G2063" s="17"/>
      <c r="H2063" s="1"/>
      <c r="I2063" s="1"/>
      <c r="J2063" s="26"/>
      <c r="K2063" s="1"/>
      <c r="L2063" s="26"/>
      <c r="M2063" s="3"/>
    </row>
    <row r="2064" spans="1:13" ht="13" x14ac:dyDescent="0.3">
      <c r="A2064" s="52"/>
      <c r="B2064" s="6"/>
      <c r="C2064" s="1"/>
      <c r="D2064" s="6"/>
      <c r="E2064" s="6"/>
      <c r="F2064" s="1"/>
      <c r="G2064" s="17"/>
      <c r="H2064" s="1"/>
      <c r="I2064" s="1"/>
      <c r="J2064" s="26"/>
      <c r="K2064" s="1"/>
      <c r="L2064" s="26"/>
      <c r="M2064" s="3"/>
    </row>
    <row r="2065" spans="1:13" ht="13" x14ac:dyDescent="0.3">
      <c r="A2065" s="52"/>
      <c r="B2065" s="6"/>
      <c r="C2065" s="1"/>
      <c r="D2065" s="6"/>
      <c r="E2065" s="6"/>
      <c r="F2065" s="1"/>
      <c r="G2065" s="17"/>
      <c r="H2065" s="1"/>
      <c r="I2065" s="1"/>
      <c r="J2065" s="26"/>
      <c r="K2065" s="1"/>
      <c r="L2065" s="26"/>
      <c r="M2065" s="3"/>
    </row>
    <row r="2066" spans="1:13" ht="13" x14ac:dyDescent="0.3">
      <c r="A2066" s="52"/>
      <c r="B2066" s="6"/>
      <c r="C2066" s="1"/>
      <c r="D2066" s="6"/>
      <c r="E2066" s="6"/>
      <c r="F2066" s="1"/>
      <c r="G2066" s="17"/>
      <c r="H2066" s="1"/>
      <c r="I2066" s="1"/>
      <c r="J2066" s="26"/>
      <c r="K2066" s="1"/>
      <c r="L2066" s="26"/>
      <c r="M2066" s="3"/>
    </row>
    <row r="2067" spans="1:13" ht="13" x14ac:dyDescent="0.3">
      <c r="A2067" s="52"/>
      <c r="B2067" s="6"/>
      <c r="C2067" s="1"/>
      <c r="D2067" s="6"/>
      <c r="E2067" s="6"/>
      <c r="F2067" s="1"/>
      <c r="G2067" s="17"/>
      <c r="H2067" s="1"/>
      <c r="I2067" s="1"/>
      <c r="J2067" s="26"/>
      <c r="K2067" s="1"/>
      <c r="L2067" s="26"/>
      <c r="M2067" s="3"/>
    </row>
    <row r="2068" spans="1:13" ht="13" x14ac:dyDescent="0.3">
      <c r="A2068" s="52"/>
      <c r="B2068" s="6"/>
      <c r="C2068" s="1"/>
      <c r="D2068" s="6"/>
      <c r="E2068" s="6"/>
      <c r="F2068" s="1"/>
      <c r="G2068" s="17"/>
      <c r="H2068" s="1"/>
      <c r="I2068" s="1"/>
      <c r="J2068" s="26"/>
      <c r="K2068" s="1"/>
      <c r="L2068" s="26"/>
      <c r="M2068" s="3"/>
    </row>
    <row r="2069" spans="1:13" ht="13" x14ac:dyDescent="0.3">
      <c r="A2069" s="52"/>
      <c r="B2069" s="6"/>
      <c r="C2069" s="1"/>
      <c r="D2069" s="6"/>
      <c r="E2069" s="6"/>
      <c r="F2069" s="1"/>
      <c r="G2069" s="17"/>
      <c r="H2069" s="1"/>
      <c r="I2069" s="1"/>
      <c r="J2069" s="26"/>
      <c r="K2069" s="1"/>
      <c r="L2069" s="26"/>
      <c r="M2069" s="3"/>
    </row>
    <row r="2070" spans="1:13" ht="13" x14ac:dyDescent="0.3">
      <c r="A2070" s="52"/>
      <c r="B2070" s="6"/>
      <c r="C2070" s="1"/>
      <c r="D2070" s="6"/>
      <c r="E2070" s="6"/>
      <c r="F2070" s="1"/>
      <c r="G2070" s="17"/>
      <c r="H2070" s="1"/>
      <c r="I2070" s="1"/>
      <c r="J2070" s="26"/>
      <c r="K2070" s="1"/>
      <c r="L2070" s="26"/>
      <c r="M2070" s="3"/>
    </row>
    <row r="2071" spans="1:13" ht="13" x14ac:dyDescent="0.3">
      <c r="A2071" s="52"/>
      <c r="B2071" s="6"/>
      <c r="C2071" s="1"/>
      <c r="D2071" s="6"/>
      <c r="E2071" s="6"/>
      <c r="F2071" s="1"/>
      <c r="G2071" s="17"/>
      <c r="H2071" s="1"/>
      <c r="I2071" s="1"/>
      <c r="J2071" s="26"/>
      <c r="K2071" s="1"/>
      <c r="L2071" s="26"/>
      <c r="M2071" s="3"/>
    </row>
    <row r="2072" spans="1:13" ht="13" x14ac:dyDescent="0.3">
      <c r="A2072" s="52"/>
      <c r="B2072" s="6"/>
      <c r="C2072" s="1"/>
      <c r="D2072" s="6"/>
      <c r="E2072" s="6"/>
      <c r="F2072" s="1"/>
      <c r="G2072" s="17"/>
      <c r="H2072" s="1"/>
      <c r="I2072" s="1"/>
      <c r="J2072" s="26"/>
      <c r="K2072" s="1"/>
      <c r="L2072" s="26"/>
      <c r="M2072" s="3"/>
    </row>
    <row r="2073" spans="1:13" ht="13" x14ac:dyDescent="0.3">
      <c r="A2073" s="52"/>
      <c r="B2073" s="6"/>
      <c r="C2073" s="1"/>
      <c r="D2073" s="6"/>
      <c r="E2073" s="6"/>
      <c r="F2073" s="1"/>
      <c r="G2073" s="17"/>
      <c r="H2073" s="1"/>
      <c r="I2073" s="1"/>
      <c r="J2073" s="26"/>
      <c r="K2073" s="1"/>
      <c r="L2073" s="26"/>
      <c r="M2073" s="3"/>
    </row>
    <row r="2074" spans="1:13" ht="13" x14ac:dyDescent="0.3">
      <c r="A2074" s="52"/>
      <c r="B2074" s="6"/>
      <c r="C2074" s="1"/>
      <c r="D2074" s="6"/>
      <c r="E2074" s="6"/>
      <c r="F2074" s="1"/>
      <c r="G2074" s="17"/>
      <c r="H2074" s="1"/>
      <c r="I2074" s="1"/>
      <c r="J2074" s="26"/>
      <c r="K2074" s="1"/>
      <c r="L2074" s="26"/>
      <c r="M2074" s="3"/>
    </row>
    <row r="2075" spans="1:13" ht="13" x14ac:dyDescent="0.3">
      <c r="A2075" s="52"/>
      <c r="B2075" s="6"/>
      <c r="C2075" s="1"/>
      <c r="D2075" s="6"/>
      <c r="E2075" s="6"/>
      <c r="F2075" s="1"/>
      <c r="G2075" s="17"/>
      <c r="H2075" s="1"/>
      <c r="I2075" s="1"/>
      <c r="J2075" s="26"/>
      <c r="K2075" s="1"/>
      <c r="L2075" s="26"/>
      <c r="M2075" s="3"/>
    </row>
    <row r="2076" spans="1:13" ht="13" x14ac:dyDescent="0.3">
      <c r="A2076" s="52"/>
      <c r="B2076" s="6"/>
      <c r="C2076" s="1"/>
      <c r="D2076" s="6"/>
      <c r="E2076" s="6"/>
      <c r="F2076" s="1"/>
      <c r="G2076" s="17"/>
      <c r="H2076" s="1"/>
      <c r="I2076" s="1"/>
      <c r="J2076" s="26"/>
      <c r="K2076" s="1"/>
      <c r="L2076" s="26"/>
      <c r="M2076" s="3"/>
    </row>
    <row r="2077" spans="1:13" ht="13" x14ac:dyDescent="0.3">
      <c r="A2077" s="52"/>
      <c r="B2077" s="6"/>
      <c r="C2077" s="1"/>
      <c r="D2077" s="6"/>
      <c r="E2077" s="6"/>
      <c r="F2077" s="1"/>
      <c r="G2077" s="17"/>
      <c r="H2077" s="1"/>
      <c r="I2077" s="1"/>
      <c r="J2077" s="26"/>
      <c r="K2077" s="1"/>
      <c r="L2077" s="26"/>
      <c r="M2077" s="3"/>
    </row>
    <row r="2078" spans="1:13" ht="13" x14ac:dyDescent="0.3">
      <c r="A2078" s="52"/>
      <c r="B2078" s="6"/>
      <c r="C2078" s="1"/>
      <c r="D2078" s="6"/>
      <c r="E2078" s="6"/>
      <c r="F2078" s="1"/>
      <c r="G2078" s="17"/>
      <c r="H2078" s="1"/>
      <c r="I2078" s="1"/>
      <c r="J2078" s="26"/>
      <c r="K2078" s="1"/>
      <c r="L2078" s="26"/>
      <c r="M2078" s="3"/>
    </row>
    <row r="2079" spans="1:13" ht="13" x14ac:dyDescent="0.3">
      <c r="A2079" s="52"/>
      <c r="B2079" s="6"/>
      <c r="C2079" s="1"/>
      <c r="D2079" s="6"/>
      <c r="E2079" s="6"/>
      <c r="F2079" s="1"/>
      <c r="G2079" s="17"/>
      <c r="H2079" s="1"/>
      <c r="I2079" s="1"/>
      <c r="J2079" s="26"/>
      <c r="K2079" s="1"/>
      <c r="L2079" s="26"/>
      <c r="M2079" s="3"/>
    </row>
    <row r="2080" spans="1:13" ht="13" x14ac:dyDescent="0.3">
      <c r="A2080" s="52"/>
      <c r="B2080" s="6"/>
      <c r="C2080" s="1"/>
      <c r="D2080" s="6"/>
      <c r="E2080" s="6"/>
      <c r="F2080" s="1"/>
      <c r="G2080" s="17"/>
      <c r="H2080" s="1"/>
      <c r="I2080" s="1"/>
      <c r="J2080" s="26"/>
      <c r="K2080" s="1"/>
      <c r="L2080" s="26"/>
      <c r="M2080" s="3"/>
    </row>
    <row r="2081" spans="1:13" ht="13" x14ac:dyDescent="0.3">
      <c r="A2081" s="52"/>
      <c r="B2081" s="6"/>
      <c r="C2081" s="1"/>
      <c r="D2081" s="6"/>
      <c r="E2081" s="6"/>
      <c r="F2081" s="1"/>
      <c r="G2081" s="17"/>
      <c r="H2081" s="1"/>
      <c r="I2081" s="1"/>
      <c r="J2081" s="26"/>
      <c r="K2081" s="1"/>
      <c r="L2081" s="26"/>
      <c r="M2081" s="3"/>
    </row>
    <row r="2082" spans="1:13" ht="13" x14ac:dyDescent="0.3">
      <c r="A2082" s="52"/>
      <c r="B2082" s="6"/>
      <c r="C2082" s="1"/>
      <c r="D2082" s="6"/>
      <c r="E2082" s="6"/>
      <c r="F2082" s="1"/>
      <c r="G2082" s="17"/>
      <c r="H2082" s="1"/>
      <c r="I2082" s="1"/>
      <c r="J2082" s="26"/>
      <c r="K2082" s="1"/>
      <c r="L2082" s="26"/>
      <c r="M2082" s="3"/>
    </row>
    <row r="2083" spans="1:13" ht="13" x14ac:dyDescent="0.3">
      <c r="A2083" s="52"/>
      <c r="B2083" s="6"/>
      <c r="C2083" s="1"/>
      <c r="D2083" s="6"/>
      <c r="E2083" s="6"/>
      <c r="F2083" s="1"/>
      <c r="G2083" s="17"/>
      <c r="H2083" s="1"/>
      <c r="I2083" s="1"/>
      <c r="J2083" s="26"/>
      <c r="K2083" s="1"/>
      <c r="L2083" s="26"/>
      <c r="M2083" s="3"/>
    </row>
    <row r="2084" spans="1:13" ht="13" x14ac:dyDescent="0.3">
      <c r="A2084" s="52"/>
      <c r="B2084" s="6"/>
      <c r="C2084" s="1"/>
      <c r="D2084" s="6"/>
      <c r="E2084" s="6"/>
      <c r="F2084" s="1"/>
      <c r="G2084" s="17"/>
      <c r="H2084" s="1"/>
      <c r="I2084" s="1"/>
      <c r="J2084" s="26"/>
      <c r="K2084" s="1"/>
      <c r="L2084" s="26"/>
      <c r="M2084" s="3"/>
    </row>
    <row r="2085" spans="1:13" ht="13" x14ac:dyDescent="0.3">
      <c r="A2085" s="52"/>
      <c r="B2085" s="6"/>
      <c r="C2085" s="1"/>
      <c r="D2085" s="6"/>
      <c r="E2085" s="6"/>
      <c r="F2085" s="1"/>
      <c r="G2085" s="17"/>
      <c r="H2085" s="1"/>
      <c r="I2085" s="1"/>
      <c r="J2085" s="26"/>
      <c r="K2085" s="1"/>
      <c r="L2085" s="26"/>
      <c r="M2085" s="3"/>
    </row>
    <row r="2086" spans="1:13" ht="13" x14ac:dyDescent="0.3">
      <c r="A2086" s="52"/>
      <c r="B2086" s="6"/>
      <c r="C2086" s="1"/>
      <c r="D2086" s="6"/>
      <c r="E2086" s="6"/>
      <c r="F2086" s="1"/>
      <c r="G2086" s="17"/>
      <c r="H2086" s="1"/>
      <c r="I2086" s="1"/>
      <c r="J2086" s="26"/>
      <c r="K2086" s="1"/>
      <c r="L2086" s="26"/>
      <c r="M2086" s="3"/>
    </row>
    <row r="2087" spans="1:13" ht="13" x14ac:dyDescent="0.3">
      <c r="A2087" s="52"/>
      <c r="B2087" s="6"/>
      <c r="C2087" s="1"/>
      <c r="D2087" s="6"/>
      <c r="E2087" s="6"/>
      <c r="F2087" s="1"/>
      <c r="G2087" s="17"/>
      <c r="H2087" s="1"/>
      <c r="I2087" s="1"/>
      <c r="J2087" s="26"/>
      <c r="K2087" s="1"/>
      <c r="L2087" s="26"/>
      <c r="M2087" s="3"/>
    </row>
    <row r="2088" spans="1:13" ht="13" x14ac:dyDescent="0.3">
      <c r="A2088" s="52"/>
      <c r="B2088" s="6"/>
      <c r="C2088" s="1"/>
      <c r="D2088" s="6"/>
      <c r="E2088" s="6"/>
      <c r="F2088" s="1"/>
      <c r="G2088" s="17"/>
      <c r="H2088" s="1"/>
      <c r="I2088" s="1"/>
      <c r="J2088" s="26"/>
      <c r="K2088" s="1"/>
      <c r="L2088" s="26"/>
      <c r="M2088" s="3"/>
    </row>
    <row r="2089" spans="1:13" ht="13" x14ac:dyDescent="0.3">
      <c r="A2089" s="52"/>
      <c r="B2089" s="6"/>
      <c r="C2089" s="1"/>
      <c r="D2089" s="6"/>
      <c r="E2089" s="6"/>
      <c r="F2089" s="1"/>
      <c r="G2089" s="17"/>
      <c r="H2089" s="1"/>
      <c r="I2089" s="1"/>
      <c r="J2089" s="26"/>
      <c r="K2089" s="1"/>
      <c r="L2089" s="26"/>
      <c r="M2089" s="3"/>
    </row>
    <row r="2090" spans="1:13" ht="13" x14ac:dyDescent="0.3">
      <c r="A2090" s="52"/>
      <c r="B2090" s="6"/>
      <c r="C2090" s="1"/>
      <c r="D2090" s="6"/>
      <c r="E2090" s="6"/>
      <c r="F2090" s="1"/>
      <c r="G2090" s="17"/>
      <c r="H2090" s="1"/>
      <c r="I2090" s="1"/>
      <c r="J2090" s="26"/>
      <c r="K2090" s="1"/>
      <c r="L2090" s="26"/>
      <c r="M2090" s="3"/>
    </row>
    <row r="2091" spans="1:13" ht="13" x14ac:dyDescent="0.3">
      <c r="A2091" s="52"/>
      <c r="B2091" s="6"/>
      <c r="C2091" s="1"/>
      <c r="D2091" s="6"/>
      <c r="E2091" s="6"/>
      <c r="F2091" s="1"/>
      <c r="G2091" s="17"/>
      <c r="H2091" s="1"/>
      <c r="I2091" s="1"/>
      <c r="J2091" s="26"/>
      <c r="K2091" s="1"/>
      <c r="L2091" s="26"/>
      <c r="M2091" s="3"/>
    </row>
    <row r="2092" spans="1:13" ht="13" x14ac:dyDescent="0.3">
      <c r="A2092" s="52"/>
      <c r="B2092" s="6"/>
      <c r="C2092" s="1"/>
      <c r="D2092" s="6"/>
      <c r="E2092" s="6"/>
      <c r="F2092" s="1"/>
      <c r="G2092" s="17"/>
      <c r="H2092" s="1"/>
      <c r="I2092" s="1"/>
      <c r="J2092" s="26"/>
      <c r="K2092" s="1"/>
      <c r="L2092" s="26"/>
      <c r="M2092" s="3"/>
    </row>
    <row r="2093" spans="1:13" ht="13" x14ac:dyDescent="0.3">
      <c r="A2093" s="52"/>
      <c r="B2093" s="6"/>
      <c r="C2093" s="1"/>
      <c r="D2093" s="6"/>
      <c r="E2093" s="6"/>
      <c r="F2093" s="1"/>
      <c r="G2093" s="17"/>
      <c r="H2093" s="1"/>
      <c r="I2093" s="1"/>
      <c r="J2093" s="26"/>
      <c r="K2093" s="1"/>
      <c r="L2093" s="26"/>
      <c r="M2093" s="3"/>
    </row>
    <row r="2094" spans="1:13" ht="13" x14ac:dyDescent="0.3">
      <c r="A2094" s="52"/>
      <c r="B2094" s="6"/>
      <c r="C2094" s="1"/>
      <c r="D2094" s="6"/>
      <c r="E2094" s="6"/>
      <c r="F2094" s="1"/>
      <c r="G2094" s="17"/>
      <c r="H2094" s="1"/>
      <c r="I2094" s="1"/>
      <c r="J2094" s="26"/>
      <c r="K2094" s="1"/>
      <c r="L2094" s="26"/>
      <c r="M2094" s="3"/>
    </row>
    <row r="2095" spans="1:13" ht="13" x14ac:dyDescent="0.3">
      <c r="A2095" s="52"/>
      <c r="B2095" s="6"/>
      <c r="C2095" s="1"/>
      <c r="D2095" s="6"/>
      <c r="E2095" s="6"/>
      <c r="F2095" s="1"/>
      <c r="G2095" s="17"/>
      <c r="H2095" s="1"/>
      <c r="I2095" s="1"/>
      <c r="J2095" s="26"/>
      <c r="K2095" s="1"/>
      <c r="L2095" s="26"/>
      <c r="M2095" s="3"/>
    </row>
    <row r="2096" spans="1:13" ht="13" x14ac:dyDescent="0.3">
      <c r="A2096" s="52"/>
      <c r="B2096" s="6"/>
      <c r="C2096" s="1"/>
      <c r="D2096" s="6"/>
      <c r="E2096" s="6"/>
      <c r="F2096" s="1"/>
      <c r="G2096" s="17"/>
      <c r="H2096" s="1"/>
      <c r="I2096" s="1"/>
      <c r="J2096" s="26"/>
      <c r="K2096" s="1"/>
      <c r="L2096" s="26"/>
      <c r="M2096" s="3"/>
    </row>
    <row r="2097" spans="1:13" ht="13" x14ac:dyDescent="0.3">
      <c r="A2097" s="52"/>
      <c r="B2097" s="6"/>
      <c r="C2097" s="1"/>
      <c r="D2097" s="6"/>
      <c r="E2097" s="6"/>
      <c r="F2097" s="1"/>
      <c r="G2097" s="17"/>
      <c r="H2097" s="1"/>
      <c r="I2097" s="1"/>
      <c r="J2097" s="26"/>
      <c r="K2097" s="1"/>
      <c r="L2097" s="26"/>
      <c r="M2097" s="3"/>
    </row>
    <row r="2098" spans="1:13" ht="13" x14ac:dyDescent="0.3">
      <c r="A2098" s="52"/>
      <c r="B2098" s="6"/>
      <c r="C2098" s="1"/>
      <c r="D2098" s="6"/>
      <c r="E2098" s="6"/>
      <c r="F2098" s="1"/>
      <c r="G2098" s="17"/>
      <c r="H2098" s="1"/>
      <c r="I2098" s="1"/>
      <c r="J2098" s="26"/>
      <c r="K2098" s="1"/>
      <c r="L2098" s="26"/>
      <c r="M2098" s="3"/>
    </row>
    <row r="2099" spans="1:13" ht="13" x14ac:dyDescent="0.3">
      <c r="A2099" s="52"/>
      <c r="B2099" s="6"/>
      <c r="C2099" s="1"/>
      <c r="D2099" s="6"/>
      <c r="E2099" s="6"/>
      <c r="F2099" s="1"/>
      <c r="G2099" s="17"/>
      <c r="H2099" s="1"/>
      <c r="I2099" s="1"/>
      <c r="J2099" s="26"/>
      <c r="K2099" s="1"/>
      <c r="L2099" s="26"/>
      <c r="M2099" s="3"/>
    </row>
    <row r="2100" spans="1:13" ht="13" x14ac:dyDescent="0.3">
      <c r="A2100" s="52"/>
      <c r="B2100" s="6"/>
      <c r="C2100" s="1"/>
      <c r="D2100" s="6"/>
      <c r="E2100" s="6"/>
      <c r="F2100" s="1"/>
      <c r="G2100" s="17"/>
      <c r="H2100" s="1"/>
      <c r="I2100" s="1"/>
      <c r="J2100" s="26"/>
      <c r="K2100" s="1"/>
      <c r="L2100" s="26"/>
      <c r="M2100" s="3"/>
    </row>
    <row r="2101" spans="1:13" ht="13" x14ac:dyDescent="0.3">
      <c r="A2101" s="52"/>
      <c r="B2101" s="6"/>
      <c r="C2101" s="1"/>
      <c r="D2101" s="6"/>
      <c r="E2101" s="6"/>
      <c r="F2101" s="1"/>
      <c r="G2101" s="17"/>
      <c r="H2101" s="1"/>
      <c r="I2101" s="1"/>
      <c r="J2101" s="26"/>
      <c r="K2101" s="1"/>
      <c r="L2101" s="26"/>
      <c r="M2101" s="3"/>
    </row>
    <row r="2102" spans="1:13" ht="13" x14ac:dyDescent="0.3">
      <c r="A2102" s="52"/>
      <c r="B2102" s="6"/>
      <c r="C2102" s="1"/>
      <c r="D2102" s="6"/>
      <c r="E2102" s="6"/>
      <c r="F2102" s="1"/>
      <c r="G2102" s="17"/>
      <c r="H2102" s="1"/>
      <c r="I2102" s="1"/>
      <c r="J2102" s="26"/>
      <c r="K2102" s="1"/>
      <c r="L2102" s="26"/>
      <c r="M2102" s="3"/>
    </row>
    <row r="2103" spans="1:13" ht="13" x14ac:dyDescent="0.3">
      <c r="A2103" s="52"/>
      <c r="B2103" s="6"/>
      <c r="C2103" s="1"/>
      <c r="D2103" s="6"/>
      <c r="E2103" s="6"/>
      <c r="F2103" s="1"/>
      <c r="G2103" s="17"/>
      <c r="H2103" s="1"/>
      <c r="I2103" s="1"/>
      <c r="J2103" s="26"/>
      <c r="K2103" s="1"/>
      <c r="L2103" s="26"/>
      <c r="M2103" s="3"/>
    </row>
    <row r="2104" spans="1:13" ht="13" x14ac:dyDescent="0.3">
      <c r="A2104" s="52"/>
      <c r="B2104" s="6"/>
      <c r="C2104" s="1"/>
      <c r="D2104" s="6"/>
      <c r="E2104" s="6"/>
      <c r="F2104" s="1"/>
      <c r="G2104" s="17"/>
      <c r="H2104" s="1"/>
      <c r="I2104" s="1"/>
      <c r="J2104" s="26"/>
      <c r="K2104" s="1"/>
      <c r="L2104" s="26"/>
      <c r="M2104" s="3"/>
    </row>
    <row r="2105" spans="1:13" ht="13" x14ac:dyDescent="0.3">
      <c r="A2105" s="52"/>
      <c r="B2105" s="6"/>
      <c r="C2105" s="1"/>
      <c r="D2105" s="6"/>
      <c r="E2105" s="6"/>
      <c r="F2105" s="1"/>
      <c r="G2105" s="17"/>
      <c r="H2105" s="1"/>
      <c r="I2105" s="1"/>
      <c r="J2105" s="26"/>
      <c r="K2105" s="1"/>
      <c r="L2105" s="26"/>
      <c r="M2105" s="3"/>
    </row>
    <row r="2106" spans="1:13" ht="13" x14ac:dyDescent="0.3">
      <c r="A2106" s="52"/>
      <c r="B2106" s="6"/>
      <c r="C2106" s="1"/>
      <c r="D2106" s="6"/>
      <c r="E2106" s="6"/>
      <c r="F2106" s="1"/>
      <c r="G2106" s="17"/>
      <c r="H2106" s="1"/>
      <c r="I2106" s="1"/>
      <c r="J2106" s="26"/>
      <c r="K2106" s="1"/>
      <c r="L2106" s="26"/>
      <c r="M2106" s="3"/>
    </row>
    <row r="2107" spans="1:13" ht="13" x14ac:dyDescent="0.3">
      <c r="A2107" s="52"/>
      <c r="B2107" s="6"/>
      <c r="C2107" s="1"/>
      <c r="D2107" s="6"/>
      <c r="E2107" s="6"/>
      <c r="F2107" s="1"/>
      <c r="G2107" s="17"/>
      <c r="H2107" s="1"/>
      <c r="I2107" s="1"/>
      <c r="J2107" s="26"/>
      <c r="K2107" s="1"/>
      <c r="L2107" s="26"/>
      <c r="M2107" s="3"/>
    </row>
    <row r="2108" spans="1:13" ht="13" x14ac:dyDescent="0.3">
      <c r="A2108" s="52"/>
      <c r="B2108" s="6"/>
      <c r="C2108" s="1"/>
      <c r="D2108" s="6"/>
      <c r="E2108" s="6"/>
      <c r="F2108" s="1"/>
      <c r="G2108" s="17"/>
      <c r="H2108" s="1"/>
      <c r="I2108" s="1"/>
      <c r="J2108" s="26"/>
      <c r="K2108" s="1"/>
      <c r="L2108" s="26"/>
      <c r="M2108" s="3"/>
    </row>
    <row r="2109" spans="1:13" ht="13" x14ac:dyDescent="0.3">
      <c r="A2109" s="52"/>
      <c r="B2109" s="6"/>
      <c r="C2109" s="1"/>
      <c r="D2109" s="6"/>
      <c r="E2109" s="6"/>
      <c r="F2109" s="1"/>
      <c r="G2109" s="17"/>
      <c r="H2109" s="1"/>
      <c r="I2109" s="1"/>
      <c r="J2109" s="26"/>
      <c r="K2109" s="1"/>
      <c r="L2109" s="26"/>
      <c r="M2109" s="3"/>
    </row>
    <row r="2110" spans="1:13" ht="13" x14ac:dyDescent="0.3">
      <c r="A2110" s="52"/>
      <c r="B2110" s="6"/>
      <c r="C2110" s="1"/>
      <c r="D2110" s="6"/>
      <c r="E2110" s="6"/>
      <c r="F2110" s="1"/>
      <c r="G2110" s="17"/>
      <c r="H2110" s="1"/>
      <c r="I2110" s="1"/>
      <c r="J2110" s="26"/>
      <c r="K2110" s="1"/>
      <c r="L2110" s="26"/>
      <c r="M2110" s="3"/>
    </row>
    <row r="2111" spans="1:13" ht="13" x14ac:dyDescent="0.3">
      <c r="A2111" s="52"/>
      <c r="B2111" s="6"/>
      <c r="C2111" s="1"/>
      <c r="D2111" s="6"/>
      <c r="E2111" s="6"/>
      <c r="F2111" s="1"/>
      <c r="G2111" s="17"/>
      <c r="H2111" s="1"/>
      <c r="I2111" s="1"/>
      <c r="J2111" s="26"/>
      <c r="K2111" s="1"/>
      <c r="L2111" s="26"/>
      <c r="M2111" s="3"/>
    </row>
    <row r="2112" spans="1:13" ht="13" x14ac:dyDescent="0.3">
      <c r="A2112" s="52"/>
      <c r="B2112" s="6"/>
      <c r="C2112" s="1"/>
      <c r="D2112" s="6"/>
      <c r="E2112" s="6"/>
      <c r="F2112" s="1"/>
      <c r="G2112" s="17"/>
      <c r="H2112" s="1"/>
      <c r="I2112" s="1"/>
      <c r="J2112" s="26"/>
      <c r="K2112" s="1"/>
      <c r="L2112" s="26"/>
      <c r="M2112" s="3"/>
    </row>
    <row r="2113" spans="1:13" ht="13" x14ac:dyDescent="0.3">
      <c r="A2113" s="52"/>
      <c r="B2113" s="6"/>
      <c r="C2113" s="1"/>
      <c r="D2113" s="6"/>
      <c r="E2113" s="6"/>
      <c r="F2113" s="1"/>
      <c r="G2113" s="17"/>
      <c r="H2113" s="1"/>
      <c r="I2113" s="1"/>
      <c r="J2113" s="26"/>
      <c r="K2113" s="1"/>
      <c r="L2113" s="26"/>
      <c r="M2113" s="3"/>
    </row>
    <row r="2114" spans="1:13" ht="13" x14ac:dyDescent="0.3">
      <c r="A2114" s="52"/>
      <c r="B2114" s="6"/>
      <c r="C2114" s="1"/>
      <c r="D2114" s="6"/>
      <c r="E2114" s="6"/>
      <c r="F2114" s="1"/>
      <c r="G2114" s="17"/>
      <c r="H2114" s="1"/>
      <c r="I2114" s="1"/>
      <c r="J2114" s="26"/>
      <c r="K2114" s="1"/>
      <c r="L2114" s="26"/>
      <c r="M2114" s="3"/>
    </row>
    <row r="2115" spans="1:13" ht="13" x14ac:dyDescent="0.3">
      <c r="A2115" s="52"/>
      <c r="B2115" s="6"/>
      <c r="C2115" s="1"/>
      <c r="D2115" s="6"/>
      <c r="E2115" s="6"/>
      <c r="F2115" s="1"/>
      <c r="G2115" s="17"/>
      <c r="H2115" s="1"/>
      <c r="I2115" s="1"/>
      <c r="J2115" s="26"/>
      <c r="K2115" s="1"/>
      <c r="L2115" s="26"/>
      <c r="M2115" s="3"/>
    </row>
    <row r="2116" spans="1:13" ht="13" x14ac:dyDescent="0.3">
      <c r="A2116" s="52"/>
      <c r="B2116" s="6"/>
      <c r="C2116" s="1"/>
      <c r="D2116" s="6"/>
      <c r="E2116" s="6"/>
      <c r="F2116" s="1"/>
      <c r="G2116" s="17"/>
      <c r="H2116" s="1"/>
      <c r="I2116" s="1"/>
      <c r="J2116" s="26"/>
      <c r="K2116" s="1"/>
      <c r="L2116" s="26"/>
      <c r="M2116" s="3"/>
    </row>
    <row r="2117" spans="1:13" ht="13" x14ac:dyDescent="0.3">
      <c r="A2117" s="52"/>
      <c r="B2117" s="6"/>
      <c r="C2117" s="1"/>
      <c r="D2117" s="6"/>
      <c r="E2117" s="6"/>
      <c r="F2117" s="1"/>
      <c r="G2117" s="17"/>
      <c r="H2117" s="1"/>
      <c r="I2117" s="1"/>
      <c r="J2117" s="26"/>
      <c r="K2117" s="1"/>
      <c r="L2117" s="26"/>
      <c r="M2117" s="3"/>
    </row>
    <row r="2118" spans="1:13" ht="13" x14ac:dyDescent="0.3">
      <c r="A2118" s="52"/>
      <c r="B2118" s="6"/>
      <c r="C2118" s="1"/>
      <c r="D2118" s="6"/>
      <c r="E2118" s="6"/>
      <c r="F2118" s="1"/>
      <c r="G2118" s="17"/>
      <c r="H2118" s="1"/>
      <c r="I2118" s="1"/>
      <c r="J2118" s="26"/>
      <c r="K2118" s="1"/>
      <c r="L2118" s="26"/>
      <c r="M2118" s="3"/>
    </row>
    <row r="2119" spans="1:13" ht="13" x14ac:dyDescent="0.3">
      <c r="A2119" s="52"/>
      <c r="B2119" s="6"/>
      <c r="C2119" s="1"/>
      <c r="D2119" s="6"/>
      <c r="E2119" s="6"/>
      <c r="F2119" s="1"/>
      <c r="G2119" s="17"/>
      <c r="H2119" s="1"/>
      <c r="I2119" s="1"/>
      <c r="J2119" s="26"/>
      <c r="K2119" s="1"/>
      <c r="L2119" s="26"/>
      <c r="M2119" s="3"/>
    </row>
    <row r="2120" spans="1:13" ht="13" x14ac:dyDescent="0.3">
      <c r="A2120" s="52"/>
      <c r="B2120" s="6"/>
      <c r="C2120" s="1"/>
      <c r="D2120" s="6"/>
      <c r="E2120" s="6"/>
      <c r="F2120" s="1"/>
      <c r="G2120" s="17"/>
      <c r="H2120" s="1"/>
      <c r="I2120" s="1"/>
      <c r="J2120" s="26"/>
      <c r="K2120" s="1"/>
      <c r="L2120" s="26"/>
      <c r="M2120" s="3"/>
    </row>
    <row r="2121" spans="1:13" ht="13" x14ac:dyDescent="0.3">
      <c r="A2121" s="52"/>
      <c r="B2121" s="6"/>
      <c r="C2121" s="1"/>
      <c r="D2121" s="6"/>
      <c r="E2121" s="6"/>
      <c r="F2121" s="1"/>
      <c r="G2121" s="17"/>
      <c r="H2121" s="1"/>
      <c r="I2121" s="1"/>
      <c r="J2121" s="26"/>
      <c r="K2121" s="1"/>
      <c r="L2121" s="26"/>
      <c r="M2121" s="3"/>
    </row>
    <row r="2122" spans="1:13" ht="13" x14ac:dyDescent="0.3">
      <c r="A2122" s="52"/>
      <c r="B2122" s="6"/>
      <c r="C2122" s="1"/>
      <c r="D2122" s="6"/>
      <c r="E2122" s="6"/>
      <c r="F2122" s="1"/>
      <c r="G2122" s="17"/>
      <c r="H2122" s="1"/>
      <c r="I2122" s="1"/>
      <c r="J2122" s="26"/>
      <c r="K2122" s="1"/>
      <c r="L2122" s="26"/>
      <c r="M2122" s="3"/>
    </row>
    <row r="2123" spans="1:13" ht="13" x14ac:dyDescent="0.3">
      <c r="A2123" s="52"/>
      <c r="B2123" s="6"/>
      <c r="C2123" s="1"/>
      <c r="D2123" s="6"/>
      <c r="E2123" s="6"/>
      <c r="F2123" s="1"/>
      <c r="G2123" s="17"/>
      <c r="H2123" s="1"/>
      <c r="I2123" s="1"/>
      <c r="J2123" s="26"/>
      <c r="K2123" s="1"/>
      <c r="L2123" s="26"/>
      <c r="M2123" s="3"/>
    </row>
    <row r="2124" spans="1:13" ht="13" x14ac:dyDescent="0.3">
      <c r="A2124" s="52"/>
      <c r="B2124" s="6"/>
      <c r="C2124" s="1"/>
      <c r="D2124" s="6"/>
      <c r="E2124" s="6"/>
      <c r="F2124" s="1"/>
      <c r="G2124" s="17"/>
      <c r="H2124" s="1"/>
      <c r="I2124" s="1"/>
      <c r="J2124" s="26"/>
      <c r="K2124" s="1"/>
      <c r="L2124" s="26"/>
      <c r="M2124" s="3"/>
    </row>
    <row r="2125" spans="1:13" ht="13" x14ac:dyDescent="0.3">
      <c r="A2125" s="52"/>
      <c r="B2125" s="6"/>
      <c r="C2125" s="1"/>
      <c r="D2125" s="6"/>
      <c r="E2125" s="6"/>
      <c r="F2125" s="1"/>
      <c r="G2125" s="17"/>
      <c r="H2125" s="1"/>
      <c r="I2125" s="1"/>
      <c r="J2125" s="26"/>
      <c r="K2125" s="1"/>
      <c r="L2125" s="26"/>
      <c r="M2125" s="3"/>
    </row>
    <row r="2126" spans="1:13" ht="13" x14ac:dyDescent="0.3">
      <c r="A2126" s="52"/>
      <c r="B2126" s="6"/>
      <c r="C2126" s="1"/>
      <c r="D2126" s="6"/>
      <c r="E2126" s="6"/>
      <c r="F2126" s="1"/>
      <c r="G2126" s="17"/>
      <c r="H2126" s="1"/>
      <c r="I2126" s="1"/>
      <c r="J2126" s="26"/>
      <c r="K2126" s="1"/>
      <c r="L2126" s="26"/>
      <c r="M2126" s="3"/>
    </row>
    <row r="2127" spans="1:13" ht="13" x14ac:dyDescent="0.3">
      <c r="A2127" s="52"/>
      <c r="B2127" s="6"/>
      <c r="C2127" s="1"/>
      <c r="D2127" s="6"/>
      <c r="E2127" s="6"/>
      <c r="F2127" s="1"/>
      <c r="G2127" s="17"/>
      <c r="H2127" s="1"/>
      <c r="I2127" s="1"/>
      <c r="J2127" s="26"/>
      <c r="K2127" s="1"/>
      <c r="L2127" s="26"/>
      <c r="M2127" s="3"/>
    </row>
    <row r="2128" spans="1:13" ht="13" x14ac:dyDescent="0.3">
      <c r="A2128" s="52"/>
      <c r="B2128" s="6"/>
      <c r="C2128" s="1"/>
      <c r="D2128" s="6"/>
      <c r="E2128" s="6"/>
      <c r="F2128" s="1"/>
      <c r="G2128" s="17"/>
      <c r="H2128" s="1"/>
      <c r="I2128" s="1"/>
      <c r="J2128" s="26"/>
      <c r="K2128" s="1"/>
      <c r="L2128" s="26"/>
      <c r="M2128" s="3"/>
    </row>
    <row r="2129" spans="1:13" ht="13" x14ac:dyDescent="0.3">
      <c r="A2129" s="52"/>
      <c r="B2129" s="6"/>
      <c r="C2129" s="1"/>
      <c r="D2129" s="6"/>
      <c r="E2129" s="6"/>
      <c r="F2129" s="1"/>
      <c r="G2129" s="17"/>
      <c r="H2129" s="1"/>
      <c r="I2129" s="1"/>
      <c r="J2129" s="26"/>
      <c r="K2129" s="1"/>
      <c r="L2129" s="26"/>
      <c r="M2129" s="3"/>
    </row>
    <row r="2130" spans="1:13" ht="13" x14ac:dyDescent="0.3">
      <c r="A2130" s="52"/>
      <c r="B2130" s="6"/>
      <c r="C2130" s="1"/>
      <c r="D2130" s="6"/>
      <c r="E2130" s="6"/>
      <c r="F2130" s="1"/>
      <c r="G2130" s="17"/>
      <c r="H2130" s="1"/>
      <c r="I2130" s="1"/>
      <c r="J2130" s="26"/>
      <c r="K2130" s="1"/>
      <c r="L2130" s="26"/>
      <c r="M2130" s="3"/>
    </row>
    <row r="2131" spans="1:13" ht="13" x14ac:dyDescent="0.3">
      <c r="A2131" s="52"/>
      <c r="B2131" s="6"/>
      <c r="C2131" s="1"/>
      <c r="D2131" s="6"/>
      <c r="E2131" s="6"/>
      <c r="F2131" s="1"/>
      <c r="G2131" s="17"/>
      <c r="H2131" s="1"/>
      <c r="I2131" s="1"/>
      <c r="J2131" s="26"/>
      <c r="K2131" s="1"/>
      <c r="L2131" s="26"/>
      <c r="M2131" s="3"/>
    </row>
    <row r="2132" spans="1:13" ht="13" x14ac:dyDescent="0.3">
      <c r="A2132" s="52"/>
      <c r="B2132" s="6"/>
      <c r="C2132" s="1"/>
      <c r="D2132" s="6"/>
      <c r="E2132" s="6"/>
      <c r="F2132" s="1"/>
      <c r="G2132" s="17"/>
      <c r="H2132" s="1"/>
      <c r="I2132" s="1"/>
      <c r="J2132" s="26"/>
      <c r="K2132" s="1"/>
      <c r="L2132" s="26"/>
      <c r="M2132" s="3"/>
    </row>
    <row r="2133" spans="1:13" ht="13" x14ac:dyDescent="0.3">
      <c r="A2133" s="52"/>
      <c r="B2133" s="6"/>
      <c r="C2133" s="1"/>
      <c r="D2133" s="6"/>
      <c r="E2133" s="6"/>
      <c r="F2133" s="1"/>
      <c r="G2133" s="17"/>
      <c r="H2133" s="1"/>
      <c r="I2133" s="1"/>
      <c r="J2133" s="26"/>
      <c r="K2133" s="1"/>
      <c r="L2133" s="26"/>
      <c r="M2133" s="3"/>
    </row>
    <row r="2134" spans="1:13" ht="13" x14ac:dyDescent="0.3">
      <c r="A2134" s="52"/>
      <c r="B2134" s="6"/>
      <c r="C2134" s="1"/>
      <c r="D2134" s="6"/>
      <c r="E2134" s="6"/>
      <c r="F2134" s="1"/>
      <c r="G2134" s="17"/>
      <c r="H2134" s="1"/>
      <c r="I2134" s="1"/>
      <c r="J2134" s="26"/>
      <c r="K2134" s="1"/>
      <c r="L2134" s="26"/>
      <c r="M2134" s="3"/>
    </row>
    <row r="2135" spans="1:13" ht="13" x14ac:dyDescent="0.3">
      <c r="A2135" s="52"/>
      <c r="B2135" s="6"/>
      <c r="C2135" s="1"/>
      <c r="D2135" s="6"/>
      <c r="E2135" s="6"/>
      <c r="F2135" s="1"/>
      <c r="G2135" s="17"/>
      <c r="H2135" s="1"/>
      <c r="I2135" s="1"/>
      <c r="J2135" s="26"/>
      <c r="K2135" s="1"/>
      <c r="L2135" s="26"/>
      <c r="M2135" s="3"/>
    </row>
    <row r="2136" spans="1:13" ht="13" x14ac:dyDescent="0.3">
      <c r="A2136" s="52"/>
      <c r="B2136" s="6"/>
      <c r="C2136" s="1"/>
      <c r="D2136" s="6"/>
      <c r="E2136" s="6"/>
      <c r="F2136" s="1"/>
      <c r="G2136" s="17"/>
      <c r="H2136" s="1"/>
      <c r="I2136" s="1"/>
      <c r="J2136" s="26"/>
      <c r="K2136" s="1"/>
      <c r="L2136" s="26"/>
      <c r="M2136" s="3"/>
    </row>
    <row r="2137" spans="1:13" ht="13" x14ac:dyDescent="0.3">
      <c r="A2137" s="52"/>
      <c r="B2137" s="6"/>
      <c r="C2137" s="1"/>
      <c r="D2137" s="6"/>
      <c r="E2137" s="6"/>
      <c r="F2137" s="1"/>
      <c r="G2137" s="17"/>
      <c r="H2137" s="1"/>
      <c r="I2137" s="1"/>
      <c r="J2137" s="26"/>
      <c r="K2137" s="1"/>
      <c r="L2137" s="26"/>
      <c r="M2137" s="3"/>
    </row>
    <row r="2138" spans="1:13" ht="13" x14ac:dyDescent="0.3">
      <c r="A2138" s="52"/>
      <c r="B2138" s="6"/>
      <c r="C2138" s="1"/>
      <c r="D2138" s="6"/>
      <c r="E2138" s="6"/>
      <c r="F2138" s="1"/>
      <c r="G2138" s="17"/>
      <c r="H2138" s="1"/>
      <c r="I2138" s="1"/>
      <c r="J2138" s="26"/>
      <c r="K2138" s="1"/>
      <c r="L2138" s="26"/>
      <c r="M2138" s="3"/>
    </row>
    <row r="2139" spans="1:13" ht="13" x14ac:dyDescent="0.3">
      <c r="A2139" s="52"/>
      <c r="B2139" s="6"/>
      <c r="C2139" s="1"/>
      <c r="D2139" s="6"/>
      <c r="E2139" s="6"/>
      <c r="F2139" s="1"/>
      <c r="G2139" s="17"/>
      <c r="H2139" s="1"/>
      <c r="I2139" s="1"/>
      <c r="J2139" s="26"/>
      <c r="K2139" s="1"/>
      <c r="L2139" s="26"/>
      <c r="M2139" s="3"/>
    </row>
    <row r="2140" spans="1:13" ht="13" x14ac:dyDescent="0.3">
      <c r="A2140" s="52"/>
      <c r="B2140" s="6"/>
      <c r="C2140" s="1"/>
      <c r="D2140" s="6"/>
      <c r="E2140" s="6"/>
      <c r="F2140" s="1"/>
      <c r="G2140" s="17"/>
      <c r="H2140" s="1"/>
      <c r="I2140" s="1"/>
      <c r="J2140" s="26"/>
      <c r="K2140" s="1"/>
      <c r="L2140" s="26"/>
      <c r="M2140" s="3"/>
    </row>
    <row r="2141" spans="1:13" ht="13" x14ac:dyDescent="0.3">
      <c r="A2141" s="52"/>
      <c r="B2141" s="6"/>
      <c r="C2141" s="1"/>
      <c r="D2141" s="6"/>
      <c r="E2141" s="6"/>
      <c r="F2141" s="1"/>
      <c r="G2141" s="17"/>
      <c r="H2141" s="1"/>
      <c r="I2141" s="1"/>
      <c r="J2141" s="26"/>
      <c r="K2141" s="1"/>
      <c r="L2141" s="26"/>
      <c r="M2141" s="3"/>
    </row>
    <row r="2142" spans="1:13" ht="13" x14ac:dyDescent="0.3">
      <c r="A2142" s="52"/>
      <c r="B2142" s="6"/>
      <c r="C2142" s="1"/>
      <c r="D2142" s="6"/>
      <c r="E2142" s="6"/>
      <c r="F2142" s="1"/>
      <c r="G2142" s="17"/>
      <c r="H2142" s="1"/>
      <c r="I2142" s="1"/>
      <c r="J2142" s="26"/>
      <c r="K2142" s="1"/>
      <c r="L2142" s="26"/>
      <c r="M2142" s="3"/>
    </row>
    <row r="2143" spans="1:13" ht="13" x14ac:dyDescent="0.3">
      <c r="A2143" s="52"/>
      <c r="B2143" s="6"/>
      <c r="C2143" s="1"/>
      <c r="D2143" s="6"/>
      <c r="E2143" s="6"/>
      <c r="F2143" s="1"/>
      <c r="G2143" s="17"/>
      <c r="H2143" s="1"/>
      <c r="I2143" s="1"/>
      <c r="J2143" s="26"/>
      <c r="K2143" s="1"/>
      <c r="L2143" s="26"/>
      <c r="M2143" s="3"/>
    </row>
    <row r="2144" spans="1:13" ht="13" x14ac:dyDescent="0.3">
      <c r="A2144" s="52"/>
      <c r="B2144" s="6"/>
      <c r="C2144" s="1"/>
      <c r="D2144" s="6"/>
      <c r="E2144" s="6"/>
      <c r="F2144" s="1"/>
      <c r="G2144" s="17"/>
      <c r="H2144" s="1"/>
      <c r="I2144" s="1"/>
      <c r="J2144" s="26"/>
      <c r="K2144" s="1"/>
      <c r="L2144" s="26"/>
      <c r="M2144" s="3"/>
    </row>
    <row r="2145" spans="1:13" ht="13" x14ac:dyDescent="0.3">
      <c r="A2145" s="52"/>
      <c r="B2145" s="6"/>
      <c r="C2145" s="1"/>
      <c r="D2145" s="6"/>
      <c r="E2145" s="6"/>
      <c r="F2145" s="1"/>
      <c r="G2145" s="17"/>
      <c r="H2145" s="1"/>
      <c r="I2145" s="1"/>
      <c r="J2145" s="26"/>
      <c r="K2145" s="1"/>
      <c r="L2145" s="26"/>
      <c r="M2145" s="3"/>
    </row>
    <row r="2146" spans="1:13" ht="13" x14ac:dyDescent="0.3">
      <c r="A2146" s="52"/>
      <c r="B2146" s="6"/>
      <c r="C2146" s="1"/>
      <c r="D2146" s="6"/>
      <c r="E2146" s="6"/>
      <c r="F2146" s="1"/>
      <c r="G2146" s="17"/>
      <c r="H2146" s="1"/>
      <c r="I2146" s="1"/>
      <c r="J2146" s="26"/>
      <c r="K2146" s="1"/>
      <c r="L2146" s="26"/>
      <c r="M2146" s="3"/>
    </row>
    <row r="2147" spans="1:13" ht="13" x14ac:dyDescent="0.3">
      <c r="A2147" s="52"/>
      <c r="B2147" s="6"/>
      <c r="C2147" s="1"/>
      <c r="D2147" s="6"/>
      <c r="E2147" s="6"/>
      <c r="F2147" s="1"/>
      <c r="G2147" s="17"/>
      <c r="H2147" s="1"/>
      <c r="I2147" s="1"/>
      <c r="J2147" s="26"/>
      <c r="K2147" s="1"/>
      <c r="L2147" s="26"/>
      <c r="M2147" s="3"/>
    </row>
    <row r="2148" spans="1:13" ht="13" x14ac:dyDescent="0.3">
      <c r="A2148" s="52"/>
      <c r="B2148" s="6"/>
      <c r="C2148" s="1"/>
      <c r="D2148" s="6"/>
      <c r="E2148" s="6"/>
      <c r="F2148" s="1"/>
      <c r="G2148" s="17"/>
      <c r="H2148" s="1"/>
      <c r="I2148" s="1"/>
      <c r="J2148" s="26"/>
      <c r="K2148" s="1"/>
      <c r="L2148" s="26"/>
      <c r="M2148" s="3"/>
    </row>
    <row r="2149" spans="1:13" ht="13" x14ac:dyDescent="0.3">
      <c r="A2149" s="52"/>
      <c r="B2149" s="6"/>
      <c r="C2149" s="1"/>
      <c r="D2149" s="6"/>
      <c r="E2149" s="6"/>
      <c r="F2149" s="1"/>
      <c r="G2149" s="17"/>
      <c r="H2149" s="1"/>
      <c r="I2149" s="1"/>
      <c r="J2149" s="26"/>
      <c r="K2149" s="1"/>
      <c r="L2149" s="26"/>
      <c r="M2149" s="3"/>
    </row>
    <row r="2150" spans="1:13" ht="13" x14ac:dyDescent="0.3">
      <c r="A2150" s="52"/>
      <c r="B2150" s="6"/>
      <c r="C2150" s="1"/>
      <c r="D2150" s="6"/>
      <c r="E2150" s="6"/>
      <c r="F2150" s="1"/>
      <c r="G2150" s="17"/>
      <c r="H2150" s="1"/>
      <c r="I2150" s="1"/>
      <c r="J2150" s="26"/>
      <c r="K2150" s="1"/>
      <c r="L2150" s="26"/>
      <c r="M2150" s="3"/>
    </row>
    <row r="2151" spans="1:13" ht="13" x14ac:dyDescent="0.3">
      <c r="A2151" s="52"/>
      <c r="B2151" s="6"/>
      <c r="C2151" s="1"/>
      <c r="D2151" s="6"/>
      <c r="E2151" s="6"/>
      <c r="F2151" s="1"/>
      <c r="G2151" s="17"/>
      <c r="H2151" s="1"/>
      <c r="I2151" s="1"/>
      <c r="J2151" s="26"/>
      <c r="K2151" s="1"/>
      <c r="L2151" s="26"/>
      <c r="M2151" s="3"/>
    </row>
    <row r="2152" spans="1:13" ht="13" x14ac:dyDescent="0.3">
      <c r="A2152" s="52"/>
      <c r="B2152" s="6"/>
      <c r="C2152" s="1"/>
      <c r="D2152" s="6"/>
      <c r="E2152" s="6"/>
      <c r="F2152" s="1"/>
      <c r="G2152" s="17"/>
      <c r="H2152" s="1"/>
      <c r="I2152" s="1"/>
      <c r="J2152" s="26"/>
      <c r="K2152" s="1"/>
      <c r="L2152" s="26"/>
      <c r="M2152" s="3"/>
    </row>
    <row r="2153" spans="1:13" ht="13" x14ac:dyDescent="0.3">
      <c r="A2153" s="52"/>
      <c r="B2153" s="6"/>
      <c r="C2153" s="1"/>
      <c r="D2153" s="6"/>
      <c r="E2153" s="6"/>
      <c r="F2153" s="1"/>
      <c r="G2153" s="17"/>
      <c r="H2153" s="1"/>
      <c r="I2153" s="1"/>
      <c r="J2153" s="26"/>
      <c r="K2153" s="1"/>
      <c r="L2153" s="26"/>
      <c r="M2153" s="3"/>
    </row>
    <row r="2154" spans="1:13" ht="13" x14ac:dyDescent="0.3">
      <c r="A2154" s="52"/>
      <c r="B2154" s="6"/>
      <c r="C2154" s="1"/>
      <c r="D2154" s="6"/>
      <c r="E2154" s="6"/>
      <c r="F2154" s="1"/>
      <c r="G2154" s="17"/>
      <c r="H2154" s="1"/>
      <c r="I2154" s="1"/>
      <c r="J2154" s="26"/>
      <c r="K2154" s="1"/>
      <c r="L2154" s="26"/>
      <c r="M2154" s="3"/>
    </row>
    <row r="2155" spans="1:13" ht="13" x14ac:dyDescent="0.3">
      <c r="A2155" s="52"/>
      <c r="B2155" s="6"/>
      <c r="C2155" s="1"/>
      <c r="D2155" s="6"/>
      <c r="E2155" s="6"/>
      <c r="F2155" s="1"/>
      <c r="G2155" s="17"/>
      <c r="H2155" s="1"/>
      <c r="I2155" s="1"/>
      <c r="J2155" s="26"/>
      <c r="K2155" s="1"/>
      <c r="L2155" s="26"/>
      <c r="M2155" s="3"/>
    </row>
    <row r="2156" spans="1:13" ht="13" x14ac:dyDescent="0.3">
      <c r="A2156" s="52"/>
      <c r="B2156" s="6"/>
      <c r="C2156" s="1"/>
      <c r="D2156" s="6"/>
      <c r="E2156" s="6"/>
      <c r="F2156" s="1"/>
      <c r="G2156" s="17"/>
      <c r="H2156" s="1"/>
      <c r="I2156" s="1"/>
      <c r="J2156" s="26"/>
      <c r="K2156" s="1"/>
      <c r="L2156" s="26"/>
      <c r="M2156" s="3"/>
    </row>
    <row r="2157" spans="1:13" ht="13" x14ac:dyDescent="0.3">
      <c r="A2157" s="52"/>
      <c r="B2157" s="6"/>
      <c r="C2157" s="1"/>
      <c r="D2157" s="6"/>
      <c r="E2157" s="6"/>
      <c r="F2157" s="1"/>
      <c r="G2157" s="17"/>
      <c r="H2157" s="1"/>
      <c r="I2157" s="1"/>
      <c r="J2157" s="26"/>
      <c r="K2157" s="1"/>
      <c r="L2157" s="26"/>
      <c r="M2157" s="3"/>
    </row>
    <row r="2158" spans="1:13" ht="13" x14ac:dyDescent="0.3">
      <c r="A2158" s="52"/>
      <c r="B2158" s="6"/>
      <c r="C2158" s="1"/>
      <c r="D2158" s="6"/>
      <c r="E2158" s="6"/>
      <c r="F2158" s="1"/>
      <c r="G2158" s="17"/>
      <c r="H2158" s="1"/>
      <c r="I2158" s="1"/>
      <c r="J2158" s="26"/>
      <c r="K2158" s="1"/>
      <c r="L2158" s="26"/>
      <c r="M2158" s="3"/>
    </row>
    <row r="2159" spans="1:13" ht="13" x14ac:dyDescent="0.3">
      <c r="A2159" s="52"/>
      <c r="B2159" s="6"/>
      <c r="C2159" s="1"/>
      <c r="D2159" s="6"/>
      <c r="E2159" s="6"/>
      <c r="F2159" s="1"/>
      <c r="G2159" s="17"/>
      <c r="H2159" s="1"/>
      <c r="I2159" s="1"/>
      <c r="J2159" s="26"/>
      <c r="K2159" s="1"/>
      <c r="L2159" s="26"/>
      <c r="M2159" s="3"/>
    </row>
    <row r="2160" spans="1:13" ht="13" x14ac:dyDescent="0.3">
      <c r="A2160" s="52"/>
      <c r="B2160" s="6"/>
      <c r="C2160" s="1"/>
      <c r="D2160" s="6"/>
      <c r="E2160" s="6"/>
      <c r="F2160" s="1"/>
      <c r="G2160" s="17"/>
      <c r="H2160" s="1"/>
      <c r="I2160" s="1"/>
      <c r="J2160" s="26"/>
      <c r="K2160" s="1"/>
      <c r="L2160" s="26"/>
      <c r="M2160" s="3"/>
    </row>
    <row r="2161" spans="1:13" ht="13" x14ac:dyDescent="0.3">
      <c r="A2161" s="52"/>
      <c r="B2161" s="6"/>
      <c r="C2161" s="1"/>
      <c r="D2161" s="6"/>
      <c r="E2161" s="6"/>
      <c r="F2161" s="1"/>
      <c r="G2161" s="17"/>
      <c r="H2161" s="1"/>
      <c r="I2161" s="1"/>
      <c r="J2161" s="26"/>
      <c r="K2161" s="1"/>
      <c r="L2161" s="26"/>
      <c r="M2161" s="3"/>
    </row>
    <row r="2162" spans="1:13" ht="13" x14ac:dyDescent="0.3">
      <c r="A2162" s="52"/>
      <c r="B2162" s="6"/>
      <c r="C2162" s="1"/>
      <c r="D2162" s="6"/>
      <c r="E2162" s="6"/>
      <c r="F2162" s="1"/>
      <c r="G2162" s="17"/>
      <c r="H2162" s="1"/>
      <c r="I2162" s="1"/>
      <c r="J2162" s="26"/>
      <c r="K2162" s="1"/>
      <c r="L2162" s="26"/>
      <c r="M2162" s="3"/>
    </row>
    <row r="2163" spans="1:13" ht="13" x14ac:dyDescent="0.3">
      <c r="A2163" s="52"/>
      <c r="B2163" s="6"/>
      <c r="C2163" s="1"/>
      <c r="D2163" s="6"/>
      <c r="E2163" s="6"/>
      <c r="F2163" s="1"/>
      <c r="G2163" s="17"/>
      <c r="H2163" s="1"/>
      <c r="I2163" s="1"/>
      <c r="J2163" s="26"/>
      <c r="K2163" s="1"/>
      <c r="L2163" s="26"/>
      <c r="M2163" s="3"/>
    </row>
    <row r="2164" spans="1:13" ht="13" x14ac:dyDescent="0.3">
      <c r="A2164" s="52"/>
      <c r="B2164" s="6"/>
      <c r="C2164" s="1"/>
      <c r="D2164" s="6"/>
      <c r="E2164" s="6"/>
      <c r="F2164" s="1"/>
      <c r="G2164" s="17"/>
      <c r="H2164" s="1"/>
      <c r="I2164" s="1"/>
      <c r="J2164" s="26"/>
      <c r="K2164" s="1"/>
      <c r="L2164" s="26"/>
      <c r="M2164" s="3"/>
    </row>
    <row r="2165" spans="1:13" ht="13" x14ac:dyDescent="0.3">
      <c r="A2165" s="52"/>
      <c r="B2165" s="6"/>
      <c r="C2165" s="1"/>
      <c r="D2165" s="6"/>
      <c r="E2165" s="6"/>
      <c r="F2165" s="1"/>
      <c r="G2165" s="17"/>
      <c r="H2165" s="1"/>
      <c r="I2165" s="1"/>
      <c r="J2165" s="26"/>
      <c r="K2165" s="1"/>
      <c r="L2165" s="26"/>
      <c r="M2165" s="3"/>
    </row>
    <row r="2166" spans="1:13" ht="13" x14ac:dyDescent="0.3">
      <c r="A2166" s="52"/>
      <c r="B2166" s="6"/>
      <c r="C2166" s="1"/>
      <c r="D2166" s="6"/>
      <c r="E2166" s="6"/>
      <c r="F2166" s="1"/>
      <c r="G2166" s="17"/>
      <c r="H2166" s="1"/>
      <c r="I2166" s="1"/>
      <c r="J2166" s="26"/>
      <c r="K2166" s="1"/>
      <c r="L2166" s="26"/>
      <c r="M2166" s="3"/>
    </row>
    <row r="2167" spans="1:13" ht="13" x14ac:dyDescent="0.3">
      <c r="A2167" s="52"/>
      <c r="B2167" s="6"/>
      <c r="C2167" s="1"/>
      <c r="D2167" s="6"/>
      <c r="E2167" s="6"/>
      <c r="F2167" s="1"/>
      <c r="G2167" s="17"/>
      <c r="H2167" s="1"/>
      <c r="I2167" s="1"/>
      <c r="J2167" s="26"/>
      <c r="K2167" s="1"/>
      <c r="L2167" s="26"/>
      <c r="M2167" s="3"/>
    </row>
    <row r="2168" spans="1:13" ht="13" x14ac:dyDescent="0.3">
      <c r="A2168" s="52"/>
      <c r="B2168" s="6"/>
      <c r="C2168" s="1"/>
      <c r="D2168" s="6"/>
      <c r="E2168" s="6"/>
      <c r="F2168" s="1"/>
      <c r="G2168" s="17"/>
      <c r="H2168" s="1"/>
      <c r="I2168" s="1"/>
      <c r="J2168" s="26"/>
      <c r="K2168" s="1"/>
      <c r="L2168" s="26"/>
      <c r="M2168" s="3"/>
    </row>
    <row r="2169" spans="1:13" ht="13" x14ac:dyDescent="0.3">
      <c r="A2169" s="52"/>
      <c r="B2169" s="6"/>
      <c r="C2169" s="1"/>
      <c r="D2169" s="6"/>
      <c r="E2169" s="6"/>
      <c r="F2169" s="1"/>
      <c r="G2169" s="17"/>
      <c r="H2169" s="1"/>
      <c r="I2169" s="1"/>
      <c r="J2169" s="26"/>
      <c r="K2169" s="1"/>
      <c r="L2169" s="26"/>
      <c r="M2169" s="3"/>
    </row>
    <row r="2170" spans="1:13" ht="13" x14ac:dyDescent="0.3">
      <c r="A2170" s="52"/>
      <c r="B2170" s="6"/>
      <c r="C2170" s="1"/>
      <c r="D2170" s="6"/>
      <c r="E2170" s="6"/>
      <c r="F2170" s="1"/>
      <c r="G2170" s="17"/>
      <c r="H2170" s="1"/>
      <c r="I2170" s="1"/>
      <c r="J2170" s="26"/>
      <c r="K2170" s="1"/>
      <c r="L2170" s="26"/>
      <c r="M2170" s="3"/>
    </row>
    <row r="2171" spans="1:13" ht="13" x14ac:dyDescent="0.3">
      <c r="A2171" s="52"/>
      <c r="B2171" s="6"/>
      <c r="C2171" s="1"/>
      <c r="D2171" s="6"/>
      <c r="E2171" s="6"/>
      <c r="F2171" s="1"/>
      <c r="G2171" s="17"/>
      <c r="H2171" s="1"/>
      <c r="I2171" s="1"/>
      <c r="J2171" s="26"/>
      <c r="K2171" s="1"/>
      <c r="L2171" s="26"/>
      <c r="M2171" s="3"/>
    </row>
    <row r="2172" spans="1:13" ht="13" x14ac:dyDescent="0.3">
      <c r="A2172" s="52"/>
      <c r="B2172" s="6"/>
      <c r="C2172" s="1"/>
      <c r="D2172" s="6"/>
      <c r="E2172" s="6"/>
      <c r="F2172" s="1"/>
      <c r="G2172" s="17"/>
      <c r="H2172" s="1"/>
      <c r="I2172" s="1"/>
      <c r="J2172" s="26"/>
      <c r="K2172" s="1"/>
      <c r="L2172" s="26"/>
      <c r="M2172" s="3"/>
    </row>
    <row r="2173" spans="1:13" ht="13" x14ac:dyDescent="0.3">
      <c r="A2173" s="52"/>
      <c r="B2173" s="6"/>
      <c r="C2173" s="1"/>
      <c r="D2173" s="6"/>
      <c r="E2173" s="6"/>
      <c r="F2173" s="1"/>
      <c r="G2173" s="17"/>
      <c r="H2173" s="1"/>
      <c r="I2173" s="1"/>
      <c r="J2173" s="26"/>
      <c r="K2173" s="1"/>
      <c r="L2173" s="26"/>
      <c r="M2173" s="3"/>
    </row>
    <row r="2174" spans="1:13" ht="13" x14ac:dyDescent="0.3">
      <c r="A2174" s="52"/>
      <c r="B2174" s="6"/>
      <c r="C2174" s="1"/>
      <c r="D2174" s="6"/>
      <c r="E2174" s="6"/>
      <c r="F2174" s="1"/>
      <c r="G2174" s="17"/>
      <c r="H2174" s="1"/>
      <c r="I2174" s="1"/>
      <c r="J2174" s="26"/>
      <c r="K2174" s="1"/>
      <c r="L2174" s="26"/>
      <c r="M2174" s="3"/>
    </row>
    <row r="2175" spans="1:13" ht="13" x14ac:dyDescent="0.3">
      <c r="A2175" s="52"/>
      <c r="B2175" s="6"/>
      <c r="C2175" s="1"/>
      <c r="D2175" s="6"/>
      <c r="E2175" s="6"/>
      <c r="F2175" s="1"/>
      <c r="G2175" s="17"/>
      <c r="H2175" s="1"/>
      <c r="I2175" s="1"/>
      <c r="J2175" s="26"/>
      <c r="K2175" s="1"/>
      <c r="L2175" s="26"/>
      <c r="M2175" s="3"/>
    </row>
    <row r="2176" spans="1:13" ht="13" x14ac:dyDescent="0.3">
      <c r="A2176" s="52"/>
      <c r="B2176" s="6"/>
      <c r="C2176" s="1"/>
      <c r="D2176" s="6"/>
      <c r="E2176" s="6"/>
      <c r="F2176" s="1"/>
      <c r="G2176" s="17"/>
      <c r="H2176" s="1"/>
      <c r="I2176" s="1"/>
      <c r="J2176" s="26"/>
      <c r="K2176" s="1"/>
      <c r="L2176" s="26"/>
      <c r="M2176" s="3"/>
    </row>
    <row r="2177" spans="1:13" ht="13" x14ac:dyDescent="0.3">
      <c r="A2177" s="52"/>
      <c r="B2177" s="6"/>
      <c r="C2177" s="1"/>
      <c r="D2177" s="6"/>
      <c r="E2177" s="6"/>
      <c r="F2177" s="1"/>
      <c r="G2177" s="17"/>
      <c r="H2177" s="1"/>
      <c r="I2177" s="1"/>
      <c r="J2177" s="26"/>
      <c r="K2177" s="1"/>
      <c r="L2177" s="26"/>
      <c r="M2177" s="3"/>
    </row>
    <row r="2178" spans="1:13" ht="13" x14ac:dyDescent="0.3">
      <c r="A2178" s="52"/>
      <c r="B2178" s="6"/>
      <c r="C2178" s="1"/>
      <c r="D2178" s="6"/>
      <c r="E2178" s="6"/>
      <c r="F2178" s="1"/>
      <c r="G2178" s="17"/>
      <c r="H2178" s="1"/>
      <c r="I2178" s="1"/>
      <c r="J2178" s="26"/>
      <c r="K2178" s="1"/>
      <c r="L2178" s="26"/>
      <c r="M2178" s="3"/>
    </row>
    <row r="2179" spans="1:13" ht="13" x14ac:dyDescent="0.3">
      <c r="A2179" s="52"/>
      <c r="B2179" s="6"/>
      <c r="C2179" s="1"/>
      <c r="D2179" s="6"/>
      <c r="E2179" s="6"/>
      <c r="F2179" s="1"/>
      <c r="G2179" s="17"/>
      <c r="H2179" s="1"/>
      <c r="I2179" s="1"/>
      <c r="J2179" s="26"/>
      <c r="K2179" s="1"/>
      <c r="L2179" s="26"/>
      <c r="M2179" s="3"/>
    </row>
    <row r="2180" spans="1:13" ht="13" x14ac:dyDescent="0.3">
      <c r="A2180" s="52"/>
      <c r="B2180" s="6"/>
      <c r="C2180" s="1"/>
      <c r="D2180" s="6"/>
      <c r="E2180" s="6"/>
      <c r="F2180" s="1"/>
      <c r="G2180" s="17"/>
      <c r="H2180" s="1"/>
      <c r="I2180" s="1"/>
      <c r="J2180" s="26"/>
      <c r="K2180" s="1"/>
      <c r="L2180" s="26"/>
      <c r="M2180" s="3"/>
    </row>
    <row r="2181" spans="1:13" ht="13" x14ac:dyDescent="0.3">
      <c r="A2181" s="52"/>
      <c r="B2181" s="6"/>
      <c r="C2181" s="1"/>
      <c r="D2181" s="6"/>
      <c r="E2181" s="6"/>
      <c r="F2181" s="1"/>
      <c r="G2181" s="17"/>
      <c r="H2181" s="1"/>
      <c r="I2181" s="1"/>
      <c r="J2181" s="26"/>
      <c r="K2181" s="1"/>
      <c r="L2181" s="26"/>
      <c r="M2181" s="3"/>
    </row>
    <row r="2182" spans="1:13" ht="13" x14ac:dyDescent="0.3">
      <c r="A2182" s="52"/>
      <c r="B2182" s="6"/>
      <c r="C2182" s="1"/>
      <c r="D2182" s="6"/>
      <c r="E2182" s="6"/>
      <c r="F2182" s="1"/>
      <c r="G2182" s="17"/>
      <c r="H2182" s="1"/>
      <c r="I2182" s="1"/>
      <c r="J2182" s="26"/>
      <c r="K2182" s="1"/>
      <c r="L2182" s="26"/>
      <c r="M2182" s="3"/>
    </row>
    <row r="2183" spans="1:13" ht="13" x14ac:dyDescent="0.3">
      <c r="A2183" s="52"/>
      <c r="B2183" s="6"/>
      <c r="C2183" s="1"/>
      <c r="D2183" s="6"/>
      <c r="E2183" s="6"/>
      <c r="F2183" s="1"/>
      <c r="G2183" s="17"/>
      <c r="H2183" s="1"/>
      <c r="I2183" s="1"/>
      <c r="J2183" s="26"/>
      <c r="K2183" s="1"/>
      <c r="L2183" s="26"/>
      <c r="M2183" s="3"/>
    </row>
    <row r="2184" spans="1:13" ht="13" x14ac:dyDescent="0.3">
      <c r="A2184" s="52"/>
      <c r="B2184" s="6"/>
      <c r="C2184" s="1"/>
      <c r="D2184" s="6"/>
      <c r="E2184" s="6"/>
      <c r="F2184" s="1"/>
      <c r="G2184" s="17"/>
      <c r="H2184" s="1"/>
      <c r="I2184" s="1"/>
      <c r="J2184" s="26"/>
      <c r="K2184" s="1"/>
      <c r="L2184" s="26"/>
      <c r="M2184" s="3"/>
    </row>
    <row r="2185" spans="1:13" ht="13" x14ac:dyDescent="0.3">
      <c r="A2185" s="52"/>
      <c r="B2185" s="6"/>
      <c r="C2185" s="1"/>
      <c r="D2185" s="6"/>
      <c r="E2185" s="6"/>
      <c r="F2185" s="1"/>
      <c r="G2185" s="17"/>
      <c r="H2185" s="1"/>
      <c r="I2185" s="1"/>
      <c r="J2185" s="26"/>
      <c r="K2185" s="1"/>
      <c r="L2185" s="26"/>
      <c r="M2185" s="3"/>
    </row>
    <row r="2186" spans="1:13" ht="13" x14ac:dyDescent="0.3">
      <c r="A2186" s="52"/>
      <c r="B2186" s="6"/>
      <c r="C2186" s="1"/>
      <c r="D2186" s="6"/>
      <c r="E2186" s="6"/>
      <c r="F2186" s="1"/>
      <c r="G2186" s="17"/>
      <c r="H2186" s="1"/>
      <c r="I2186" s="1"/>
      <c r="J2186" s="26"/>
      <c r="K2186" s="1"/>
      <c r="L2186" s="26"/>
      <c r="M2186" s="3"/>
    </row>
    <row r="2187" spans="1:13" ht="13" x14ac:dyDescent="0.3">
      <c r="A2187" s="52"/>
      <c r="B2187" s="6"/>
      <c r="C2187" s="1"/>
      <c r="D2187" s="6"/>
      <c r="E2187" s="6"/>
      <c r="F2187" s="1"/>
      <c r="G2187" s="17"/>
      <c r="H2187" s="1"/>
      <c r="I2187" s="1"/>
      <c r="J2187" s="26"/>
      <c r="K2187" s="1"/>
      <c r="L2187" s="26"/>
      <c r="M2187" s="3"/>
    </row>
    <row r="2188" spans="1:13" ht="13" x14ac:dyDescent="0.3">
      <c r="A2188" s="52"/>
      <c r="B2188" s="6"/>
      <c r="C2188" s="1"/>
      <c r="D2188" s="6"/>
      <c r="E2188" s="6"/>
      <c r="F2188" s="1"/>
      <c r="G2188" s="17"/>
      <c r="H2188" s="1"/>
      <c r="I2188" s="1"/>
      <c r="J2188" s="26"/>
      <c r="K2188" s="1"/>
      <c r="L2188" s="26"/>
      <c r="M2188" s="3"/>
    </row>
    <row r="2189" spans="1:13" ht="13" x14ac:dyDescent="0.3">
      <c r="A2189" s="52"/>
      <c r="B2189" s="6"/>
      <c r="C2189" s="1"/>
      <c r="D2189" s="6"/>
      <c r="E2189" s="6"/>
      <c r="F2189" s="1"/>
      <c r="G2189" s="17"/>
      <c r="H2189" s="1"/>
      <c r="I2189" s="1"/>
      <c r="J2189" s="26"/>
      <c r="K2189" s="1"/>
      <c r="L2189" s="26"/>
      <c r="M2189" s="3"/>
    </row>
    <row r="2190" spans="1:13" ht="13" x14ac:dyDescent="0.3">
      <c r="A2190" s="52"/>
      <c r="B2190" s="6"/>
      <c r="C2190" s="1"/>
      <c r="D2190" s="6"/>
      <c r="E2190" s="6"/>
      <c r="F2190" s="1"/>
      <c r="G2190" s="17"/>
      <c r="H2190" s="1"/>
      <c r="I2190" s="1"/>
      <c r="J2190" s="26"/>
      <c r="K2190" s="1"/>
      <c r="L2190" s="26"/>
      <c r="M2190" s="3"/>
    </row>
    <row r="2191" spans="1:13" ht="13" x14ac:dyDescent="0.3">
      <c r="A2191" s="52"/>
      <c r="B2191" s="6"/>
      <c r="C2191" s="1"/>
      <c r="D2191" s="6"/>
      <c r="E2191" s="6"/>
      <c r="F2191" s="1"/>
      <c r="G2191" s="17"/>
      <c r="H2191" s="1"/>
      <c r="I2191" s="1"/>
      <c r="J2191" s="26"/>
      <c r="K2191" s="1"/>
      <c r="L2191" s="26"/>
      <c r="M2191" s="3"/>
    </row>
    <row r="2192" spans="1:13" ht="13" x14ac:dyDescent="0.3">
      <c r="A2192" s="52"/>
      <c r="B2192" s="6"/>
      <c r="C2192" s="1"/>
      <c r="D2192" s="6"/>
      <c r="E2192" s="6"/>
      <c r="F2192" s="1"/>
      <c r="G2192" s="17"/>
      <c r="H2192" s="1"/>
      <c r="I2192" s="1"/>
      <c r="J2192" s="26"/>
      <c r="K2192" s="1"/>
      <c r="L2192" s="26"/>
      <c r="M2192" s="3"/>
    </row>
    <row r="2193" spans="1:13" ht="13" x14ac:dyDescent="0.3">
      <c r="A2193" s="52"/>
      <c r="B2193" s="6"/>
      <c r="C2193" s="1"/>
      <c r="D2193" s="6"/>
      <c r="E2193" s="6"/>
      <c r="F2193" s="1"/>
      <c r="G2193" s="17"/>
      <c r="H2193" s="1"/>
      <c r="I2193" s="1"/>
      <c r="J2193" s="26"/>
      <c r="K2193" s="1"/>
      <c r="L2193" s="26"/>
      <c r="M2193" s="3"/>
    </row>
    <row r="2194" spans="1:13" ht="13" x14ac:dyDescent="0.3">
      <c r="A2194" s="52"/>
      <c r="B2194" s="6"/>
      <c r="C2194" s="1"/>
      <c r="D2194" s="6"/>
      <c r="E2194" s="6"/>
      <c r="F2194" s="1"/>
      <c r="G2194" s="17"/>
      <c r="H2194" s="1"/>
      <c r="I2194" s="1"/>
      <c r="J2194" s="26"/>
      <c r="K2194" s="1"/>
      <c r="L2194" s="26"/>
      <c r="M2194" s="3"/>
    </row>
    <row r="2195" spans="1:13" ht="13" x14ac:dyDescent="0.3">
      <c r="A2195" s="52"/>
      <c r="B2195" s="6"/>
      <c r="C2195" s="1"/>
      <c r="D2195" s="6"/>
      <c r="E2195" s="6"/>
      <c r="F2195" s="1"/>
      <c r="G2195" s="17"/>
      <c r="H2195" s="1"/>
      <c r="I2195" s="1"/>
      <c r="J2195" s="26"/>
      <c r="K2195" s="1"/>
      <c r="L2195" s="26"/>
      <c r="M2195" s="3"/>
    </row>
    <row r="2196" spans="1:13" ht="13" x14ac:dyDescent="0.3">
      <c r="A2196" s="52"/>
      <c r="B2196" s="6"/>
      <c r="C2196" s="1"/>
      <c r="D2196" s="6"/>
      <c r="E2196" s="6"/>
      <c r="F2196" s="1"/>
      <c r="G2196" s="17"/>
      <c r="H2196" s="1"/>
      <c r="I2196" s="1"/>
      <c r="J2196" s="26"/>
      <c r="K2196" s="1"/>
      <c r="L2196" s="26"/>
      <c r="M2196" s="3"/>
    </row>
    <row r="2197" spans="1:13" ht="13" x14ac:dyDescent="0.3">
      <c r="A2197" s="52"/>
      <c r="B2197" s="6"/>
      <c r="C2197" s="1"/>
      <c r="D2197" s="6"/>
      <c r="E2197" s="6"/>
      <c r="F2197" s="1"/>
      <c r="G2197" s="17"/>
      <c r="H2197" s="1"/>
      <c r="I2197" s="1"/>
      <c r="J2197" s="26"/>
      <c r="K2197" s="1"/>
      <c r="L2197" s="26"/>
      <c r="M2197" s="3"/>
    </row>
    <row r="2198" spans="1:13" ht="13" x14ac:dyDescent="0.3">
      <c r="A2198" s="52"/>
      <c r="B2198" s="6"/>
      <c r="C2198" s="1"/>
      <c r="D2198" s="6"/>
      <c r="E2198" s="6"/>
      <c r="F2198" s="1"/>
      <c r="G2198" s="17"/>
      <c r="H2198" s="1"/>
      <c r="I2198" s="1"/>
      <c r="J2198" s="26"/>
      <c r="K2198" s="1"/>
      <c r="L2198" s="26"/>
      <c r="M2198" s="3"/>
    </row>
    <row r="2199" spans="1:13" ht="13" x14ac:dyDescent="0.3">
      <c r="A2199" s="52"/>
      <c r="B2199" s="6"/>
      <c r="C2199" s="1"/>
      <c r="D2199" s="6"/>
      <c r="E2199" s="6"/>
      <c r="F2199" s="1"/>
      <c r="G2199" s="17"/>
      <c r="H2199" s="1"/>
      <c r="I2199" s="1"/>
      <c r="J2199" s="26"/>
      <c r="K2199" s="1"/>
      <c r="L2199" s="26"/>
      <c r="M2199" s="3"/>
    </row>
    <row r="2200" spans="1:13" ht="13" x14ac:dyDescent="0.3">
      <c r="A2200" s="52"/>
      <c r="B2200" s="6"/>
      <c r="C2200" s="1"/>
      <c r="D2200" s="6"/>
      <c r="E2200" s="6"/>
      <c r="F2200" s="1"/>
      <c r="G2200" s="17"/>
      <c r="H2200" s="1"/>
      <c r="I2200" s="1"/>
      <c r="J2200" s="26"/>
      <c r="K2200" s="1"/>
      <c r="L2200" s="26"/>
      <c r="M2200" s="3"/>
    </row>
    <row r="2201" spans="1:13" ht="13" x14ac:dyDescent="0.3">
      <c r="A2201" s="52"/>
      <c r="B2201" s="6"/>
      <c r="C2201" s="1"/>
      <c r="D2201" s="6"/>
      <c r="E2201" s="6"/>
      <c r="F2201" s="1"/>
      <c r="G2201" s="17"/>
      <c r="H2201" s="1"/>
      <c r="I2201" s="1"/>
      <c r="J2201" s="26"/>
      <c r="K2201" s="1"/>
      <c r="L2201" s="26"/>
      <c r="M2201" s="3"/>
    </row>
    <row r="2202" spans="1:13" ht="13" x14ac:dyDescent="0.3">
      <c r="A2202" s="52"/>
      <c r="B2202" s="6"/>
      <c r="C2202" s="1"/>
      <c r="D2202" s="6"/>
      <c r="E2202" s="6"/>
      <c r="F2202" s="1"/>
      <c r="G2202" s="17"/>
      <c r="H2202" s="1"/>
      <c r="I2202" s="1"/>
      <c r="J2202" s="26"/>
      <c r="K2202" s="1"/>
      <c r="L2202" s="26"/>
      <c r="M2202" s="3"/>
    </row>
    <row r="2203" spans="1:13" ht="13" x14ac:dyDescent="0.3">
      <c r="A2203" s="52"/>
      <c r="B2203" s="6"/>
      <c r="C2203" s="1"/>
      <c r="D2203" s="6"/>
      <c r="E2203" s="6"/>
      <c r="F2203" s="1"/>
      <c r="G2203" s="17"/>
      <c r="H2203" s="1"/>
      <c r="I2203" s="1"/>
      <c r="J2203" s="26"/>
      <c r="K2203" s="1"/>
      <c r="L2203" s="26"/>
      <c r="M2203" s="3"/>
    </row>
    <row r="2204" spans="1:13" ht="13" x14ac:dyDescent="0.3">
      <c r="A2204" s="52"/>
      <c r="B2204" s="6"/>
      <c r="C2204" s="1"/>
      <c r="D2204" s="6"/>
      <c r="E2204" s="6"/>
      <c r="F2204" s="1"/>
      <c r="G2204" s="17"/>
      <c r="H2204" s="1"/>
      <c r="I2204" s="1"/>
      <c r="J2204" s="26"/>
      <c r="K2204" s="1"/>
      <c r="L2204" s="26"/>
      <c r="M2204" s="3"/>
    </row>
    <row r="2205" spans="1:13" ht="13" x14ac:dyDescent="0.3">
      <c r="A2205" s="52"/>
      <c r="B2205" s="6"/>
      <c r="C2205" s="1"/>
      <c r="D2205" s="6"/>
      <c r="E2205" s="6"/>
      <c r="F2205" s="1"/>
      <c r="G2205" s="17"/>
      <c r="H2205" s="1"/>
      <c r="I2205" s="1"/>
      <c r="J2205" s="26"/>
      <c r="K2205" s="1"/>
      <c r="L2205" s="26"/>
      <c r="M2205" s="3"/>
    </row>
    <row r="2206" spans="1:13" ht="13" x14ac:dyDescent="0.3">
      <c r="A2206" s="52"/>
      <c r="B2206" s="6"/>
      <c r="C2206" s="1"/>
      <c r="D2206" s="6"/>
      <c r="E2206" s="6"/>
      <c r="F2206" s="1"/>
      <c r="G2206" s="17"/>
      <c r="H2206" s="1"/>
      <c r="I2206" s="1"/>
      <c r="J2206" s="26"/>
      <c r="K2206" s="1"/>
      <c r="L2206" s="26"/>
      <c r="M2206" s="3"/>
    </row>
    <row r="2207" spans="1:13" ht="13" x14ac:dyDescent="0.3">
      <c r="A2207" s="52"/>
      <c r="B2207" s="6"/>
      <c r="C2207" s="1"/>
      <c r="D2207" s="6"/>
      <c r="E2207" s="6"/>
      <c r="F2207" s="1"/>
      <c r="G2207" s="17"/>
      <c r="H2207" s="1"/>
      <c r="I2207" s="1"/>
      <c r="J2207" s="26"/>
      <c r="K2207" s="1"/>
      <c r="L2207" s="26"/>
      <c r="M2207" s="3"/>
    </row>
    <row r="2208" spans="1:13" ht="13" x14ac:dyDescent="0.3">
      <c r="A2208" s="52"/>
      <c r="B2208" s="6"/>
      <c r="C2208" s="1"/>
      <c r="D2208" s="6"/>
      <c r="E2208" s="6"/>
      <c r="F2208" s="1"/>
      <c r="G2208" s="17"/>
      <c r="H2208" s="1"/>
      <c r="I2208" s="1"/>
      <c r="J2208" s="26"/>
      <c r="K2208" s="1"/>
      <c r="L2208" s="26"/>
      <c r="M2208" s="3"/>
    </row>
    <row r="2209" spans="1:13" ht="13" x14ac:dyDescent="0.3">
      <c r="A2209" s="52"/>
      <c r="B2209" s="6"/>
      <c r="C2209" s="1"/>
      <c r="D2209" s="6"/>
      <c r="E2209" s="6"/>
      <c r="F2209" s="1"/>
      <c r="G2209" s="17"/>
      <c r="H2209" s="1"/>
      <c r="I2209" s="1"/>
      <c r="J2209" s="26"/>
      <c r="K2209" s="1"/>
      <c r="L2209" s="26"/>
      <c r="M2209" s="3"/>
    </row>
    <row r="2210" spans="1:13" ht="13" x14ac:dyDescent="0.3">
      <c r="A2210" s="52"/>
      <c r="B2210" s="6"/>
      <c r="C2210" s="1"/>
      <c r="D2210" s="6"/>
      <c r="E2210" s="6"/>
      <c r="F2210" s="1"/>
      <c r="G2210" s="17"/>
      <c r="H2210" s="1"/>
      <c r="I2210" s="1"/>
      <c r="J2210" s="26"/>
      <c r="K2210" s="1"/>
      <c r="L2210" s="26"/>
      <c r="M2210" s="3"/>
    </row>
    <row r="2211" spans="1:13" ht="13" x14ac:dyDescent="0.3">
      <c r="A2211" s="52"/>
      <c r="B2211" s="6"/>
      <c r="C2211" s="1"/>
      <c r="D2211" s="6"/>
      <c r="E2211" s="6"/>
      <c r="F2211" s="1"/>
      <c r="G2211" s="17"/>
      <c r="H2211" s="1"/>
      <c r="I2211" s="1"/>
      <c r="J2211" s="26"/>
      <c r="K2211" s="1"/>
      <c r="L2211" s="26"/>
      <c r="M2211" s="3"/>
    </row>
    <row r="2212" spans="1:13" ht="13" x14ac:dyDescent="0.3">
      <c r="A2212" s="52"/>
      <c r="B2212" s="6"/>
      <c r="C2212" s="1"/>
      <c r="D2212" s="6"/>
      <c r="E2212" s="6"/>
      <c r="F2212" s="1"/>
      <c r="G2212" s="17"/>
      <c r="H2212" s="1"/>
      <c r="I2212" s="1"/>
      <c r="J2212" s="26"/>
      <c r="K2212" s="1"/>
      <c r="L2212" s="26"/>
      <c r="M2212" s="3"/>
    </row>
    <row r="2213" spans="1:13" ht="13" x14ac:dyDescent="0.3">
      <c r="A2213" s="52"/>
      <c r="B2213" s="6"/>
      <c r="C2213" s="1"/>
      <c r="D2213" s="6"/>
      <c r="E2213" s="6"/>
      <c r="F2213" s="1"/>
      <c r="G2213" s="17"/>
      <c r="H2213" s="1"/>
      <c r="I2213" s="1"/>
      <c r="J2213" s="26"/>
      <c r="K2213" s="1"/>
      <c r="L2213" s="26"/>
      <c r="M2213" s="3"/>
    </row>
    <row r="2214" spans="1:13" ht="13" x14ac:dyDescent="0.3">
      <c r="A2214" s="52"/>
      <c r="B2214" s="6"/>
      <c r="C2214" s="1"/>
      <c r="D2214" s="6"/>
      <c r="E2214" s="6"/>
      <c r="F2214" s="1"/>
      <c r="G2214" s="17"/>
      <c r="H2214" s="1"/>
      <c r="I2214" s="1"/>
      <c r="J2214" s="26"/>
      <c r="K2214" s="1"/>
      <c r="L2214" s="26"/>
      <c r="M2214" s="3"/>
    </row>
    <row r="2215" spans="1:13" ht="13" x14ac:dyDescent="0.3">
      <c r="A2215" s="52"/>
      <c r="B2215" s="6"/>
      <c r="C2215" s="1"/>
      <c r="D2215" s="6"/>
      <c r="E2215" s="6"/>
      <c r="F2215" s="1"/>
      <c r="G2215" s="17"/>
      <c r="H2215" s="1"/>
      <c r="I2215" s="1"/>
      <c r="J2215" s="26"/>
      <c r="K2215" s="1"/>
      <c r="L2215" s="26"/>
      <c r="M2215" s="3"/>
    </row>
    <row r="2216" spans="1:13" ht="13" x14ac:dyDescent="0.3">
      <c r="A2216" s="52"/>
      <c r="B2216" s="6"/>
      <c r="C2216" s="1"/>
      <c r="D2216" s="6"/>
      <c r="E2216" s="6"/>
      <c r="F2216" s="1"/>
      <c r="G2216" s="17"/>
      <c r="H2216" s="1"/>
      <c r="I2216" s="1"/>
      <c r="J2216" s="26"/>
      <c r="K2216" s="1"/>
      <c r="L2216" s="26"/>
      <c r="M2216" s="3"/>
    </row>
    <row r="2217" spans="1:13" ht="13" x14ac:dyDescent="0.3">
      <c r="A2217" s="52"/>
      <c r="B2217" s="6"/>
      <c r="C2217" s="1"/>
      <c r="D2217" s="6"/>
      <c r="E2217" s="6"/>
      <c r="F2217" s="1"/>
      <c r="G2217" s="17"/>
      <c r="H2217" s="1"/>
      <c r="I2217" s="1"/>
      <c r="J2217" s="26"/>
      <c r="K2217" s="1"/>
      <c r="L2217" s="26"/>
      <c r="M2217" s="3"/>
    </row>
    <row r="2218" spans="1:13" ht="13" x14ac:dyDescent="0.3">
      <c r="A2218" s="52"/>
      <c r="B2218" s="6"/>
      <c r="C2218" s="1"/>
      <c r="D2218" s="6"/>
      <c r="E2218" s="6"/>
      <c r="F2218" s="1"/>
      <c r="G2218" s="17"/>
      <c r="H2218" s="1"/>
      <c r="I2218" s="1"/>
      <c r="J2218" s="26"/>
      <c r="K2218" s="1"/>
      <c r="L2218" s="26"/>
      <c r="M2218" s="3"/>
    </row>
    <row r="2219" spans="1:13" ht="13" x14ac:dyDescent="0.3">
      <c r="A2219" s="52"/>
      <c r="B2219" s="6"/>
      <c r="C2219" s="1"/>
      <c r="D2219" s="6"/>
      <c r="E2219" s="6"/>
      <c r="F2219" s="1"/>
      <c r="G2219" s="17"/>
      <c r="H2219" s="1"/>
      <c r="I2219" s="1"/>
      <c r="J2219" s="26"/>
      <c r="K2219" s="1"/>
      <c r="L2219" s="26"/>
      <c r="M2219" s="3"/>
    </row>
    <row r="2220" spans="1:13" ht="13" x14ac:dyDescent="0.3">
      <c r="A2220" s="52"/>
      <c r="B2220" s="6"/>
      <c r="C2220" s="1"/>
      <c r="D2220" s="6"/>
      <c r="E2220" s="6"/>
      <c r="F2220" s="1"/>
      <c r="G2220" s="17"/>
      <c r="H2220" s="1"/>
      <c r="I2220" s="1"/>
      <c r="J2220" s="26"/>
      <c r="K2220" s="1"/>
      <c r="L2220" s="26"/>
      <c r="M2220" s="3"/>
    </row>
    <row r="2221" spans="1:13" ht="13" x14ac:dyDescent="0.3">
      <c r="A2221" s="52"/>
      <c r="B2221" s="6"/>
      <c r="C2221" s="1"/>
      <c r="D2221" s="6"/>
      <c r="E2221" s="6"/>
      <c r="F2221" s="1"/>
      <c r="G2221" s="17"/>
      <c r="H2221" s="1"/>
      <c r="I2221" s="1"/>
      <c r="J2221" s="26"/>
      <c r="K2221" s="1"/>
      <c r="L2221" s="26"/>
      <c r="M2221" s="3"/>
    </row>
    <row r="2222" spans="1:13" ht="13" x14ac:dyDescent="0.3">
      <c r="A2222" s="52"/>
      <c r="B2222" s="6"/>
      <c r="C2222" s="1"/>
      <c r="D2222" s="6"/>
      <c r="E2222" s="6"/>
      <c r="F2222" s="1"/>
      <c r="G2222" s="17"/>
      <c r="H2222" s="1"/>
      <c r="I2222" s="1"/>
      <c r="J2222" s="26"/>
      <c r="K2222" s="1"/>
      <c r="L2222" s="26"/>
      <c r="M2222" s="3"/>
    </row>
    <row r="2223" spans="1:13" ht="13" x14ac:dyDescent="0.3">
      <c r="A2223" s="52"/>
      <c r="B2223" s="6"/>
      <c r="C2223" s="1"/>
      <c r="D2223" s="6"/>
      <c r="E2223" s="6"/>
      <c r="F2223" s="1"/>
      <c r="G2223" s="17"/>
      <c r="H2223" s="1"/>
      <c r="I2223" s="1"/>
      <c r="J2223" s="26"/>
      <c r="K2223" s="1"/>
      <c r="L2223" s="26"/>
      <c r="M2223" s="3"/>
    </row>
    <row r="2224" spans="1:13" ht="13" x14ac:dyDescent="0.3">
      <c r="A2224" s="52"/>
      <c r="B2224" s="6"/>
      <c r="C2224" s="1"/>
      <c r="D2224" s="6"/>
      <c r="E2224" s="6"/>
      <c r="F2224" s="1"/>
      <c r="G2224" s="17"/>
      <c r="H2224" s="1"/>
      <c r="I2224" s="1"/>
      <c r="J2224" s="26"/>
      <c r="K2224" s="1"/>
      <c r="L2224" s="26"/>
      <c r="M2224" s="3"/>
    </row>
    <row r="2225" spans="1:13" ht="13" x14ac:dyDescent="0.3">
      <c r="A2225" s="52"/>
      <c r="B2225" s="6"/>
      <c r="C2225" s="1"/>
      <c r="D2225" s="6"/>
      <c r="E2225" s="6"/>
      <c r="F2225" s="1"/>
      <c r="G2225" s="17"/>
      <c r="H2225" s="1"/>
      <c r="I2225" s="1"/>
      <c r="J2225" s="26"/>
      <c r="K2225" s="1"/>
      <c r="L2225" s="26"/>
      <c r="M2225" s="3"/>
    </row>
    <row r="2226" spans="1:13" ht="13" x14ac:dyDescent="0.3">
      <c r="A2226" s="52"/>
      <c r="B2226" s="6"/>
      <c r="C2226" s="1"/>
      <c r="D2226" s="6"/>
      <c r="E2226" s="6"/>
      <c r="F2226" s="1"/>
      <c r="G2226" s="17"/>
      <c r="H2226" s="1"/>
      <c r="I2226" s="1"/>
      <c r="J2226" s="26"/>
      <c r="K2226" s="1"/>
      <c r="L2226" s="26"/>
      <c r="M2226" s="3"/>
    </row>
    <row r="2227" spans="1:13" ht="13" x14ac:dyDescent="0.3">
      <c r="A2227" s="52"/>
      <c r="B2227" s="6"/>
      <c r="C2227" s="1"/>
      <c r="D2227" s="6"/>
      <c r="E2227" s="6"/>
      <c r="F2227" s="1"/>
      <c r="G2227" s="17"/>
      <c r="H2227" s="1"/>
      <c r="I2227" s="1"/>
      <c r="J2227" s="26"/>
      <c r="K2227" s="1"/>
      <c r="L2227" s="26"/>
      <c r="M2227" s="3"/>
    </row>
    <row r="2228" spans="1:13" ht="13" x14ac:dyDescent="0.3">
      <c r="A2228" s="52"/>
      <c r="B2228" s="6"/>
      <c r="C2228" s="1"/>
      <c r="D2228" s="6"/>
      <c r="E2228" s="6"/>
      <c r="F2228" s="1"/>
      <c r="G2228" s="17"/>
      <c r="H2228" s="1"/>
      <c r="I2228" s="1"/>
      <c r="J2228" s="26"/>
      <c r="K2228" s="1"/>
      <c r="L2228" s="26"/>
      <c r="M2228" s="3"/>
    </row>
    <row r="2229" spans="1:13" ht="13" x14ac:dyDescent="0.3">
      <c r="A2229" s="52"/>
      <c r="B2229" s="6"/>
      <c r="C2229" s="1"/>
      <c r="D2229" s="6"/>
      <c r="E2229" s="6"/>
      <c r="F2229" s="1"/>
      <c r="G2229" s="17"/>
      <c r="H2229" s="1"/>
      <c r="I2229" s="1"/>
      <c r="J2229" s="26"/>
      <c r="K2229" s="1"/>
      <c r="L2229" s="26"/>
      <c r="M2229" s="3"/>
    </row>
    <row r="2230" spans="1:13" ht="13" x14ac:dyDescent="0.3">
      <c r="A2230" s="52"/>
      <c r="B2230" s="6"/>
      <c r="C2230" s="1"/>
      <c r="D2230" s="6"/>
      <c r="E2230" s="6"/>
      <c r="F2230" s="1"/>
      <c r="G2230" s="17"/>
      <c r="H2230" s="1"/>
      <c r="I2230" s="1"/>
      <c r="J2230" s="26"/>
      <c r="K2230" s="1"/>
      <c r="L2230" s="26"/>
      <c r="M2230" s="3"/>
    </row>
    <row r="2231" spans="1:13" ht="13" x14ac:dyDescent="0.3">
      <c r="A2231" s="52"/>
      <c r="B2231" s="6"/>
      <c r="C2231" s="1"/>
      <c r="D2231" s="6"/>
      <c r="E2231" s="6"/>
      <c r="F2231" s="1"/>
      <c r="G2231" s="17"/>
      <c r="H2231" s="1"/>
      <c r="I2231" s="1"/>
      <c r="J2231" s="26"/>
      <c r="K2231" s="1"/>
      <c r="L2231" s="26"/>
      <c r="M2231" s="3"/>
    </row>
    <row r="2232" spans="1:13" ht="13" x14ac:dyDescent="0.3">
      <c r="A2232" s="52"/>
      <c r="B2232" s="6"/>
      <c r="C2232" s="1"/>
      <c r="D2232" s="6"/>
      <c r="E2232" s="6"/>
      <c r="F2232" s="1"/>
      <c r="G2232" s="17"/>
      <c r="H2232" s="1"/>
      <c r="I2232" s="1"/>
      <c r="J2232" s="26"/>
      <c r="K2232" s="1"/>
      <c r="L2232" s="26"/>
      <c r="M2232" s="3"/>
    </row>
    <row r="2233" spans="1:13" ht="13" x14ac:dyDescent="0.3">
      <c r="A2233" s="52"/>
      <c r="B2233" s="6"/>
      <c r="C2233" s="1"/>
      <c r="D2233" s="6"/>
      <c r="E2233" s="6"/>
      <c r="F2233" s="1"/>
      <c r="G2233" s="17"/>
      <c r="H2233" s="1"/>
      <c r="I2233" s="1"/>
      <c r="J2233" s="26"/>
      <c r="K2233" s="1"/>
      <c r="L2233" s="26"/>
      <c r="M2233" s="3"/>
    </row>
    <row r="2234" spans="1:13" ht="13" x14ac:dyDescent="0.3">
      <c r="A2234" s="52"/>
      <c r="B2234" s="6"/>
      <c r="C2234" s="1"/>
      <c r="D2234" s="6"/>
      <c r="E2234" s="6"/>
      <c r="F2234" s="1"/>
      <c r="G2234" s="17"/>
      <c r="H2234" s="1"/>
      <c r="I2234" s="1"/>
      <c r="J2234" s="26"/>
      <c r="K2234" s="1"/>
      <c r="L2234" s="26"/>
      <c r="M2234" s="3"/>
    </row>
    <row r="2235" spans="1:13" ht="13" x14ac:dyDescent="0.3">
      <c r="A2235" s="52"/>
      <c r="B2235" s="6"/>
      <c r="C2235" s="1"/>
      <c r="D2235" s="6"/>
      <c r="E2235" s="6"/>
      <c r="F2235" s="1"/>
      <c r="G2235" s="17"/>
      <c r="H2235" s="1"/>
      <c r="I2235" s="1"/>
      <c r="J2235" s="26"/>
      <c r="K2235" s="1"/>
      <c r="L2235" s="26"/>
      <c r="M2235" s="3"/>
    </row>
    <row r="2236" spans="1:13" ht="13" x14ac:dyDescent="0.3">
      <c r="A2236" s="52"/>
      <c r="B2236" s="6"/>
      <c r="C2236" s="1"/>
      <c r="D2236" s="6"/>
      <c r="E2236" s="6"/>
      <c r="F2236" s="1"/>
      <c r="G2236" s="17"/>
      <c r="H2236" s="1"/>
      <c r="I2236" s="1"/>
      <c r="J2236" s="26"/>
      <c r="K2236" s="1"/>
      <c r="L2236" s="26"/>
      <c r="M2236" s="3"/>
    </row>
    <row r="2237" spans="1:13" ht="13" x14ac:dyDescent="0.3">
      <c r="A2237" s="52"/>
      <c r="B2237" s="6"/>
      <c r="C2237" s="1"/>
      <c r="D2237" s="6"/>
      <c r="E2237" s="6"/>
      <c r="F2237" s="1"/>
      <c r="G2237" s="17"/>
      <c r="H2237" s="1"/>
      <c r="I2237" s="1"/>
      <c r="J2237" s="26"/>
      <c r="K2237" s="1"/>
      <c r="L2237" s="26"/>
      <c r="M2237" s="3"/>
    </row>
    <row r="2238" spans="1:13" ht="13" x14ac:dyDescent="0.3">
      <c r="A2238" s="52"/>
      <c r="B2238" s="6"/>
      <c r="C2238" s="1"/>
      <c r="D2238" s="6"/>
      <c r="E2238" s="6"/>
      <c r="F2238" s="1"/>
      <c r="G2238" s="17"/>
      <c r="H2238" s="1"/>
      <c r="I2238" s="1"/>
      <c r="J2238" s="26"/>
      <c r="K2238" s="1"/>
      <c r="L2238" s="26"/>
      <c r="M2238" s="3"/>
    </row>
    <row r="2239" spans="1:13" ht="13" x14ac:dyDescent="0.3">
      <c r="A2239" s="52"/>
      <c r="B2239" s="6"/>
      <c r="C2239" s="1"/>
      <c r="D2239" s="6"/>
      <c r="E2239" s="6"/>
      <c r="F2239" s="1"/>
      <c r="G2239" s="17"/>
      <c r="H2239" s="1"/>
      <c r="I2239" s="1"/>
      <c r="J2239" s="26"/>
      <c r="K2239" s="1"/>
      <c r="L2239" s="26"/>
      <c r="M2239" s="3"/>
    </row>
    <row r="2240" spans="1:13" ht="13" x14ac:dyDescent="0.3">
      <c r="A2240" s="52"/>
      <c r="B2240" s="6"/>
      <c r="C2240" s="1"/>
      <c r="D2240" s="6"/>
      <c r="E2240" s="6"/>
      <c r="F2240" s="1"/>
      <c r="G2240" s="17"/>
      <c r="H2240" s="1"/>
      <c r="I2240" s="1"/>
      <c r="J2240" s="26"/>
      <c r="K2240" s="1"/>
      <c r="L2240" s="26"/>
      <c r="M2240" s="3"/>
    </row>
    <row r="2241" spans="1:13" ht="13" x14ac:dyDescent="0.3">
      <c r="A2241" s="52"/>
      <c r="B2241" s="6"/>
      <c r="C2241" s="1"/>
      <c r="D2241" s="6"/>
      <c r="E2241" s="6"/>
      <c r="F2241" s="1"/>
      <c r="G2241" s="17"/>
      <c r="H2241" s="1"/>
      <c r="I2241" s="1"/>
      <c r="J2241" s="26"/>
      <c r="K2241" s="1"/>
      <c r="L2241" s="26"/>
      <c r="M2241" s="3"/>
    </row>
    <row r="2242" spans="1:13" ht="13" x14ac:dyDescent="0.3">
      <c r="A2242" s="52"/>
      <c r="B2242" s="6"/>
      <c r="C2242" s="1"/>
      <c r="D2242" s="6"/>
      <c r="E2242" s="6"/>
      <c r="F2242" s="1"/>
      <c r="G2242" s="17"/>
      <c r="H2242" s="1"/>
      <c r="I2242" s="1"/>
      <c r="J2242" s="26"/>
      <c r="K2242" s="1"/>
      <c r="L2242" s="26"/>
      <c r="M2242" s="3"/>
    </row>
    <row r="2243" spans="1:13" ht="13" x14ac:dyDescent="0.3">
      <c r="A2243" s="52"/>
      <c r="B2243" s="6"/>
      <c r="C2243" s="1"/>
      <c r="D2243" s="6"/>
      <c r="E2243" s="6"/>
      <c r="F2243" s="1"/>
      <c r="G2243" s="17"/>
      <c r="H2243" s="1"/>
      <c r="I2243" s="1"/>
      <c r="J2243" s="26"/>
      <c r="K2243" s="1"/>
      <c r="L2243" s="26"/>
      <c r="M2243" s="3"/>
    </row>
    <row r="2244" spans="1:13" ht="13" x14ac:dyDescent="0.3">
      <c r="A2244" s="52"/>
      <c r="B2244" s="6"/>
      <c r="C2244" s="1"/>
      <c r="D2244" s="6"/>
      <c r="E2244" s="6"/>
      <c r="F2244" s="1"/>
      <c r="G2244" s="17"/>
      <c r="H2244" s="1"/>
      <c r="I2244" s="1"/>
      <c r="J2244" s="26"/>
      <c r="K2244" s="1"/>
      <c r="L2244" s="26"/>
      <c r="M2244" s="3"/>
    </row>
    <row r="2245" spans="1:13" ht="13" x14ac:dyDescent="0.3">
      <c r="A2245" s="52"/>
      <c r="B2245" s="6"/>
      <c r="C2245" s="1"/>
      <c r="D2245" s="6"/>
      <c r="E2245" s="6"/>
      <c r="F2245" s="1"/>
      <c r="G2245" s="17"/>
      <c r="H2245" s="1"/>
      <c r="I2245" s="1"/>
      <c r="J2245" s="26"/>
      <c r="K2245" s="1"/>
      <c r="L2245" s="26"/>
      <c r="M2245" s="3"/>
    </row>
    <row r="2246" spans="1:13" ht="13" x14ac:dyDescent="0.3">
      <c r="A2246" s="52"/>
      <c r="B2246" s="6"/>
      <c r="C2246" s="1"/>
      <c r="D2246" s="6"/>
      <c r="E2246" s="6"/>
      <c r="F2246" s="1"/>
      <c r="G2246" s="17"/>
      <c r="H2246" s="1"/>
      <c r="I2246" s="1"/>
      <c r="J2246" s="26"/>
      <c r="K2246" s="1"/>
      <c r="L2246" s="26"/>
      <c r="M2246" s="3"/>
    </row>
    <row r="2247" spans="1:13" ht="13" x14ac:dyDescent="0.3">
      <c r="A2247" s="52"/>
      <c r="B2247" s="6"/>
      <c r="C2247" s="1"/>
      <c r="D2247" s="6"/>
      <c r="E2247" s="6"/>
      <c r="F2247" s="1"/>
      <c r="G2247" s="17"/>
      <c r="H2247" s="1"/>
      <c r="I2247" s="1"/>
      <c r="J2247" s="26"/>
      <c r="K2247" s="1"/>
      <c r="L2247" s="26"/>
      <c r="M2247" s="3"/>
    </row>
    <row r="2248" spans="1:13" ht="13" x14ac:dyDescent="0.3">
      <c r="A2248" s="52"/>
      <c r="B2248" s="6"/>
      <c r="C2248" s="1"/>
      <c r="D2248" s="6"/>
      <c r="E2248" s="6"/>
      <c r="F2248" s="1"/>
      <c r="G2248" s="17"/>
      <c r="H2248" s="1"/>
      <c r="I2248" s="1"/>
      <c r="J2248" s="26"/>
      <c r="K2248" s="1"/>
      <c r="L2248" s="26"/>
      <c r="M2248" s="3"/>
    </row>
    <row r="2249" spans="1:13" ht="13" x14ac:dyDescent="0.3">
      <c r="A2249" s="52"/>
      <c r="B2249" s="6"/>
      <c r="C2249" s="1"/>
      <c r="D2249" s="6"/>
      <c r="E2249" s="6"/>
      <c r="F2249" s="1"/>
      <c r="G2249" s="17"/>
      <c r="H2249" s="1"/>
      <c r="I2249" s="1"/>
      <c r="J2249" s="26"/>
      <c r="K2249" s="1"/>
      <c r="L2249" s="26"/>
      <c r="M2249" s="3"/>
    </row>
    <row r="2250" spans="1:13" x14ac:dyDescent="0.35">
      <c r="H2250" s="1"/>
      <c r="I2250" s="1"/>
      <c r="J2250" s="26"/>
      <c r="K2250" s="1"/>
      <c r="L2250" s="26"/>
    </row>
    <row r="2251" spans="1:13" x14ac:dyDescent="0.35">
      <c r="H2251" s="1"/>
      <c r="I2251" s="1"/>
      <c r="J2251" s="26"/>
      <c r="K2251" s="1"/>
      <c r="L2251" s="26"/>
    </row>
    <row r="2252" spans="1:13" x14ac:dyDescent="0.35">
      <c r="H2252" s="1"/>
      <c r="I2252" s="1"/>
      <c r="J2252" s="26"/>
      <c r="K2252" s="1"/>
      <c r="L2252" s="26"/>
    </row>
    <row r="2253" spans="1:13" x14ac:dyDescent="0.35">
      <c r="H2253" s="1"/>
      <c r="I2253" s="1"/>
      <c r="J2253" s="26"/>
      <c r="K2253" s="1"/>
      <c r="L2253" s="26"/>
    </row>
    <row r="2254" spans="1:13" x14ac:dyDescent="0.35">
      <c r="H2254" s="1"/>
      <c r="I2254" s="1"/>
      <c r="J2254" s="26"/>
      <c r="K2254" s="1"/>
      <c r="L2254" s="26"/>
    </row>
    <row r="2255" spans="1:13" x14ac:dyDescent="0.35">
      <c r="H2255" s="1"/>
      <c r="I2255" s="1"/>
      <c r="J2255" s="26"/>
      <c r="K2255" s="1"/>
      <c r="L2255" s="26"/>
    </row>
    <row r="2256" spans="1:13" x14ac:dyDescent="0.35">
      <c r="H2256" s="1"/>
      <c r="I2256" s="1"/>
      <c r="J2256" s="26"/>
      <c r="K2256" s="1"/>
      <c r="L2256" s="26"/>
    </row>
    <row r="2257" spans="8:12" x14ac:dyDescent="0.35">
      <c r="H2257" s="1"/>
      <c r="I2257" s="1"/>
      <c r="J2257" s="26"/>
      <c r="K2257" s="1"/>
      <c r="L2257" s="26"/>
    </row>
    <row r="2258" spans="8:12" x14ac:dyDescent="0.35">
      <c r="H2258" s="1"/>
      <c r="I2258" s="1"/>
      <c r="J2258" s="26"/>
      <c r="K2258" s="1"/>
      <c r="L2258" s="26"/>
    </row>
    <row r="2259" spans="8:12" x14ac:dyDescent="0.35">
      <c r="H2259" s="1"/>
      <c r="I2259" s="1"/>
      <c r="J2259" s="26"/>
      <c r="K2259" s="1"/>
      <c r="L2259" s="26"/>
    </row>
    <row r="2260" spans="8:12" x14ac:dyDescent="0.35">
      <c r="H2260" s="1"/>
      <c r="I2260" s="1"/>
      <c r="J2260" s="26"/>
      <c r="K2260" s="1"/>
      <c r="L2260" s="26"/>
    </row>
    <row r="2261" spans="8:12" x14ac:dyDescent="0.35">
      <c r="H2261" s="1"/>
      <c r="I2261" s="1"/>
      <c r="J2261" s="26"/>
      <c r="K2261" s="1"/>
      <c r="L2261" s="26"/>
    </row>
    <row r="2262" spans="8:12" x14ac:dyDescent="0.35">
      <c r="H2262" s="1"/>
      <c r="I2262" s="1"/>
      <c r="J2262" s="26"/>
      <c r="K2262" s="1"/>
      <c r="L2262" s="26"/>
    </row>
    <row r="2263" spans="8:12" x14ac:dyDescent="0.35">
      <c r="H2263" s="1"/>
      <c r="I2263" s="1"/>
      <c r="J2263" s="26"/>
      <c r="K2263" s="1"/>
      <c r="L2263" s="26"/>
    </row>
    <row r="2264" spans="8:12" x14ac:dyDescent="0.35">
      <c r="H2264" s="1"/>
      <c r="I2264" s="1"/>
      <c r="J2264" s="26"/>
      <c r="K2264" s="1"/>
      <c r="L2264" s="26"/>
    </row>
    <row r="2265" spans="8:12" x14ac:dyDescent="0.35">
      <c r="H2265" s="1"/>
      <c r="I2265" s="1"/>
      <c r="J2265" s="26"/>
      <c r="K2265" s="1"/>
      <c r="L2265" s="26"/>
    </row>
    <row r="2266" spans="8:12" x14ac:dyDescent="0.35">
      <c r="H2266" s="1"/>
      <c r="I2266" s="1"/>
      <c r="J2266" s="26"/>
      <c r="K2266" s="1"/>
      <c r="L2266" s="26"/>
    </row>
    <row r="2267" spans="8:12" x14ac:dyDescent="0.35">
      <c r="H2267" s="1"/>
      <c r="I2267" s="1"/>
      <c r="J2267" s="26"/>
      <c r="K2267" s="1"/>
      <c r="L2267" s="26"/>
    </row>
    <row r="2268" spans="8:12" x14ac:dyDescent="0.35">
      <c r="H2268" s="1"/>
      <c r="I2268" s="1"/>
      <c r="J2268" s="26"/>
      <c r="K2268" s="1"/>
      <c r="L2268" s="26"/>
    </row>
    <row r="2269" spans="8:12" x14ac:dyDescent="0.35">
      <c r="H2269" s="1"/>
      <c r="I2269" s="1"/>
      <c r="J2269" s="26"/>
      <c r="K2269" s="1"/>
      <c r="L2269" s="26"/>
    </row>
    <row r="2270" spans="8:12" x14ac:dyDescent="0.35">
      <c r="H2270" s="1"/>
      <c r="I2270" s="1"/>
      <c r="J2270" s="26"/>
      <c r="K2270" s="1"/>
      <c r="L2270" s="26"/>
    </row>
    <row r="2271" spans="8:12" x14ac:dyDescent="0.35">
      <c r="H2271" s="1"/>
      <c r="I2271" s="1"/>
      <c r="J2271" s="26"/>
      <c r="K2271" s="1"/>
      <c r="L2271" s="26"/>
    </row>
    <row r="2272" spans="8:12" x14ac:dyDescent="0.35">
      <c r="H2272" s="1"/>
      <c r="I2272" s="1"/>
      <c r="J2272" s="26"/>
      <c r="K2272" s="1"/>
      <c r="L2272" s="26"/>
    </row>
    <row r="2273" spans="8:12" x14ac:dyDescent="0.35">
      <c r="H2273" s="1"/>
      <c r="I2273" s="1"/>
      <c r="J2273" s="26"/>
      <c r="K2273" s="1"/>
      <c r="L2273" s="26"/>
    </row>
    <row r="2274" spans="8:12" x14ac:dyDescent="0.35">
      <c r="H2274" s="1"/>
      <c r="I2274" s="1"/>
      <c r="J2274" s="26"/>
      <c r="K2274" s="1"/>
      <c r="L2274" s="26"/>
    </row>
    <row r="2275" spans="8:12" x14ac:dyDescent="0.35">
      <c r="H2275" s="1"/>
      <c r="I2275" s="1"/>
      <c r="J2275" s="26"/>
      <c r="K2275" s="1"/>
      <c r="L2275" s="26"/>
    </row>
    <row r="2276" spans="8:12" x14ac:dyDescent="0.35">
      <c r="H2276" s="1"/>
      <c r="I2276" s="1"/>
      <c r="J2276" s="26"/>
      <c r="K2276" s="1"/>
      <c r="L2276" s="26"/>
    </row>
    <row r="2277" spans="8:12" x14ac:dyDescent="0.35">
      <c r="H2277" s="1"/>
      <c r="I2277" s="1"/>
      <c r="J2277" s="26"/>
      <c r="K2277" s="1"/>
      <c r="L2277" s="26"/>
    </row>
    <row r="2278" spans="8:12" x14ac:dyDescent="0.35">
      <c r="H2278" s="1"/>
      <c r="I2278" s="1"/>
      <c r="J2278" s="26"/>
      <c r="K2278" s="1"/>
      <c r="L2278" s="26"/>
    </row>
    <row r="2279" spans="8:12" x14ac:dyDescent="0.35">
      <c r="H2279" s="1"/>
      <c r="I2279" s="1"/>
      <c r="J2279" s="26"/>
      <c r="K2279" s="1"/>
      <c r="L2279" s="26"/>
    </row>
    <row r="2280" spans="8:12" x14ac:dyDescent="0.35">
      <c r="H2280" s="1"/>
      <c r="I2280" s="1"/>
      <c r="J2280" s="26"/>
      <c r="K2280" s="1"/>
      <c r="L2280" s="26"/>
    </row>
    <row r="2281" spans="8:12" x14ac:dyDescent="0.35">
      <c r="H2281" s="1"/>
      <c r="I2281" s="1"/>
      <c r="J2281" s="26"/>
      <c r="K2281" s="1"/>
      <c r="L2281" s="26"/>
    </row>
    <row r="2282" spans="8:12" x14ac:dyDescent="0.35">
      <c r="H2282" s="1"/>
      <c r="I2282" s="1"/>
      <c r="J2282" s="26"/>
      <c r="K2282" s="1"/>
      <c r="L2282" s="26"/>
    </row>
    <row r="2283" spans="8:12" x14ac:dyDescent="0.35">
      <c r="H2283" s="1"/>
      <c r="I2283" s="1"/>
      <c r="J2283" s="26"/>
      <c r="K2283" s="1"/>
      <c r="L2283" s="26"/>
    </row>
    <row r="2284" spans="8:12" x14ac:dyDescent="0.35">
      <c r="H2284" s="1"/>
      <c r="I2284" s="1"/>
      <c r="J2284" s="26"/>
      <c r="K2284" s="1"/>
      <c r="L2284" s="26"/>
    </row>
    <row r="2285" spans="8:12" x14ac:dyDescent="0.35">
      <c r="H2285" s="1"/>
      <c r="I2285" s="1"/>
      <c r="J2285" s="26"/>
      <c r="K2285" s="1"/>
      <c r="L2285" s="26"/>
    </row>
    <row r="2286" spans="8:12" x14ac:dyDescent="0.35">
      <c r="H2286" s="1"/>
      <c r="I2286" s="1"/>
      <c r="J2286" s="26"/>
      <c r="K2286" s="1"/>
      <c r="L2286" s="26"/>
    </row>
    <row r="2287" spans="8:12" x14ac:dyDescent="0.35">
      <c r="H2287" s="1"/>
      <c r="I2287" s="1"/>
      <c r="J2287" s="26"/>
      <c r="K2287" s="1"/>
      <c r="L2287" s="26"/>
    </row>
    <row r="2288" spans="8:12" x14ac:dyDescent="0.35">
      <c r="H2288" s="1"/>
      <c r="I2288" s="1"/>
      <c r="J2288" s="26"/>
      <c r="K2288" s="1"/>
      <c r="L2288" s="26"/>
    </row>
    <row r="2289" spans="8:12" x14ac:dyDescent="0.35">
      <c r="H2289" s="1"/>
      <c r="I2289" s="1"/>
      <c r="J2289" s="26"/>
      <c r="K2289" s="1"/>
      <c r="L2289" s="26"/>
    </row>
    <row r="2290" spans="8:12" x14ac:dyDescent="0.35">
      <c r="H2290" s="1"/>
      <c r="I2290" s="1"/>
      <c r="J2290" s="26"/>
      <c r="K2290" s="1"/>
      <c r="L2290" s="26"/>
    </row>
    <row r="2291" spans="8:12" x14ac:dyDescent="0.35">
      <c r="H2291" s="1"/>
      <c r="I2291" s="1"/>
      <c r="J2291" s="26"/>
      <c r="K2291" s="1"/>
      <c r="L2291" s="26"/>
    </row>
    <row r="2292" spans="8:12" x14ac:dyDescent="0.35">
      <c r="H2292" s="1"/>
      <c r="I2292" s="1"/>
      <c r="J2292" s="26"/>
      <c r="K2292" s="1"/>
      <c r="L2292" s="26"/>
    </row>
    <row r="2293" spans="8:12" x14ac:dyDescent="0.35">
      <c r="H2293" s="1"/>
      <c r="I2293" s="1"/>
      <c r="J2293" s="26"/>
      <c r="K2293" s="1"/>
      <c r="L2293" s="26"/>
    </row>
    <row r="2294" spans="8:12" x14ac:dyDescent="0.35">
      <c r="H2294" s="1"/>
      <c r="I2294" s="1"/>
      <c r="J2294" s="26"/>
      <c r="K2294" s="1"/>
      <c r="L2294" s="26"/>
    </row>
    <row r="2295" spans="8:12" x14ac:dyDescent="0.35">
      <c r="H2295" s="1"/>
      <c r="I2295" s="1"/>
      <c r="J2295" s="26"/>
      <c r="K2295" s="1"/>
      <c r="L2295" s="26"/>
    </row>
    <row r="2296" spans="8:12" x14ac:dyDescent="0.35">
      <c r="H2296" s="1"/>
      <c r="I2296" s="1"/>
      <c r="J2296" s="26"/>
      <c r="K2296" s="1"/>
      <c r="L2296" s="26"/>
    </row>
    <row r="2297" spans="8:12" x14ac:dyDescent="0.35">
      <c r="H2297" s="1"/>
      <c r="I2297" s="1"/>
      <c r="J2297" s="26"/>
      <c r="K2297" s="1"/>
      <c r="L2297" s="26"/>
    </row>
    <row r="2298" spans="8:12" x14ac:dyDescent="0.35">
      <c r="H2298" s="1"/>
      <c r="I2298" s="1"/>
      <c r="J2298" s="26"/>
      <c r="K2298" s="1"/>
      <c r="L2298" s="26"/>
    </row>
    <row r="2299" spans="8:12" x14ac:dyDescent="0.35">
      <c r="H2299" s="1"/>
      <c r="I2299" s="1"/>
      <c r="J2299" s="26"/>
      <c r="K2299" s="1"/>
      <c r="L2299" s="26"/>
    </row>
    <row r="2300" spans="8:12" x14ac:dyDescent="0.35">
      <c r="H2300" s="1"/>
      <c r="I2300" s="1"/>
      <c r="J2300" s="26"/>
      <c r="K2300" s="1"/>
      <c r="L2300" s="26"/>
    </row>
    <row r="2301" spans="8:12" x14ac:dyDescent="0.35">
      <c r="H2301" s="1"/>
      <c r="I2301" s="1"/>
      <c r="J2301" s="26"/>
      <c r="K2301" s="1"/>
      <c r="L2301" s="26"/>
    </row>
    <row r="2302" spans="8:12" x14ac:dyDescent="0.35">
      <c r="H2302" s="1"/>
      <c r="I2302" s="1"/>
      <c r="J2302" s="26"/>
      <c r="K2302" s="1"/>
      <c r="L2302" s="26"/>
    </row>
    <row r="2303" spans="8:12" x14ac:dyDescent="0.35">
      <c r="H2303" s="1"/>
      <c r="I2303" s="1"/>
      <c r="J2303" s="26"/>
      <c r="K2303" s="1"/>
      <c r="L2303" s="26"/>
    </row>
    <row r="2304" spans="8:12" x14ac:dyDescent="0.35">
      <c r="H2304" s="1"/>
      <c r="I2304" s="1"/>
      <c r="J2304" s="26"/>
      <c r="K2304" s="1"/>
      <c r="L2304" s="26"/>
    </row>
    <row r="2305" spans="8:12" x14ac:dyDescent="0.35">
      <c r="H2305" s="1"/>
      <c r="I2305" s="1"/>
      <c r="J2305" s="26"/>
      <c r="K2305" s="1"/>
      <c r="L2305" s="26"/>
    </row>
    <row r="2306" spans="8:12" x14ac:dyDescent="0.35">
      <c r="H2306" s="1"/>
      <c r="I2306" s="1"/>
      <c r="J2306" s="26"/>
      <c r="K2306" s="1"/>
      <c r="L2306" s="26"/>
    </row>
    <row r="2307" spans="8:12" x14ac:dyDescent="0.35">
      <c r="H2307" s="1"/>
      <c r="I2307" s="1"/>
      <c r="J2307" s="26"/>
      <c r="K2307" s="1"/>
      <c r="L2307" s="26"/>
    </row>
    <row r="2308" spans="8:12" x14ac:dyDescent="0.35">
      <c r="H2308" s="1"/>
      <c r="I2308" s="1"/>
      <c r="J2308" s="26"/>
      <c r="K2308" s="1"/>
      <c r="L2308" s="26"/>
    </row>
    <row r="2309" spans="8:12" x14ac:dyDescent="0.35">
      <c r="H2309" s="1"/>
      <c r="I2309" s="1"/>
      <c r="J2309" s="26"/>
      <c r="K2309" s="1"/>
      <c r="L2309" s="26"/>
    </row>
    <row r="2310" spans="8:12" x14ac:dyDescent="0.35">
      <c r="H2310" s="1"/>
      <c r="I2310" s="1"/>
      <c r="J2310" s="26"/>
      <c r="K2310" s="1"/>
      <c r="L2310" s="26"/>
    </row>
    <row r="2311" spans="8:12" x14ac:dyDescent="0.35">
      <c r="H2311" s="1"/>
      <c r="I2311" s="1"/>
      <c r="J2311" s="26"/>
      <c r="K2311" s="1"/>
      <c r="L2311" s="26"/>
    </row>
    <row r="2312" spans="8:12" x14ac:dyDescent="0.35">
      <c r="H2312" s="1"/>
      <c r="I2312" s="1"/>
      <c r="J2312" s="26"/>
      <c r="K2312" s="1"/>
      <c r="L2312" s="26"/>
    </row>
    <row r="2313" spans="8:12" x14ac:dyDescent="0.35">
      <c r="H2313" s="1"/>
      <c r="I2313" s="1"/>
      <c r="J2313" s="26"/>
      <c r="K2313" s="1"/>
      <c r="L2313" s="26"/>
    </row>
    <row r="2314" spans="8:12" x14ac:dyDescent="0.35">
      <c r="H2314" s="1"/>
      <c r="I2314" s="1"/>
      <c r="J2314" s="26"/>
      <c r="K2314" s="1"/>
      <c r="L2314" s="26"/>
    </row>
    <row r="2315" spans="8:12" x14ac:dyDescent="0.35">
      <c r="H2315" s="1"/>
      <c r="I2315" s="1"/>
      <c r="J2315" s="26"/>
      <c r="K2315" s="1"/>
      <c r="L2315" s="26"/>
    </row>
    <row r="2316" spans="8:12" x14ac:dyDescent="0.35">
      <c r="H2316" s="1"/>
      <c r="I2316" s="1"/>
      <c r="J2316" s="26"/>
      <c r="K2316" s="1"/>
      <c r="L2316" s="26"/>
    </row>
    <row r="2317" spans="8:12" x14ac:dyDescent="0.35">
      <c r="H2317" s="1"/>
      <c r="I2317" s="1"/>
      <c r="J2317" s="26"/>
      <c r="K2317" s="1"/>
      <c r="L2317" s="26"/>
    </row>
    <row r="2318" spans="8:12" x14ac:dyDescent="0.35">
      <c r="H2318" s="1"/>
      <c r="I2318" s="1"/>
      <c r="J2318" s="26"/>
      <c r="K2318" s="1"/>
      <c r="L2318" s="26"/>
    </row>
    <row r="2319" spans="8:12" x14ac:dyDescent="0.35">
      <c r="H2319" s="1"/>
      <c r="I2319" s="1"/>
      <c r="J2319" s="26"/>
      <c r="K2319" s="1"/>
      <c r="L2319" s="26"/>
    </row>
    <row r="2320" spans="8:12" x14ac:dyDescent="0.35">
      <c r="H2320" s="1"/>
      <c r="I2320" s="1"/>
      <c r="J2320" s="26"/>
      <c r="K2320" s="1"/>
      <c r="L2320" s="26"/>
    </row>
    <row r="2321" spans="8:12" x14ac:dyDescent="0.35">
      <c r="H2321" s="1"/>
      <c r="I2321" s="1"/>
      <c r="J2321" s="26"/>
      <c r="K2321" s="1"/>
      <c r="L2321" s="26"/>
    </row>
    <row r="2322" spans="8:12" x14ac:dyDescent="0.35">
      <c r="H2322" s="1"/>
      <c r="I2322" s="1"/>
      <c r="J2322" s="26"/>
      <c r="K2322" s="1"/>
      <c r="L2322" s="26"/>
    </row>
    <row r="2323" spans="8:12" x14ac:dyDescent="0.35">
      <c r="H2323" s="1"/>
      <c r="I2323" s="1"/>
      <c r="J2323" s="26"/>
      <c r="K2323" s="1"/>
      <c r="L2323" s="26"/>
    </row>
    <row r="2324" spans="8:12" x14ac:dyDescent="0.35">
      <c r="H2324" s="1"/>
      <c r="I2324" s="1"/>
      <c r="J2324" s="26"/>
      <c r="K2324" s="1"/>
      <c r="L2324" s="26"/>
    </row>
    <row r="2325" spans="8:12" x14ac:dyDescent="0.35">
      <c r="H2325" s="1"/>
      <c r="I2325" s="1"/>
      <c r="J2325" s="26"/>
      <c r="K2325" s="1"/>
      <c r="L2325" s="26"/>
    </row>
    <row r="2326" spans="8:12" x14ac:dyDescent="0.35">
      <c r="H2326" s="1"/>
      <c r="I2326" s="1"/>
      <c r="J2326" s="26"/>
      <c r="K2326" s="1"/>
      <c r="L2326" s="26"/>
    </row>
    <row r="2327" spans="8:12" x14ac:dyDescent="0.35">
      <c r="H2327" s="1"/>
      <c r="I2327" s="1"/>
      <c r="J2327" s="26"/>
      <c r="K2327" s="1"/>
      <c r="L2327" s="26"/>
    </row>
    <row r="2328" spans="8:12" x14ac:dyDescent="0.35">
      <c r="H2328" s="1"/>
      <c r="I2328" s="1"/>
      <c r="J2328" s="26"/>
      <c r="K2328" s="1"/>
      <c r="L2328" s="26"/>
    </row>
    <row r="2329" spans="8:12" x14ac:dyDescent="0.35">
      <c r="H2329" s="1"/>
      <c r="I2329" s="1"/>
      <c r="J2329" s="26"/>
      <c r="K2329" s="1"/>
      <c r="L2329" s="26"/>
    </row>
    <row r="2330" spans="8:12" x14ac:dyDescent="0.35">
      <c r="H2330" s="1"/>
      <c r="I2330" s="1"/>
      <c r="J2330" s="26"/>
      <c r="K2330" s="1"/>
      <c r="L2330" s="26"/>
    </row>
    <row r="2331" spans="8:12" x14ac:dyDescent="0.35">
      <c r="H2331" s="1"/>
      <c r="I2331" s="1"/>
      <c r="J2331" s="26"/>
      <c r="K2331" s="1"/>
      <c r="L2331" s="26"/>
    </row>
    <row r="2332" spans="8:12" x14ac:dyDescent="0.35">
      <c r="H2332" s="1"/>
      <c r="I2332" s="1"/>
      <c r="J2332" s="26"/>
      <c r="K2332" s="1"/>
      <c r="L2332" s="26"/>
    </row>
    <row r="2333" spans="8:12" x14ac:dyDescent="0.35">
      <c r="H2333" s="1"/>
      <c r="I2333" s="1"/>
      <c r="J2333" s="26"/>
      <c r="K2333" s="1"/>
      <c r="L2333" s="26"/>
    </row>
    <row r="2334" spans="8:12" x14ac:dyDescent="0.35">
      <c r="H2334" s="1"/>
      <c r="I2334" s="1"/>
      <c r="J2334" s="26"/>
      <c r="K2334" s="1"/>
      <c r="L2334" s="26"/>
    </row>
    <row r="2335" spans="8:12" x14ac:dyDescent="0.35">
      <c r="H2335" s="1"/>
      <c r="I2335" s="1"/>
      <c r="J2335" s="26"/>
      <c r="K2335" s="1"/>
      <c r="L2335" s="26"/>
    </row>
    <row r="2336" spans="8:12" x14ac:dyDescent="0.35">
      <c r="H2336" s="1"/>
      <c r="I2336" s="1"/>
      <c r="J2336" s="26"/>
      <c r="K2336" s="1"/>
      <c r="L2336" s="26"/>
    </row>
    <row r="2337" spans="8:12" x14ac:dyDescent="0.35">
      <c r="H2337" s="1"/>
      <c r="I2337" s="1"/>
      <c r="J2337" s="26"/>
      <c r="K2337" s="1"/>
      <c r="L2337" s="26"/>
    </row>
    <row r="2338" spans="8:12" x14ac:dyDescent="0.35">
      <c r="H2338" s="1"/>
      <c r="I2338" s="1"/>
      <c r="J2338" s="26"/>
      <c r="K2338" s="1"/>
      <c r="L2338" s="26"/>
    </row>
    <row r="2339" spans="8:12" x14ac:dyDescent="0.35">
      <c r="H2339" s="1"/>
      <c r="I2339" s="1"/>
      <c r="J2339" s="26"/>
      <c r="K2339" s="1"/>
      <c r="L2339" s="26"/>
    </row>
    <row r="2340" spans="8:12" x14ac:dyDescent="0.35">
      <c r="H2340" s="1"/>
      <c r="I2340" s="1"/>
      <c r="J2340" s="26"/>
      <c r="K2340" s="1"/>
      <c r="L2340" s="26"/>
    </row>
    <row r="2341" spans="8:12" x14ac:dyDescent="0.35">
      <c r="H2341" s="1"/>
      <c r="I2341" s="1"/>
      <c r="J2341" s="26"/>
      <c r="K2341" s="1"/>
      <c r="L2341" s="26"/>
    </row>
    <row r="2342" spans="8:12" x14ac:dyDescent="0.35">
      <c r="H2342" s="1"/>
      <c r="I2342" s="1"/>
      <c r="J2342" s="26"/>
      <c r="K2342" s="1"/>
      <c r="L2342" s="26"/>
    </row>
    <row r="2343" spans="8:12" x14ac:dyDescent="0.35">
      <c r="H2343" s="1"/>
      <c r="I2343" s="1"/>
      <c r="J2343" s="26"/>
      <c r="K2343" s="1"/>
      <c r="L2343" s="26"/>
    </row>
    <row r="2344" spans="8:12" x14ac:dyDescent="0.35">
      <c r="H2344" s="1"/>
      <c r="I2344" s="1"/>
      <c r="J2344" s="26"/>
      <c r="K2344" s="1"/>
      <c r="L2344" s="26"/>
    </row>
    <row r="2345" spans="8:12" x14ac:dyDescent="0.35">
      <c r="H2345" s="1"/>
      <c r="I2345" s="1"/>
      <c r="J2345" s="26"/>
      <c r="K2345" s="1"/>
      <c r="L2345" s="26"/>
    </row>
    <row r="2346" spans="8:12" x14ac:dyDescent="0.35">
      <c r="H2346" s="1"/>
      <c r="I2346" s="1"/>
      <c r="J2346" s="26"/>
      <c r="K2346" s="1"/>
      <c r="L2346" s="26"/>
    </row>
    <row r="2347" spans="8:12" x14ac:dyDescent="0.35">
      <c r="H2347" s="1"/>
      <c r="I2347" s="1"/>
      <c r="J2347" s="26"/>
      <c r="K2347" s="1"/>
      <c r="L2347" s="26"/>
    </row>
    <row r="2348" spans="8:12" x14ac:dyDescent="0.35">
      <c r="H2348" s="1"/>
      <c r="I2348" s="1"/>
      <c r="J2348" s="26"/>
      <c r="K2348" s="1"/>
      <c r="L2348" s="26"/>
    </row>
    <row r="2349" spans="8:12" x14ac:dyDescent="0.35">
      <c r="H2349" s="1"/>
      <c r="I2349" s="1"/>
      <c r="J2349" s="26"/>
      <c r="K2349" s="1"/>
      <c r="L2349" s="26"/>
    </row>
    <row r="2350" spans="8:12" x14ac:dyDescent="0.35">
      <c r="H2350" s="1"/>
      <c r="I2350" s="1"/>
      <c r="J2350" s="26"/>
      <c r="K2350" s="1"/>
      <c r="L2350" s="26"/>
    </row>
    <row r="2351" spans="8:12" x14ac:dyDescent="0.35">
      <c r="H2351" s="1"/>
      <c r="I2351" s="1"/>
      <c r="J2351" s="26"/>
      <c r="K2351" s="1"/>
      <c r="L2351" s="26"/>
    </row>
    <row r="2352" spans="8:12" x14ac:dyDescent="0.35">
      <c r="H2352" s="1"/>
      <c r="I2352" s="1"/>
      <c r="J2352" s="26"/>
      <c r="K2352" s="1"/>
      <c r="L2352" s="26"/>
    </row>
    <row r="2353" spans="8:12" x14ac:dyDescent="0.35">
      <c r="H2353" s="1"/>
      <c r="I2353" s="1"/>
      <c r="J2353" s="26"/>
      <c r="K2353" s="1"/>
      <c r="L2353" s="26"/>
    </row>
    <row r="2354" spans="8:12" x14ac:dyDescent="0.35">
      <c r="H2354" s="1"/>
      <c r="I2354" s="1"/>
      <c r="J2354" s="26"/>
      <c r="K2354" s="1"/>
      <c r="L2354" s="26"/>
    </row>
    <row r="2355" spans="8:12" x14ac:dyDescent="0.35">
      <c r="H2355" s="1"/>
      <c r="I2355" s="1"/>
      <c r="J2355" s="26"/>
      <c r="K2355" s="1"/>
      <c r="L2355" s="26"/>
    </row>
    <row r="2356" spans="8:12" x14ac:dyDescent="0.35">
      <c r="H2356" s="1"/>
      <c r="I2356" s="1"/>
      <c r="J2356" s="26"/>
      <c r="K2356" s="1"/>
      <c r="L2356" s="26"/>
    </row>
    <row r="2357" spans="8:12" x14ac:dyDescent="0.35">
      <c r="H2357" s="1"/>
      <c r="I2357" s="1"/>
      <c r="J2357" s="26"/>
      <c r="K2357" s="1"/>
      <c r="L2357" s="26"/>
    </row>
    <row r="2358" spans="8:12" x14ac:dyDescent="0.35">
      <c r="H2358" s="1"/>
      <c r="I2358" s="1"/>
      <c r="J2358" s="26"/>
      <c r="K2358" s="1"/>
      <c r="L2358" s="26"/>
    </row>
    <row r="2359" spans="8:12" x14ac:dyDescent="0.35">
      <c r="H2359" s="1"/>
      <c r="I2359" s="1"/>
      <c r="J2359" s="26"/>
      <c r="K2359" s="1"/>
      <c r="L2359" s="26"/>
    </row>
    <row r="2360" spans="8:12" x14ac:dyDescent="0.35">
      <c r="H2360" s="1"/>
      <c r="I2360" s="1"/>
      <c r="J2360" s="26"/>
      <c r="K2360" s="1"/>
      <c r="L2360" s="26"/>
    </row>
    <row r="2361" spans="8:12" x14ac:dyDescent="0.35">
      <c r="H2361" s="1"/>
      <c r="I2361" s="1"/>
      <c r="J2361" s="26"/>
      <c r="K2361" s="1"/>
      <c r="L2361" s="26"/>
    </row>
    <row r="2362" spans="8:12" x14ac:dyDescent="0.35">
      <c r="H2362" s="1"/>
      <c r="I2362" s="1"/>
      <c r="J2362" s="26"/>
      <c r="K2362" s="1"/>
      <c r="L2362" s="26"/>
    </row>
    <row r="2363" spans="8:12" x14ac:dyDescent="0.35">
      <c r="H2363" s="1"/>
      <c r="I2363" s="1"/>
      <c r="J2363" s="26"/>
      <c r="K2363" s="1"/>
      <c r="L2363" s="26"/>
    </row>
    <row r="2364" spans="8:12" x14ac:dyDescent="0.35">
      <c r="H2364" s="1"/>
      <c r="I2364" s="1"/>
      <c r="J2364" s="26"/>
      <c r="K2364" s="1"/>
      <c r="L2364" s="26"/>
    </row>
    <row r="2365" spans="8:12" x14ac:dyDescent="0.35">
      <c r="H2365" s="1"/>
      <c r="I2365" s="1"/>
      <c r="J2365" s="26"/>
      <c r="K2365" s="1"/>
      <c r="L2365" s="26"/>
    </row>
    <row r="2366" spans="8:12" x14ac:dyDescent="0.35">
      <c r="H2366" s="1"/>
      <c r="I2366" s="1"/>
      <c r="J2366" s="26"/>
      <c r="K2366" s="1"/>
      <c r="L2366" s="26"/>
    </row>
    <row r="2367" spans="8:12" x14ac:dyDescent="0.35">
      <c r="H2367" s="1"/>
      <c r="I2367" s="1"/>
      <c r="J2367" s="26"/>
      <c r="K2367" s="1"/>
      <c r="L2367" s="26"/>
    </row>
    <row r="2368" spans="8:12" x14ac:dyDescent="0.35">
      <c r="H2368" s="1"/>
      <c r="I2368" s="1"/>
      <c r="J2368" s="26"/>
      <c r="K2368" s="1"/>
      <c r="L2368" s="26"/>
    </row>
    <row r="2369" spans="8:12" x14ac:dyDescent="0.35">
      <c r="H2369" s="1"/>
      <c r="I2369" s="1"/>
      <c r="J2369" s="26"/>
      <c r="K2369" s="1"/>
      <c r="L2369" s="26"/>
    </row>
    <row r="2370" spans="8:12" x14ac:dyDescent="0.35">
      <c r="H2370" s="1"/>
      <c r="I2370" s="1"/>
      <c r="J2370" s="26"/>
      <c r="K2370" s="1"/>
      <c r="L2370" s="26"/>
    </row>
    <row r="2371" spans="8:12" x14ac:dyDescent="0.35">
      <c r="H2371" s="1"/>
      <c r="I2371" s="1"/>
      <c r="J2371" s="26"/>
      <c r="K2371" s="1"/>
      <c r="L2371" s="26"/>
    </row>
    <row r="2372" spans="8:12" x14ac:dyDescent="0.35">
      <c r="H2372" s="1"/>
      <c r="I2372" s="1"/>
      <c r="J2372" s="26"/>
      <c r="K2372" s="1"/>
      <c r="L2372" s="26"/>
    </row>
    <row r="2373" spans="8:12" x14ac:dyDescent="0.35">
      <c r="H2373" s="1"/>
      <c r="I2373" s="1"/>
      <c r="J2373" s="26"/>
      <c r="K2373" s="1"/>
      <c r="L2373" s="26"/>
    </row>
    <row r="2374" spans="8:12" x14ac:dyDescent="0.35">
      <c r="H2374" s="1"/>
      <c r="I2374" s="1"/>
      <c r="J2374" s="26"/>
      <c r="K2374" s="1"/>
      <c r="L2374" s="26"/>
    </row>
    <row r="2375" spans="8:12" x14ac:dyDescent="0.35">
      <c r="H2375" s="1"/>
      <c r="I2375" s="1"/>
      <c r="J2375" s="26"/>
      <c r="K2375" s="1"/>
      <c r="L2375" s="26"/>
    </row>
    <row r="2376" spans="8:12" x14ac:dyDescent="0.35">
      <c r="H2376" s="1"/>
      <c r="I2376" s="1"/>
      <c r="J2376" s="26"/>
      <c r="K2376" s="1"/>
      <c r="L2376" s="26"/>
    </row>
    <row r="2377" spans="8:12" x14ac:dyDescent="0.35">
      <c r="H2377" s="1"/>
      <c r="I2377" s="1"/>
      <c r="J2377" s="26"/>
      <c r="K2377" s="1"/>
      <c r="L2377" s="26"/>
    </row>
    <row r="2378" spans="8:12" x14ac:dyDescent="0.35">
      <c r="H2378" s="1"/>
      <c r="I2378" s="1"/>
      <c r="J2378" s="26"/>
      <c r="K2378" s="1"/>
      <c r="L2378" s="26"/>
    </row>
    <row r="2379" spans="8:12" x14ac:dyDescent="0.35">
      <c r="H2379" s="1"/>
      <c r="I2379" s="1"/>
      <c r="J2379" s="26"/>
      <c r="K2379" s="1"/>
      <c r="L2379" s="26"/>
    </row>
    <row r="2380" spans="8:12" x14ac:dyDescent="0.35">
      <c r="H2380" s="1"/>
      <c r="I2380" s="1"/>
      <c r="J2380" s="26"/>
      <c r="K2380" s="1"/>
      <c r="L2380" s="26"/>
    </row>
    <row r="2381" spans="8:12" x14ac:dyDescent="0.35">
      <c r="H2381" s="1"/>
      <c r="I2381" s="1"/>
      <c r="J2381" s="26"/>
      <c r="K2381" s="1"/>
      <c r="L2381" s="26"/>
    </row>
    <row r="2382" spans="8:12" x14ac:dyDescent="0.35">
      <c r="H2382" s="1"/>
      <c r="I2382" s="1"/>
      <c r="J2382" s="26"/>
      <c r="K2382" s="1"/>
      <c r="L2382" s="26"/>
    </row>
    <row r="2383" spans="8:12" x14ac:dyDescent="0.35">
      <c r="H2383" s="1"/>
      <c r="I2383" s="1"/>
      <c r="J2383" s="26"/>
      <c r="K2383" s="1"/>
      <c r="L2383" s="26"/>
    </row>
    <row r="2384" spans="8:12" x14ac:dyDescent="0.35">
      <c r="H2384" s="1"/>
      <c r="I2384" s="1"/>
      <c r="J2384" s="26"/>
      <c r="K2384" s="1"/>
      <c r="L2384" s="26"/>
    </row>
    <row r="2385" spans="8:12" x14ac:dyDescent="0.35">
      <c r="H2385" s="1"/>
      <c r="I2385" s="1"/>
      <c r="J2385" s="26"/>
      <c r="K2385" s="1"/>
      <c r="L2385" s="26"/>
    </row>
    <row r="2386" spans="8:12" x14ac:dyDescent="0.35">
      <c r="H2386" s="1"/>
      <c r="I2386" s="1"/>
      <c r="J2386" s="26"/>
      <c r="K2386" s="1"/>
      <c r="L2386" s="26"/>
    </row>
    <row r="2387" spans="8:12" x14ac:dyDescent="0.35">
      <c r="H2387" s="1"/>
      <c r="I2387" s="1"/>
      <c r="J2387" s="26"/>
      <c r="K2387" s="1"/>
      <c r="L2387" s="26"/>
    </row>
    <row r="2388" spans="8:12" x14ac:dyDescent="0.35">
      <c r="H2388" s="1"/>
      <c r="I2388" s="1"/>
      <c r="J2388" s="26"/>
      <c r="K2388" s="1"/>
      <c r="L2388" s="26"/>
    </row>
    <row r="2389" spans="8:12" x14ac:dyDescent="0.35">
      <c r="H2389" s="1"/>
      <c r="I2389" s="1"/>
      <c r="J2389" s="26"/>
      <c r="K2389" s="1"/>
      <c r="L2389" s="26"/>
    </row>
    <row r="2390" spans="8:12" x14ac:dyDescent="0.35">
      <c r="H2390" s="1"/>
      <c r="I2390" s="1"/>
      <c r="J2390" s="26"/>
      <c r="K2390" s="1"/>
      <c r="L2390" s="26"/>
    </row>
    <row r="2391" spans="8:12" x14ac:dyDescent="0.35">
      <c r="H2391" s="1"/>
      <c r="I2391" s="1"/>
      <c r="J2391" s="26"/>
      <c r="K2391" s="1"/>
      <c r="L2391" s="26"/>
    </row>
    <row r="2392" spans="8:12" x14ac:dyDescent="0.35">
      <c r="H2392" s="1"/>
      <c r="I2392" s="1"/>
      <c r="J2392" s="26"/>
      <c r="K2392" s="1"/>
      <c r="L2392" s="26"/>
    </row>
    <row r="2393" spans="8:12" x14ac:dyDescent="0.35">
      <c r="H2393" s="1"/>
      <c r="I2393" s="1"/>
      <c r="J2393" s="26"/>
      <c r="K2393" s="1"/>
      <c r="L2393" s="26"/>
    </row>
    <row r="2394" spans="8:12" x14ac:dyDescent="0.35">
      <c r="H2394" s="1"/>
      <c r="I2394" s="1"/>
      <c r="J2394" s="26"/>
      <c r="K2394" s="1"/>
      <c r="L2394" s="26"/>
    </row>
    <row r="2395" spans="8:12" x14ac:dyDescent="0.35">
      <c r="H2395" s="1"/>
      <c r="I2395" s="1"/>
      <c r="J2395" s="26"/>
      <c r="K2395" s="1"/>
      <c r="L2395" s="26"/>
    </row>
    <row r="2396" spans="8:12" x14ac:dyDescent="0.35">
      <c r="H2396" s="1"/>
      <c r="I2396" s="1"/>
      <c r="J2396" s="26"/>
      <c r="K2396" s="1"/>
      <c r="L2396" s="26"/>
    </row>
    <row r="2397" spans="8:12" x14ac:dyDescent="0.35">
      <c r="H2397" s="1"/>
      <c r="I2397" s="1"/>
      <c r="J2397" s="26"/>
      <c r="K2397" s="1"/>
      <c r="L2397" s="26"/>
    </row>
    <row r="2398" spans="8:12" x14ac:dyDescent="0.35">
      <c r="H2398" s="1"/>
      <c r="I2398" s="1"/>
      <c r="J2398" s="26"/>
      <c r="K2398" s="1"/>
      <c r="L2398" s="26"/>
    </row>
    <row r="2399" spans="8:12" x14ac:dyDescent="0.35">
      <c r="H2399" s="1"/>
      <c r="I2399" s="1"/>
      <c r="J2399" s="26"/>
      <c r="K2399" s="1"/>
      <c r="L2399" s="26"/>
    </row>
    <row r="2400" spans="8:12" x14ac:dyDescent="0.35">
      <c r="H2400" s="1"/>
      <c r="I2400" s="1"/>
      <c r="J2400" s="26"/>
      <c r="K2400" s="1"/>
      <c r="L2400" s="26"/>
    </row>
    <row r="2401" spans="8:12" x14ac:dyDescent="0.35">
      <c r="H2401" s="1"/>
      <c r="I2401" s="1"/>
      <c r="J2401" s="26"/>
      <c r="K2401" s="1"/>
      <c r="L2401" s="26"/>
    </row>
    <row r="2402" spans="8:12" x14ac:dyDescent="0.35">
      <c r="H2402" s="1"/>
      <c r="I2402" s="1"/>
      <c r="J2402" s="26"/>
      <c r="K2402" s="1"/>
      <c r="L2402" s="26"/>
    </row>
    <row r="2403" spans="8:12" x14ac:dyDescent="0.35">
      <c r="H2403" s="1"/>
      <c r="I2403" s="1"/>
      <c r="J2403" s="26"/>
      <c r="K2403" s="1"/>
      <c r="L2403" s="26"/>
    </row>
    <row r="2404" spans="8:12" x14ac:dyDescent="0.35">
      <c r="H2404" s="1"/>
      <c r="I2404" s="1"/>
      <c r="J2404" s="26"/>
      <c r="K2404" s="1"/>
      <c r="L2404" s="26"/>
    </row>
    <row r="2405" spans="8:12" x14ac:dyDescent="0.35">
      <c r="H2405" s="1"/>
      <c r="I2405" s="1"/>
      <c r="J2405" s="26"/>
      <c r="K2405" s="1"/>
      <c r="L2405" s="26"/>
    </row>
    <row r="2406" spans="8:12" x14ac:dyDescent="0.35">
      <c r="H2406" s="1"/>
      <c r="I2406" s="1"/>
      <c r="J2406" s="26"/>
      <c r="K2406" s="1"/>
      <c r="L2406" s="26"/>
    </row>
    <row r="2407" spans="8:12" x14ac:dyDescent="0.35">
      <c r="H2407" s="1"/>
      <c r="I2407" s="1"/>
      <c r="J2407" s="26"/>
      <c r="K2407" s="1"/>
      <c r="L2407" s="26"/>
    </row>
    <row r="2408" spans="8:12" x14ac:dyDescent="0.35">
      <c r="H2408" s="1"/>
      <c r="I2408" s="1"/>
      <c r="J2408" s="26"/>
      <c r="K2408" s="1"/>
      <c r="L2408" s="26"/>
    </row>
    <row r="2409" spans="8:12" x14ac:dyDescent="0.35">
      <c r="H2409" s="1"/>
      <c r="I2409" s="1"/>
      <c r="J2409" s="26"/>
      <c r="K2409" s="1"/>
      <c r="L2409" s="26"/>
    </row>
    <row r="2410" spans="8:12" x14ac:dyDescent="0.35">
      <c r="H2410" s="1"/>
      <c r="I2410" s="1"/>
      <c r="J2410" s="26"/>
      <c r="K2410" s="1"/>
      <c r="L2410" s="26"/>
    </row>
    <row r="2411" spans="8:12" x14ac:dyDescent="0.35">
      <c r="H2411" s="1"/>
      <c r="I2411" s="1"/>
      <c r="J2411" s="26"/>
      <c r="K2411" s="1"/>
      <c r="L2411" s="26"/>
    </row>
    <row r="2412" spans="8:12" x14ac:dyDescent="0.35">
      <c r="H2412" s="1"/>
      <c r="I2412" s="1"/>
      <c r="J2412" s="26"/>
      <c r="K2412" s="1"/>
      <c r="L2412" s="26"/>
    </row>
    <row r="2413" spans="8:12" x14ac:dyDescent="0.35">
      <c r="H2413" s="1"/>
      <c r="I2413" s="1"/>
      <c r="J2413" s="26"/>
      <c r="K2413" s="1"/>
      <c r="L2413" s="26"/>
    </row>
    <row r="2414" spans="8:12" x14ac:dyDescent="0.35">
      <c r="H2414" s="1"/>
      <c r="I2414" s="1"/>
      <c r="J2414" s="26"/>
      <c r="K2414" s="1"/>
      <c r="L2414" s="26"/>
    </row>
    <row r="2415" spans="8:12" x14ac:dyDescent="0.35">
      <c r="H2415" s="1"/>
      <c r="I2415" s="1"/>
      <c r="J2415" s="26"/>
      <c r="K2415" s="1"/>
      <c r="L2415" s="26"/>
    </row>
    <row r="2416" spans="8:12" x14ac:dyDescent="0.35">
      <c r="H2416" s="1"/>
      <c r="I2416" s="1"/>
      <c r="J2416" s="26"/>
      <c r="K2416" s="1"/>
      <c r="L2416" s="26"/>
    </row>
    <row r="2417" spans="8:12" x14ac:dyDescent="0.35">
      <c r="H2417" s="1"/>
      <c r="I2417" s="1"/>
      <c r="J2417" s="26"/>
      <c r="K2417" s="1"/>
      <c r="L2417" s="26"/>
    </row>
    <row r="2418" spans="8:12" x14ac:dyDescent="0.35">
      <c r="H2418" s="1"/>
      <c r="I2418" s="1"/>
      <c r="J2418" s="26"/>
      <c r="K2418" s="1"/>
      <c r="L2418" s="26"/>
    </row>
    <row r="2419" spans="8:12" x14ac:dyDescent="0.35">
      <c r="H2419" s="1"/>
      <c r="I2419" s="1"/>
      <c r="J2419" s="26"/>
      <c r="K2419" s="1"/>
      <c r="L2419" s="26"/>
    </row>
    <row r="2420" spans="8:12" x14ac:dyDescent="0.35">
      <c r="H2420" s="1"/>
      <c r="I2420" s="1"/>
      <c r="J2420" s="26"/>
      <c r="K2420" s="1"/>
      <c r="L2420" s="26"/>
    </row>
    <row r="2421" spans="8:12" x14ac:dyDescent="0.35">
      <c r="H2421" s="1"/>
      <c r="I2421" s="1"/>
      <c r="J2421" s="26"/>
      <c r="K2421" s="1"/>
      <c r="L2421" s="26"/>
    </row>
    <row r="2422" spans="8:12" x14ac:dyDescent="0.35">
      <c r="H2422" s="1"/>
      <c r="I2422" s="1"/>
      <c r="J2422" s="26"/>
      <c r="K2422" s="1"/>
      <c r="L2422" s="26"/>
    </row>
    <row r="2423" spans="8:12" x14ac:dyDescent="0.35">
      <c r="H2423" s="1"/>
      <c r="I2423" s="1"/>
      <c r="J2423" s="26"/>
      <c r="K2423" s="1"/>
      <c r="L2423" s="26"/>
    </row>
    <row r="2424" spans="8:12" x14ac:dyDescent="0.35">
      <c r="H2424" s="1"/>
      <c r="I2424" s="1"/>
      <c r="J2424" s="26"/>
      <c r="K2424" s="1"/>
      <c r="L2424" s="26"/>
    </row>
    <row r="2425" spans="8:12" x14ac:dyDescent="0.35">
      <c r="H2425" s="1"/>
      <c r="I2425" s="1"/>
      <c r="J2425" s="26"/>
      <c r="K2425" s="1"/>
      <c r="L2425" s="26"/>
    </row>
    <row r="2426" spans="8:12" x14ac:dyDescent="0.35">
      <c r="H2426" s="1"/>
      <c r="I2426" s="1"/>
      <c r="J2426" s="26"/>
      <c r="K2426" s="1"/>
      <c r="L2426" s="26"/>
    </row>
    <row r="2427" spans="8:12" x14ac:dyDescent="0.35">
      <c r="H2427" s="1"/>
      <c r="I2427" s="1"/>
      <c r="J2427" s="26"/>
      <c r="K2427" s="1"/>
      <c r="L2427" s="26"/>
    </row>
    <row r="2428" spans="8:12" x14ac:dyDescent="0.35">
      <c r="H2428" s="1"/>
      <c r="I2428" s="1"/>
      <c r="J2428" s="26"/>
      <c r="K2428" s="1"/>
      <c r="L2428" s="26"/>
    </row>
    <row r="2429" spans="8:12" x14ac:dyDescent="0.35">
      <c r="H2429" s="1"/>
      <c r="I2429" s="1"/>
      <c r="J2429" s="26"/>
      <c r="K2429" s="1"/>
      <c r="L2429" s="26"/>
    </row>
    <row r="2430" spans="8:12" x14ac:dyDescent="0.35">
      <c r="H2430" s="1"/>
      <c r="I2430" s="1"/>
      <c r="J2430" s="26"/>
      <c r="K2430" s="1"/>
      <c r="L2430" s="26"/>
    </row>
    <row r="2431" spans="8:12" x14ac:dyDescent="0.35">
      <c r="H2431" s="1"/>
      <c r="I2431" s="1"/>
      <c r="J2431" s="26"/>
      <c r="K2431" s="1"/>
      <c r="L2431" s="26"/>
    </row>
    <row r="2432" spans="8:12" x14ac:dyDescent="0.35">
      <c r="H2432" s="1"/>
      <c r="I2432" s="1"/>
      <c r="J2432" s="26"/>
      <c r="K2432" s="1"/>
      <c r="L2432" s="26"/>
    </row>
    <row r="2433" spans="8:12" x14ac:dyDescent="0.35">
      <c r="H2433" s="1"/>
      <c r="I2433" s="1"/>
      <c r="J2433" s="26"/>
      <c r="K2433" s="1"/>
      <c r="L2433" s="26"/>
    </row>
    <row r="2434" spans="8:12" x14ac:dyDescent="0.35">
      <c r="H2434" s="1"/>
      <c r="I2434" s="1"/>
      <c r="J2434" s="26"/>
      <c r="K2434" s="1"/>
      <c r="L2434" s="26"/>
    </row>
    <row r="2435" spans="8:12" x14ac:dyDescent="0.35">
      <c r="H2435" s="1"/>
      <c r="I2435" s="1"/>
      <c r="J2435" s="26"/>
      <c r="K2435" s="1"/>
      <c r="L2435" s="26"/>
    </row>
    <row r="2436" spans="8:12" x14ac:dyDescent="0.35">
      <c r="H2436" s="1"/>
      <c r="I2436" s="1"/>
      <c r="J2436" s="26"/>
      <c r="K2436" s="1"/>
      <c r="L2436" s="26"/>
    </row>
    <row r="2437" spans="8:12" x14ac:dyDescent="0.35">
      <c r="H2437" s="1"/>
      <c r="I2437" s="1"/>
      <c r="J2437" s="26"/>
      <c r="K2437" s="1"/>
      <c r="L2437" s="26"/>
    </row>
    <row r="2438" spans="8:12" x14ac:dyDescent="0.35">
      <c r="H2438" s="1"/>
      <c r="I2438" s="1"/>
      <c r="J2438" s="26"/>
      <c r="K2438" s="1"/>
      <c r="L2438" s="26"/>
    </row>
    <row r="2439" spans="8:12" x14ac:dyDescent="0.35">
      <c r="H2439" s="1"/>
      <c r="I2439" s="1"/>
      <c r="J2439" s="26"/>
      <c r="K2439" s="1"/>
      <c r="L2439" s="26"/>
    </row>
    <row r="2440" spans="8:12" x14ac:dyDescent="0.35">
      <c r="H2440" s="1"/>
      <c r="I2440" s="1"/>
      <c r="J2440" s="26"/>
      <c r="K2440" s="1"/>
      <c r="L2440" s="26"/>
    </row>
    <row r="2441" spans="8:12" x14ac:dyDescent="0.35">
      <c r="H2441" s="1"/>
      <c r="I2441" s="1"/>
      <c r="J2441" s="26"/>
      <c r="K2441" s="1"/>
      <c r="L2441" s="26"/>
    </row>
    <row r="2442" spans="8:12" x14ac:dyDescent="0.35">
      <c r="H2442" s="1"/>
      <c r="I2442" s="1"/>
      <c r="J2442" s="26"/>
      <c r="K2442" s="1"/>
      <c r="L2442" s="26"/>
    </row>
    <row r="2443" spans="8:12" x14ac:dyDescent="0.35">
      <c r="H2443" s="1"/>
      <c r="I2443" s="1"/>
      <c r="J2443" s="26"/>
      <c r="K2443" s="1"/>
      <c r="L2443" s="26"/>
    </row>
    <row r="2444" spans="8:12" x14ac:dyDescent="0.35">
      <c r="H2444" s="1"/>
      <c r="I2444" s="1"/>
      <c r="J2444" s="26"/>
      <c r="K2444" s="1"/>
      <c r="L2444" s="26"/>
    </row>
    <row r="2445" spans="8:12" x14ac:dyDescent="0.35">
      <c r="H2445" s="1"/>
      <c r="I2445" s="1"/>
      <c r="J2445" s="26"/>
      <c r="K2445" s="1"/>
      <c r="L2445" s="26"/>
    </row>
    <row r="2446" spans="8:12" x14ac:dyDescent="0.35">
      <c r="H2446" s="1"/>
      <c r="I2446" s="1"/>
      <c r="J2446" s="26"/>
      <c r="K2446" s="1"/>
      <c r="L2446" s="26"/>
    </row>
    <row r="2447" spans="8:12" x14ac:dyDescent="0.35">
      <c r="H2447" s="1"/>
      <c r="I2447" s="1"/>
      <c r="J2447" s="26"/>
      <c r="K2447" s="1"/>
      <c r="L2447" s="26"/>
    </row>
    <row r="2448" spans="8:12" x14ac:dyDescent="0.35">
      <c r="H2448" s="1"/>
      <c r="I2448" s="1"/>
      <c r="J2448" s="26"/>
      <c r="K2448" s="1"/>
      <c r="L2448" s="26"/>
    </row>
    <row r="2449" spans="8:12" x14ac:dyDescent="0.35">
      <c r="H2449" s="1"/>
      <c r="I2449" s="1"/>
      <c r="J2449" s="26"/>
      <c r="K2449" s="1"/>
      <c r="L2449" s="26"/>
    </row>
    <row r="2450" spans="8:12" x14ac:dyDescent="0.35">
      <c r="H2450" s="1"/>
      <c r="I2450" s="1"/>
      <c r="J2450" s="26"/>
      <c r="K2450" s="1"/>
      <c r="L2450" s="26"/>
    </row>
    <row r="2451" spans="8:12" x14ac:dyDescent="0.35">
      <c r="H2451" s="1"/>
      <c r="I2451" s="1"/>
      <c r="J2451" s="26"/>
      <c r="K2451" s="1"/>
      <c r="L2451" s="26"/>
    </row>
    <row r="2452" spans="8:12" x14ac:dyDescent="0.35">
      <c r="H2452" s="1"/>
      <c r="I2452" s="1"/>
      <c r="J2452" s="26"/>
      <c r="K2452" s="1"/>
      <c r="L2452" s="26"/>
    </row>
    <row r="2453" spans="8:12" x14ac:dyDescent="0.35">
      <c r="H2453" s="1"/>
      <c r="I2453" s="1"/>
      <c r="J2453" s="26"/>
      <c r="K2453" s="1"/>
      <c r="L2453" s="26"/>
    </row>
    <row r="2454" spans="8:12" x14ac:dyDescent="0.35">
      <c r="H2454" s="1"/>
      <c r="I2454" s="1"/>
      <c r="J2454" s="26"/>
      <c r="K2454" s="1"/>
      <c r="L2454" s="26"/>
    </row>
    <row r="2455" spans="8:12" x14ac:dyDescent="0.35">
      <c r="H2455" s="1"/>
      <c r="I2455" s="1"/>
      <c r="J2455" s="26"/>
      <c r="K2455" s="1"/>
      <c r="L2455" s="26"/>
    </row>
    <row r="2456" spans="8:12" x14ac:dyDescent="0.35">
      <c r="H2456" s="1"/>
      <c r="I2456" s="1"/>
      <c r="J2456" s="26"/>
      <c r="K2456" s="1"/>
      <c r="L2456" s="26"/>
    </row>
    <row r="2457" spans="8:12" x14ac:dyDescent="0.35">
      <c r="H2457" s="1"/>
      <c r="I2457" s="1"/>
      <c r="J2457" s="26"/>
      <c r="K2457" s="1"/>
      <c r="L2457" s="26"/>
    </row>
    <row r="2458" spans="8:12" x14ac:dyDescent="0.35">
      <c r="H2458" s="1"/>
      <c r="I2458" s="1"/>
      <c r="J2458" s="26"/>
      <c r="K2458" s="1"/>
      <c r="L2458" s="26"/>
    </row>
    <row r="2459" spans="8:12" x14ac:dyDescent="0.35">
      <c r="H2459" s="1"/>
      <c r="I2459" s="1"/>
      <c r="J2459" s="26"/>
      <c r="K2459" s="1"/>
      <c r="L2459" s="26"/>
    </row>
    <row r="2460" spans="8:12" x14ac:dyDescent="0.35">
      <c r="H2460" s="1"/>
      <c r="I2460" s="1"/>
      <c r="J2460" s="26"/>
      <c r="K2460" s="1"/>
      <c r="L2460" s="26"/>
    </row>
    <row r="2461" spans="8:12" x14ac:dyDescent="0.35">
      <c r="H2461" s="1"/>
      <c r="I2461" s="1"/>
      <c r="J2461" s="26"/>
      <c r="K2461" s="1"/>
      <c r="L2461" s="26"/>
    </row>
    <row r="2462" spans="8:12" x14ac:dyDescent="0.35">
      <c r="H2462" s="1"/>
      <c r="I2462" s="1"/>
      <c r="J2462" s="26"/>
      <c r="K2462" s="1"/>
      <c r="L2462" s="26"/>
    </row>
    <row r="2463" spans="8:12" x14ac:dyDescent="0.35">
      <c r="H2463" s="1"/>
      <c r="I2463" s="1"/>
      <c r="J2463" s="26"/>
      <c r="K2463" s="1"/>
      <c r="L2463" s="26"/>
    </row>
    <row r="2464" spans="8:12" x14ac:dyDescent="0.35">
      <c r="H2464" s="1"/>
      <c r="I2464" s="1"/>
      <c r="J2464" s="26"/>
      <c r="K2464" s="1"/>
      <c r="L2464" s="26"/>
    </row>
    <row r="2465" spans="8:12" x14ac:dyDescent="0.35">
      <c r="H2465" s="1"/>
      <c r="I2465" s="1"/>
      <c r="J2465" s="26"/>
      <c r="K2465" s="1"/>
      <c r="L2465" s="26"/>
    </row>
    <row r="2466" spans="8:12" x14ac:dyDescent="0.35">
      <c r="H2466" s="1"/>
      <c r="I2466" s="1"/>
      <c r="J2466" s="26"/>
      <c r="K2466" s="1"/>
      <c r="L2466" s="26"/>
    </row>
    <row r="2467" spans="8:12" x14ac:dyDescent="0.35">
      <c r="H2467" s="1"/>
      <c r="I2467" s="1"/>
      <c r="J2467" s="26"/>
      <c r="K2467" s="1"/>
      <c r="L2467" s="26"/>
    </row>
    <row r="2468" spans="8:12" x14ac:dyDescent="0.35">
      <c r="H2468" s="1"/>
      <c r="I2468" s="1"/>
      <c r="J2468" s="26"/>
      <c r="K2468" s="1"/>
      <c r="L2468" s="26"/>
    </row>
    <row r="2469" spans="8:12" x14ac:dyDescent="0.35">
      <c r="H2469" s="1"/>
      <c r="I2469" s="1"/>
      <c r="J2469" s="26"/>
      <c r="K2469" s="1"/>
      <c r="L2469" s="26"/>
    </row>
    <row r="2470" spans="8:12" x14ac:dyDescent="0.35">
      <c r="H2470" s="1"/>
      <c r="I2470" s="1"/>
      <c r="J2470" s="26"/>
      <c r="K2470" s="1"/>
      <c r="L2470" s="26"/>
    </row>
    <row r="2471" spans="8:12" x14ac:dyDescent="0.35">
      <c r="H2471" s="1"/>
      <c r="I2471" s="1"/>
      <c r="J2471" s="26"/>
      <c r="K2471" s="1"/>
      <c r="L2471" s="26"/>
    </row>
    <row r="2472" spans="8:12" x14ac:dyDescent="0.35">
      <c r="H2472" s="1"/>
      <c r="I2472" s="1"/>
      <c r="J2472" s="26"/>
      <c r="K2472" s="1"/>
      <c r="L2472" s="26"/>
    </row>
    <row r="2473" spans="8:12" x14ac:dyDescent="0.35">
      <c r="H2473" s="1"/>
      <c r="I2473" s="1"/>
      <c r="J2473" s="26"/>
      <c r="K2473" s="1"/>
      <c r="L2473" s="26"/>
    </row>
    <row r="2474" spans="8:12" x14ac:dyDescent="0.35">
      <c r="H2474" s="1"/>
      <c r="I2474" s="1"/>
      <c r="J2474" s="26"/>
      <c r="K2474" s="1"/>
      <c r="L2474" s="26"/>
    </row>
    <row r="2475" spans="8:12" x14ac:dyDescent="0.35">
      <c r="H2475" s="1"/>
      <c r="I2475" s="1"/>
      <c r="J2475" s="26"/>
      <c r="K2475" s="1"/>
      <c r="L2475" s="26"/>
    </row>
    <row r="2476" spans="8:12" x14ac:dyDescent="0.35">
      <c r="H2476" s="1"/>
      <c r="I2476" s="1"/>
      <c r="J2476" s="26"/>
      <c r="K2476" s="1"/>
      <c r="L2476" s="26"/>
    </row>
    <row r="2477" spans="8:12" x14ac:dyDescent="0.35">
      <c r="H2477" s="1"/>
      <c r="I2477" s="1"/>
      <c r="J2477" s="26"/>
      <c r="K2477" s="1"/>
      <c r="L2477" s="26"/>
    </row>
    <row r="2478" spans="8:12" x14ac:dyDescent="0.35">
      <c r="H2478" s="1"/>
      <c r="I2478" s="1"/>
      <c r="J2478" s="26"/>
      <c r="K2478" s="1"/>
      <c r="L2478" s="26"/>
    </row>
    <row r="2479" spans="8:12" x14ac:dyDescent="0.35">
      <c r="H2479" s="1"/>
      <c r="I2479" s="1"/>
      <c r="J2479" s="26"/>
      <c r="K2479" s="1"/>
      <c r="L2479" s="26"/>
    </row>
    <row r="2480" spans="8:12" x14ac:dyDescent="0.35">
      <c r="H2480" s="1"/>
      <c r="I2480" s="1"/>
      <c r="J2480" s="26"/>
      <c r="K2480" s="1"/>
      <c r="L2480" s="26"/>
    </row>
    <row r="2481" spans="8:12" x14ac:dyDescent="0.35">
      <c r="H2481" s="1"/>
      <c r="I2481" s="1"/>
      <c r="J2481" s="26"/>
      <c r="K2481" s="1"/>
      <c r="L2481" s="26"/>
    </row>
    <row r="2482" spans="8:12" x14ac:dyDescent="0.35">
      <c r="H2482" s="1"/>
      <c r="I2482" s="1"/>
      <c r="J2482" s="26"/>
      <c r="K2482" s="1"/>
      <c r="L2482" s="26"/>
    </row>
    <row r="2483" spans="8:12" x14ac:dyDescent="0.35">
      <c r="H2483" s="1"/>
      <c r="I2483" s="1"/>
      <c r="J2483" s="26"/>
      <c r="K2483" s="1"/>
      <c r="L2483" s="26"/>
    </row>
    <row r="2484" spans="8:12" x14ac:dyDescent="0.35">
      <c r="H2484" s="1"/>
      <c r="I2484" s="1"/>
      <c r="J2484" s="26"/>
      <c r="K2484" s="1"/>
      <c r="L2484" s="26"/>
    </row>
    <row r="2485" spans="8:12" x14ac:dyDescent="0.35">
      <c r="H2485" s="1"/>
      <c r="I2485" s="1"/>
      <c r="J2485" s="26"/>
      <c r="K2485" s="1"/>
      <c r="L2485" s="26"/>
    </row>
    <row r="2486" spans="8:12" x14ac:dyDescent="0.35">
      <c r="H2486" s="1"/>
      <c r="I2486" s="1"/>
      <c r="J2486" s="26"/>
      <c r="K2486" s="1"/>
      <c r="L2486" s="26"/>
    </row>
    <row r="2487" spans="8:12" x14ac:dyDescent="0.35">
      <c r="H2487" s="1"/>
      <c r="I2487" s="1"/>
      <c r="J2487" s="26"/>
      <c r="K2487" s="1"/>
      <c r="L2487" s="26"/>
    </row>
    <row r="2488" spans="8:12" x14ac:dyDescent="0.35">
      <c r="H2488" s="1"/>
      <c r="I2488" s="1"/>
      <c r="J2488" s="26"/>
      <c r="K2488" s="1"/>
      <c r="L2488" s="26"/>
    </row>
    <row r="2489" spans="8:12" x14ac:dyDescent="0.35">
      <c r="H2489" s="1"/>
      <c r="I2489" s="1"/>
      <c r="J2489" s="26"/>
      <c r="K2489" s="1"/>
      <c r="L2489" s="26"/>
    </row>
    <row r="2490" spans="8:12" x14ac:dyDescent="0.35">
      <c r="H2490" s="1"/>
      <c r="I2490" s="1"/>
      <c r="J2490" s="26"/>
      <c r="K2490" s="1"/>
      <c r="L2490" s="26"/>
    </row>
    <row r="2491" spans="8:12" x14ac:dyDescent="0.35">
      <c r="H2491" s="1"/>
      <c r="I2491" s="1"/>
      <c r="J2491" s="26"/>
      <c r="K2491" s="1"/>
      <c r="L2491" s="26"/>
    </row>
    <row r="2492" spans="8:12" x14ac:dyDescent="0.35">
      <c r="H2492" s="1"/>
      <c r="I2492" s="1"/>
      <c r="J2492" s="26"/>
      <c r="K2492" s="1"/>
      <c r="L2492" s="26"/>
    </row>
    <row r="2493" spans="8:12" x14ac:dyDescent="0.35">
      <c r="H2493" s="1"/>
      <c r="I2493" s="1"/>
      <c r="J2493" s="26"/>
      <c r="K2493" s="1"/>
      <c r="L2493" s="26"/>
    </row>
  </sheetData>
  <phoneticPr fontId="0" type="noConversion"/>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Arkusze</vt:lpstr>
      </vt:variant>
      <vt:variant>
        <vt:i4>2</vt:i4>
      </vt:variant>
      <vt:variant>
        <vt:lpstr>Nazwane zakresy</vt:lpstr>
      </vt:variant>
      <vt:variant>
        <vt:i4>2</vt:i4>
      </vt:variant>
    </vt:vector>
  </HeadingPairs>
  <TitlesOfParts>
    <vt:vector size="4" baseType="lpstr">
      <vt:lpstr>Disclaimer</vt:lpstr>
      <vt:lpstr>Data</vt:lpstr>
      <vt:lpstr>Obszar_wydruku</vt:lpstr>
      <vt:lpstr>Print_Area_MI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RShiller</dc:creator>
  <cp:lastModifiedBy>Mateusz Szczeciński</cp:lastModifiedBy>
  <cp:lastPrinted>2001-01-03T03:07:37Z</cp:lastPrinted>
  <dcterms:created xsi:type="dcterms:W3CDTF">2000-07-15T18:21:09Z</dcterms:created>
  <dcterms:modified xsi:type="dcterms:W3CDTF">2026-06-25T09:00:08Z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0e244be3-aefb-42f5-ad8e-583ef560d873</vt:lpwstr>
  </property>
</Properties>
</file>